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57068515" sheetId="1" state="visible" r:id="rId1"/>
    <sheet xmlns:r="http://schemas.openxmlformats.org/officeDocument/2006/relationships" name="res_raw_57068515" sheetId="2" state="visible" r:id="rId2"/>
    <sheet xmlns:r="http://schemas.openxmlformats.org/officeDocument/2006/relationships" name="balance_raw_57068515" sheetId="3" state="visible" r:id="rId3"/>
    <sheet xmlns:r="http://schemas.openxmlformats.org/officeDocument/2006/relationships" name="pengestrom_raw_57068515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Roblon A/S (CVR 57068515) — Regnskabsanalyse – Resultatopgørelse &amp; Balance (t.kr.) · Revision · Regnskabsår 1/11–31/10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'res_raw_57068515'!$B$2</f>
        <v/>
      </c>
      <c r="C4" s="5">
        <f>'res_raw_57068515'!$C$2</f>
        <v/>
      </c>
      <c r="D4" s="5">
        <f>'res_raw_57068515'!$D$2</f>
        <v/>
      </c>
      <c r="E4" s="5">
        <f>'res_raw_57068515'!$E$2</f>
        <v/>
      </c>
      <c r="F4" s="5">
        <f>'res_raw_57068515'!$F$2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'res_raw_57068515'!$B$3</f>
        <v/>
      </c>
      <c r="C5" s="8">
        <f>'res_raw_57068515'!$C$3</f>
        <v/>
      </c>
      <c r="D5" s="8">
        <f>'res_raw_57068515'!$D$3</f>
        <v/>
      </c>
      <c r="E5" s="8">
        <f>'res_raw_57068515'!$E$3</f>
        <v/>
      </c>
      <c r="F5" s="8">
        <f>'res_raw_57068515'!$F$3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'res_raw_57068515'!$B$4</f>
        <v/>
      </c>
      <c r="C6" s="8">
        <f>'res_raw_57068515'!$C$4</f>
        <v/>
      </c>
      <c r="D6" s="8">
        <f>'res_raw_57068515'!$D$4</f>
        <v/>
      </c>
      <c r="E6" s="8">
        <f>'res_raw_57068515'!$E$4</f>
        <v/>
      </c>
      <c r="F6" s="8">
        <f>'res_raw_57068515'!$F$4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'res_raw_57068515'!$B$5</f>
        <v/>
      </c>
      <c r="C7" s="11">
        <f>'res_raw_57068515'!$C$5</f>
        <v/>
      </c>
      <c r="D7" s="11">
        <f>'res_raw_57068515'!$D$5</f>
        <v/>
      </c>
      <c r="E7" s="11">
        <f>'res_raw_57068515'!$E$5</f>
        <v/>
      </c>
      <c r="F7" s="11">
        <f>'res_raw_57068515'!$F$5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'res_raw_57068515'!$B$6</f>
        <v/>
      </c>
      <c r="C8" s="8">
        <f>'res_raw_57068515'!$C$6</f>
        <v/>
      </c>
      <c r="D8" s="8">
        <f>'res_raw_57068515'!$D$6</f>
        <v/>
      </c>
      <c r="E8" s="8">
        <f>'res_raw_57068515'!$E$6</f>
        <v/>
      </c>
      <c r="F8" s="8">
        <f>'res_raw_57068515'!$F$6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'res_raw_57068515'!$B$7</f>
        <v/>
      </c>
      <c r="C9" s="8">
        <f>'res_raw_57068515'!$C$7</f>
        <v/>
      </c>
      <c r="D9" s="8">
        <f>'res_raw_57068515'!$D$7</f>
        <v/>
      </c>
      <c r="E9" s="8">
        <f>'res_raw_57068515'!$E$7</f>
        <v/>
      </c>
      <c r="F9" s="8">
        <f>'res_raw_57068515'!$F$7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'res_raw_57068515'!$B$8</f>
        <v/>
      </c>
      <c r="C10" s="5">
        <f>'res_raw_57068515'!$C$8</f>
        <v/>
      </c>
      <c r="D10" s="5">
        <f>'res_raw_57068515'!$D$8</f>
        <v/>
      </c>
      <c r="E10" s="5">
        <f>'res_raw_57068515'!$E$8</f>
        <v/>
      </c>
      <c r="F10" s="5">
        <f>'res_raw_57068515'!$F$8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'res_raw_57068515'!$B$9</f>
        <v/>
      </c>
      <c r="C11" s="11">
        <f>'res_raw_57068515'!$C$9</f>
        <v/>
      </c>
      <c r="D11" s="11">
        <f>'res_raw_57068515'!$D$9</f>
        <v/>
      </c>
      <c r="E11" s="11">
        <f>'res_raw_57068515'!$E$9</f>
        <v/>
      </c>
      <c r="F11" s="11">
        <f>'res_raw_57068515'!$F$9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4" t="inlineStr">
        <is>
          <t>Andre eksterne omkostninger</t>
        </is>
      </c>
      <c r="B12" s="5">
        <f>'res_raw_57068515'!$B$10</f>
        <v/>
      </c>
      <c r="C12" s="5">
        <f>'res_raw_57068515'!$C$10</f>
        <v/>
      </c>
      <c r="D12" s="5">
        <f>'res_raw_57068515'!$D$10</f>
        <v/>
      </c>
      <c r="E12" s="5">
        <f>'res_raw_57068515'!$E$10</f>
        <v/>
      </c>
      <c r="F12" s="5">
        <f>'res_raw_57068515'!$F$10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Personaleomkostninger</t>
        </is>
      </c>
      <c r="B13" s="11">
        <f>'res_raw_57068515'!$B$11</f>
        <v/>
      </c>
      <c r="C13" s="11">
        <f>'res_raw_57068515'!$C$11</f>
        <v/>
      </c>
      <c r="D13" s="11">
        <f>'res_raw_57068515'!$D$11</f>
        <v/>
      </c>
      <c r="E13" s="11">
        <f>'res_raw_57068515'!$E$11</f>
        <v/>
      </c>
      <c r="F13" s="11">
        <f>'res_raw_57068515'!$F$11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Af- og nedskrivninger</t>
        </is>
      </c>
      <c r="B14" s="5">
        <f>'res_raw_57068515'!$B$12</f>
        <v/>
      </c>
      <c r="C14" s="5">
        <f>'res_raw_57068515'!$C$12</f>
        <v/>
      </c>
      <c r="D14" s="5">
        <f>'res_raw_57068515'!$D$12</f>
        <v/>
      </c>
      <c r="E14" s="5">
        <f>'res_raw_57068515'!$E$12</f>
        <v/>
      </c>
      <c r="F14" s="5">
        <f>'res_raw_57068515'!$F$12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Resultat af primær drift</t>
        </is>
      </c>
      <c r="B15" s="8">
        <f>'res_raw_57068515'!$B$13</f>
        <v/>
      </c>
      <c r="C15" s="8">
        <f>'res_raw_57068515'!$C$13</f>
        <v/>
      </c>
      <c r="D15" s="8">
        <f>'res_raw_57068515'!$D$13</f>
        <v/>
      </c>
      <c r="E15" s="8">
        <f>'res_raw_57068515'!$E$13</f>
        <v/>
      </c>
      <c r="F15" s="8">
        <f>'res_raw_57068515'!$F$13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Indtægter af kapitalandele, dattervirksomheder</t>
        </is>
      </c>
      <c r="B16" s="5">
        <f>'res_raw_57068515'!$B$14</f>
        <v/>
      </c>
      <c r="C16" s="5">
        <f>'res_raw_57068515'!$C$14</f>
        <v/>
      </c>
      <c r="D16" s="5">
        <f>'res_raw_57068515'!$D$14</f>
        <v/>
      </c>
      <c r="E16" s="5">
        <f>'res_raw_57068515'!$E$14</f>
        <v/>
      </c>
      <c r="F16" s="5">
        <f>'res_raw_57068515'!$F$14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indtægter</t>
        </is>
      </c>
      <c r="B17" s="11">
        <f>'res_raw_57068515'!$B$15</f>
        <v/>
      </c>
      <c r="C17" s="11">
        <f>'res_raw_57068515'!$C$15</f>
        <v/>
      </c>
      <c r="D17" s="11">
        <f>'res_raw_57068515'!$D$15</f>
        <v/>
      </c>
      <c r="E17" s="11">
        <f>'res_raw_57068515'!$E$15</f>
        <v/>
      </c>
      <c r="F17" s="11">
        <f>'res_raw_57068515'!$F$15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4" t="inlineStr">
        <is>
          <t>Finansielle omkostninger</t>
        </is>
      </c>
      <c r="B18" s="5">
        <f>'res_raw_57068515'!$B$16</f>
        <v/>
      </c>
      <c r="C18" s="5">
        <f>'res_raw_57068515'!$C$16</f>
        <v/>
      </c>
      <c r="D18" s="5">
        <f>'res_raw_57068515'!$D$16</f>
        <v/>
      </c>
      <c r="E18" s="5">
        <f>'res_raw_57068515'!$E$16</f>
        <v/>
      </c>
      <c r="F18" s="5">
        <f>'res_raw_57068515'!$F$16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Finansielle poster, netto</t>
        </is>
      </c>
      <c r="B19" s="8">
        <f>'res_raw_57068515'!$B$17</f>
        <v/>
      </c>
      <c r="C19" s="8">
        <f>'res_raw_57068515'!$C$17</f>
        <v/>
      </c>
      <c r="D19" s="8">
        <f>'res_raw_57068515'!$D$17</f>
        <v/>
      </c>
      <c r="E19" s="8">
        <f>'res_raw_57068515'!$E$17</f>
        <v/>
      </c>
      <c r="F19" s="8">
        <f>'res_raw_57068515'!$F$17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7" t="inlineStr">
        <is>
          <t>Resultat før skat</t>
        </is>
      </c>
      <c r="B20" s="8">
        <f>'res_raw_57068515'!$B$18</f>
        <v/>
      </c>
      <c r="C20" s="8">
        <f>'res_raw_57068515'!$C$18</f>
        <v/>
      </c>
      <c r="D20" s="8">
        <f>'res_raw_57068515'!$D$18</f>
        <v/>
      </c>
      <c r="E20" s="8">
        <f>'res_raw_57068515'!$E$18</f>
        <v/>
      </c>
      <c r="F20" s="8">
        <f>'res_raw_57068515'!$F$18</f>
        <v/>
      </c>
      <c r="G20" t="inlineStr"/>
      <c r="H20" s="9">
        <f>IFERROR(B20/$B$20*100,"")</f>
        <v/>
      </c>
      <c r="I20" s="9">
        <f>IFERROR(C20/$B$20*100,"")</f>
        <v/>
      </c>
      <c r="J20" s="9">
        <f>IFERROR(D20/$B$20*100,"")</f>
        <v/>
      </c>
      <c r="K20" s="9">
        <f>IFERROR(E20/$B$20*100,"")</f>
        <v/>
      </c>
      <c r="L20" s="9">
        <f>IFERROR(F20/$B$20*100,"")</f>
        <v/>
      </c>
    </row>
    <row r="21" ht="16" customHeight="1">
      <c r="A21" s="10" t="inlineStr">
        <is>
          <t>Skat af årets resultat</t>
        </is>
      </c>
      <c r="B21" s="11">
        <f>'res_raw_57068515'!$B$19</f>
        <v/>
      </c>
      <c r="C21" s="11">
        <f>'res_raw_57068515'!$C$19</f>
        <v/>
      </c>
      <c r="D21" s="11">
        <f>'res_raw_57068515'!$D$19</f>
        <v/>
      </c>
      <c r="E21" s="11">
        <f>'res_raw_57068515'!$E$19</f>
        <v/>
      </c>
      <c r="F21" s="11">
        <f>'res_raw_57068515'!$F$19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7" t="inlineStr">
        <is>
          <t>Årets resultat</t>
        </is>
      </c>
      <c r="B22" s="8">
        <f>'res_raw_57068515'!$B$20</f>
        <v/>
      </c>
      <c r="C22" s="8">
        <f>'res_raw_57068515'!$C$20</f>
        <v/>
      </c>
      <c r="D22" s="8">
        <f>'res_raw_57068515'!$D$20</f>
        <v/>
      </c>
      <c r="E22" s="8">
        <f>'res_raw_57068515'!$E$20</f>
        <v/>
      </c>
      <c r="F22" s="8">
        <f>'res_raw_57068515'!$F$20</f>
        <v/>
      </c>
      <c r="G22" t="inlineStr"/>
      <c r="H22" s="9">
        <f>IFERROR(B22/$B$22*100,"")</f>
        <v/>
      </c>
      <c r="I22" s="9">
        <f>IFERROR(C22/$B$22*100,"")</f>
        <v/>
      </c>
      <c r="J22" s="9">
        <f>IFERROR(D22/$B$22*100,"")</f>
        <v/>
      </c>
      <c r="K22" s="9">
        <f>IFERROR(E22/$B$22*100,"")</f>
        <v/>
      </c>
      <c r="L22" s="9">
        <f>IFERROR(F22/$B$22*100,"")</f>
        <v/>
      </c>
    </row>
    <row r="24" ht="22" customHeight="1">
      <c r="A24" s="3" t="inlineStr">
        <is>
          <t>AKTIVER t.kr.</t>
        </is>
      </c>
      <c r="B24" s="3" t="n">
        <v>2021</v>
      </c>
      <c r="C24" s="3" t="n">
        <v>2022</v>
      </c>
      <c r="D24" s="3" t="n">
        <v>2023</v>
      </c>
      <c r="E24" s="3" t="n">
        <v>2024</v>
      </c>
      <c r="F24" s="3" t="n">
        <v>2025</v>
      </c>
      <c r="G24" t="inlineStr"/>
      <c r="H24" s="3" t="n">
        <v>2021</v>
      </c>
      <c r="I24" s="3" t="n">
        <v>2022</v>
      </c>
      <c r="J24" s="3" t="n">
        <v>2023</v>
      </c>
      <c r="K24" s="3" t="n">
        <v>2024</v>
      </c>
      <c r="L24" s="3" t="n">
        <v>2025</v>
      </c>
    </row>
    <row r="25" ht="16" customHeight="1">
      <c r="A25" s="10" t="inlineStr">
        <is>
          <t>Udviklingsprojekter</t>
        </is>
      </c>
      <c r="B25" s="11">
        <f>'balance_raw_57068515'!$B$2</f>
        <v/>
      </c>
      <c r="C25" s="11">
        <f>'balance_raw_57068515'!$C$2</f>
        <v/>
      </c>
      <c r="D25" s="11">
        <f>'balance_raw_57068515'!$D$2</f>
        <v/>
      </c>
      <c r="E25" s="11">
        <f>'balance_raw_57068515'!$E$2</f>
        <v/>
      </c>
      <c r="F25" s="11">
        <f>'balance_raw_57068515'!$F$2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Patenter, varemærker mv.</t>
        </is>
      </c>
      <c r="B26" s="5">
        <f>'balance_raw_57068515'!$B$3</f>
        <v/>
      </c>
      <c r="C26" s="5">
        <f>'balance_raw_57068515'!$C$3</f>
        <v/>
      </c>
      <c r="D26" s="5">
        <f>'balance_raw_57068515'!$D$3</f>
        <v/>
      </c>
      <c r="E26" s="5">
        <f>'balance_raw_57068515'!$E$3</f>
        <v/>
      </c>
      <c r="F26" s="5">
        <f>'balance_raw_57068515'!$F$3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Goodwill</t>
        </is>
      </c>
      <c r="B27" s="11">
        <f>'balance_raw_57068515'!$B$4</f>
        <v/>
      </c>
      <c r="C27" s="11">
        <f>'balance_raw_57068515'!$C$4</f>
        <v/>
      </c>
      <c r="D27" s="11">
        <f>'balance_raw_57068515'!$D$4</f>
        <v/>
      </c>
      <c r="E27" s="11">
        <f>'balance_raw_57068515'!$E$4</f>
        <v/>
      </c>
      <c r="F27" s="11">
        <f>'balance_raw_57068515'!$F$4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7" t="inlineStr">
        <is>
          <t>Immaterielle anlægsaktiver</t>
        </is>
      </c>
      <c r="B28" s="8">
        <f>'balance_raw_57068515'!$B$5</f>
        <v/>
      </c>
      <c r="C28" s="8">
        <f>'balance_raw_57068515'!$C$5</f>
        <v/>
      </c>
      <c r="D28" s="8">
        <f>'balance_raw_57068515'!$D$5</f>
        <v/>
      </c>
      <c r="E28" s="8">
        <f>'balance_raw_57068515'!$E$5</f>
        <v/>
      </c>
      <c r="F28" s="8">
        <f>'balance_raw_57068515'!$F$5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10" t="inlineStr">
        <is>
          <t>Grunde og bygninger</t>
        </is>
      </c>
      <c r="B29" s="11">
        <f>'balance_raw_57068515'!$B$6</f>
        <v/>
      </c>
      <c r="C29" s="11">
        <f>'balance_raw_57068515'!$C$6</f>
        <v/>
      </c>
      <c r="D29" s="11">
        <f>'balance_raw_57068515'!$D$6</f>
        <v/>
      </c>
      <c r="E29" s="11">
        <f>'balance_raw_57068515'!$E$6</f>
        <v/>
      </c>
      <c r="F29" s="11">
        <f>'balance_raw_57068515'!$F$6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Produktionsanlæg og maskiner</t>
        </is>
      </c>
      <c r="B30" s="5">
        <f>'balance_raw_57068515'!$B$7</f>
        <v/>
      </c>
      <c r="C30" s="5">
        <f>'balance_raw_57068515'!$C$7</f>
        <v/>
      </c>
      <c r="D30" s="5">
        <f>'balance_raw_57068515'!$D$7</f>
        <v/>
      </c>
      <c r="E30" s="5">
        <f>'balance_raw_57068515'!$E$7</f>
        <v/>
      </c>
      <c r="F30" s="5">
        <f>'balance_raw_57068515'!$F$7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Driftsmateriel og inventar</t>
        </is>
      </c>
      <c r="B31" s="11">
        <f>'balance_raw_57068515'!$B$8</f>
        <v/>
      </c>
      <c r="C31" s="11">
        <f>'balance_raw_57068515'!$C$8</f>
        <v/>
      </c>
      <c r="D31" s="11">
        <f>'balance_raw_57068515'!$D$8</f>
        <v/>
      </c>
      <c r="E31" s="11">
        <f>'balance_raw_57068515'!$E$8</f>
        <v/>
      </c>
      <c r="F31" s="11">
        <f>'balance_raw_57068515'!$F$8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Indretning af lejede lokaler</t>
        </is>
      </c>
      <c r="B32" s="5">
        <f>'balance_raw_57068515'!$B$9</f>
        <v/>
      </c>
      <c r="C32" s="5">
        <f>'balance_raw_57068515'!$C$9</f>
        <v/>
      </c>
      <c r="D32" s="5">
        <f>'balance_raw_57068515'!$D$9</f>
        <v/>
      </c>
      <c r="E32" s="5">
        <f>'balance_raw_57068515'!$E$9</f>
        <v/>
      </c>
      <c r="F32" s="5">
        <f>'balance_raw_57068515'!$F$9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Forudbetaling og anlægsaktiver under opførelse</t>
        </is>
      </c>
      <c r="B33" s="11">
        <f>'balance_raw_57068515'!$B$10</f>
        <v/>
      </c>
      <c r="C33" s="11">
        <f>'balance_raw_57068515'!$C$10</f>
        <v/>
      </c>
      <c r="D33" s="11">
        <f>'balance_raw_57068515'!$D$10</f>
        <v/>
      </c>
      <c r="E33" s="11">
        <f>'balance_raw_57068515'!$E$10</f>
        <v/>
      </c>
      <c r="F33" s="11">
        <f>'balance_raw_57068515'!$F$10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Materielle anlægsaktiver</t>
        </is>
      </c>
      <c r="B34" s="8">
        <f>'balance_raw_57068515'!$B$11</f>
        <v/>
      </c>
      <c r="C34" s="8">
        <f>'balance_raw_57068515'!$C$11</f>
        <v/>
      </c>
      <c r="D34" s="8">
        <f>'balance_raw_57068515'!$D$11</f>
        <v/>
      </c>
      <c r="E34" s="8">
        <f>'balance_raw_57068515'!$E$11</f>
        <v/>
      </c>
      <c r="F34" s="8">
        <f>'balance_raw_57068515'!$F$11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Anlægsaktiver</t>
        </is>
      </c>
      <c r="B35" s="8">
        <f>'balance_raw_57068515'!$B$12</f>
        <v/>
      </c>
      <c r="C35" s="8">
        <f>'balance_raw_57068515'!$C$12</f>
        <v/>
      </c>
      <c r="D35" s="8">
        <f>'balance_raw_57068515'!$D$12</f>
        <v/>
      </c>
      <c r="E35" s="8">
        <f>'balance_raw_57068515'!$E$12</f>
        <v/>
      </c>
      <c r="F35" s="8">
        <f>'balance_raw_57068515'!$F$12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Råvarer og hjælpematerialer</t>
        </is>
      </c>
      <c r="B36" s="5">
        <f>'balance_raw_57068515'!$B$13</f>
        <v/>
      </c>
      <c r="C36" s="5">
        <f>'balance_raw_57068515'!$C$13</f>
        <v/>
      </c>
      <c r="D36" s="5">
        <f>'balance_raw_57068515'!$D$13</f>
        <v/>
      </c>
      <c r="E36" s="5">
        <f>'balance_raw_57068515'!$E$13</f>
        <v/>
      </c>
      <c r="F36" s="5">
        <f>'balance_raw_57068515'!$F$13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Varer under fremstilling</t>
        </is>
      </c>
      <c r="B37" s="11">
        <f>'balance_raw_57068515'!$B$14</f>
        <v/>
      </c>
      <c r="C37" s="11">
        <f>'balance_raw_57068515'!$C$14</f>
        <v/>
      </c>
      <c r="D37" s="11">
        <f>'balance_raw_57068515'!$D$14</f>
        <v/>
      </c>
      <c r="E37" s="11">
        <f>'balance_raw_57068515'!$E$14</f>
        <v/>
      </c>
      <c r="F37" s="11">
        <f>'balance_raw_57068515'!$F$14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Færdigvarer og handelsvarer</t>
        </is>
      </c>
      <c r="B38" s="5">
        <f>'balance_raw_57068515'!$B$15</f>
        <v/>
      </c>
      <c r="C38" s="5">
        <f>'balance_raw_57068515'!$C$15</f>
        <v/>
      </c>
      <c r="D38" s="5">
        <f>'balance_raw_57068515'!$D$15</f>
        <v/>
      </c>
      <c r="E38" s="5">
        <f>'balance_raw_57068515'!$E$15</f>
        <v/>
      </c>
      <c r="F38" s="5">
        <f>'balance_raw_57068515'!$F$15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Varebeholdninger</t>
        </is>
      </c>
      <c r="B39" s="8">
        <f>'balance_raw_57068515'!$B$16</f>
        <v/>
      </c>
      <c r="C39" s="8">
        <f>'balance_raw_57068515'!$C$16</f>
        <v/>
      </c>
      <c r="D39" s="8">
        <f>'balance_raw_57068515'!$D$16</f>
        <v/>
      </c>
      <c r="E39" s="8">
        <f>'balance_raw_57068515'!$E$16</f>
        <v/>
      </c>
      <c r="F39" s="8">
        <f>'balance_raw_57068515'!$F$16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Tilgodehavender fra salg og tjenesteydelser</t>
        </is>
      </c>
      <c r="B40" s="5">
        <f>'balance_raw_57068515'!$B$17</f>
        <v/>
      </c>
      <c r="C40" s="5">
        <f>'balance_raw_57068515'!$C$17</f>
        <v/>
      </c>
      <c r="D40" s="5">
        <f>'balance_raw_57068515'!$D$17</f>
        <v/>
      </c>
      <c r="E40" s="5">
        <f>'balance_raw_57068515'!$E$17</f>
        <v/>
      </c>
      <c r="F40" s="5">
        <f>'balance_raw_57068515'!$F$17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Tilgodehavender hos tilknyttede virksomheder</t>
        </is>
      </c>
      <c r="B41" s="11">
        <f>'balance_raw_57068515'!$B$18</f>
        <v/>
      </c>
      <c r="C41" s="11">
        <f>'balance_raw_57068515'!$C$18</f>
        <v/>
      </c>
      <c r="D41" s="11">
        <f>'balance_raw_57068515'!$D$18</f>
        <v/>
      </c>
      <c r="E41" s="11">
        <f>'balance_raw_57068515'!$E$18</f>
        <v/>
      </c>
      <c r="F41" s="11">
        <f>'balance_raw_57068515'!$F$18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Andre tilgodehavender</t>
        </is>
      </c>
      <c r="B42" s="5">
        <f>'balance_raw_57068515'!$B$19</f>
        <v/>
      </c>
      <c r="C42" s="5">
        <f>'balance_raw_57068515'!$C$19</f>
        <v/>
      </c>
      <c r="D42" s="5">
        <f>'balance_raw_57068515'!$D$19</f>
        <v/>
      </c>
      <c r="E42" s="5">
        <f>'balance_raw_57068515'!$E$19</f>
        <v/>
      </c>
      <c r="F42" s="5">
        <f>'balance_raw_57068515'!$F$19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Periodeafgrænsningsposter (aktiver)</t>
        </is>
      </c>
      <c r="B43" s="11">
        <f>'balance_raw_57068515'!$B$20</f>
        <v/>
      </c>
      <c r="C43" s="11">
        <f>'balance_raw_57068515'!$C$20</f>
        <v/>
      </c>
      <c r="D43" s="11">
        <f>'balance_raw_57068515'!$D$20</f>
        <v/>
      </c>
      <c r="E43" s="11">
        <f>'balance_raw_57068515'!$E$20</f>
        <v/>
      </c>
      <c r="F43" s="11">
        <f>'balance_raw_57068515'!$F$20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Udskudt skatteaktiv</t>
        </is>
      </c>
      <c r="B44" s="5">
        <f>'balance_raw_57068515'!$B$21</f>
        <v/>
      </c>
      <c r="C44" s="5">
        <f>'balance_raw_57068515'!$C$21</f>
        <v/>
      </c>
      <c r="D44" s="5">
        <f>'balance_raw_57068515'!$D$21</f>
        <v/>
      </c>
      <c r="E44" s="5">
        <f>'balance_raw_57068515'!$E$21</f>
        <v/>
      </c>
      <c r="F44" s="5">
        <f>'balance_raw_57068515'!$F$21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 skat hos tilknyttede virksomheder</t>
        </is>
      </c>
      <c r="B45" s="11">
        <f>'balance_raw_57068515'!$B$22</f>
        <v/>
      </c>
      <c r="C45" s="11">
        <f>'balance_raw_57068515'!$C$22</f>
        <v/>
      </c>
      <c r="D45" s="11">
        <f>'balance_raw_57068515'!$D$22</f>
        <v/>
      </c>
      <c r="E45" s="11">
        <f>'balance_raw_57068515'!$E$22</f>
        <v/>
      </c>
      <c r="F45" s="11">
        <f>'balance_raw_57068515'!$F$22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Kortfristede skattetilgodehavender</t>
        </is>
      </c>
      <c r="B46" s="5">
        <f>'balance_raw_57068515'!$B$23</f>
        <v/>
      </c>
      <c r="C46" s="5">
        <f>'balance_raw_57068515'!$C$23</f>
        <v/>
      </c>
      <c r="D46" s="5">
        <f>'balance_raw_57068515'!$D$23</f>
        <v/>
      </c>
      <c r="E46" s="5">
        <f>'balance_raw_57068515'!$E$23</f>
        <v/>
      </c>
      <c r="F46" s="5">
        <f>'balance_raw_57068515'!$F$23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Tilgodehavender</t>
        </is>
      </c>
      <c r="B47" s="8">
        <f>'balance_raw_57068515'!$B$24</f>
        <v/>
      </c>
      <c r="C47" s="8">
        <f>'balance_raw_57068515'!$C$24</f>
        <v/>
      </c>
      <c r="D47" s="8">
        <f>'balance_raw_57068515'!$D$24</f>
        <v/>
      </c>
      <c r="E47" s="8">
        <f>'balance_raw_57068515'!$E$24</f>
        <v/>
      </c>
      <c r="F47" s="8">
        <f>'balance_raw_57068515'!$F$24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Værdipapirer</t>
        </is>
      </c>
      <c r="B48" s="5">
        <f>'balance_raw_57068515'!$B$25</f>
        <v/>
      </c>
      <c r="C48" s="5">
        <f>'balance_raw_57068515'!$C$25</f>
        <v/>
      </c>
      <c r="D48" s="5">
        <f>'balance_raw_57068515'!$D$25</f>
        <v/>
      </c>
      <c r="E48" s="5">
        <f>'balance_raw_57068515'!$E$25</f>
        <v/>
      </c>
      <c r="F48" s="5">
        <f>'balance_raw_57068515'!$F$25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Likvide beholdninger</t>
        </is>
      </c>
      <c r="B49" s="11">
        <f>'balance_raw_57068515'!$B$26</f>
        <v/>
      </c>
      <c r="C49" s="11">
        <f>'balance_raw_57068515'!$C$26</f>
        <v/>
      </c>
      <c r="D49" s="11">
        <f>'balance_raw_57068515'!$D$26</f>
        <v/>
      </c>
      <c r="E49" s="11">
        <f>'balance_raw_57068515'!$E$26</f>
        <v/>
      </c>
      <c r="F49" s="11">
        <f>'balance_raw_57068515'!$F$26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7" t="inlineStr">
        <is>
          <t>Omsætningsaktiver</t>
        </is>
      </c>
      <c r="B50" s="8">
        <f>'balance_raw_57068515'!$B$27</f>
        <v/>
      </c>
      <c r="C50" s="8">
        <f>'balance_raw_57068515'!$C$27</f>
        <v/>
      </c>
      <c r="D50" s="8">
        <f>'balance_raw_57068515'!$D$27</f>
        <v/>
      </c>
      <c r="E50" s="8">
        <f>'balance_raw_57068515'!$E$27</f>
        <v/>
      </c>
      <c r="F50" s="8">
        <f>'balance_raw_57068515'!$F$27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1" ht="16" customHeight="1">
      <c r="A51" s="7" t="inlineStr">
        <is>
          <t>Aktiver</t>
        </is>
      </c>
      <c r="B51" s="8">
        <f>'balance_raw_57068515'!$B$28</f>
        <v/>
      </c>
      <c r="C51" s="8">
        <f>'balance_raw_57068515'!$C$28</f>
        <v/>
      </c>
      <c r="D51" s="8">
        <f>'balance_raw_57068515'!$D$28</f>
        <v/>
      </c>
      <c r="E51" s="8">
        <f>'balance_raw_57068515'!$E$28</f>
        <v/>
      </c>
      <c r="F51" s="8">
        <f>'balance_raw_57068515'!$F$28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3" ht="22" customHeight="1">
      <c r="A53" s="3" t="inlineStr">
        <is>
          <t>PASSIVER t.kr.</t>
        </is>
      </c>
      <c r="B53" s="3" t="n">
        <v>2021</v>
      </c>
      <c r="C53" s="3" t="n">
        <v>2022</v>
      </c>
      <c r="D53" s="3" t="n">
        <v>2023</v>
      </c>
      <c r="E53" s="3" t="n">
        <v>2024</v>
      </c>
      <c r="F53" s="3" t="n">
        <v>2025</v>
      </c>
      <c r="G53" t="inlineStr"/>
      <c r="H53" s="3" t="n">
        <v>2021</v>
      </c>
      <c r="I53" s="3" t="n">
        <v>2022</v>
      </c>
      <c r="J53" s="3" t="n">
        <v>2023</v>
      </c>
      <c r="K53" s="3" t="n">
        <v>2024</v>
      </c>
      <c r="L53" s="3" t="n">
        <v>2025</v>
      </c>
    </row>
    <row r="54" ht="16" customHeight="1">
      <c r="A54" s="4" t="inlineStr">
        <is>
          <t>Selskabskapital</t>
        </is>
      </c>
      <c r="B54" s="5">
        <f>'balance_raw_57068515'!$B$29</f>
        <v/>
      </c>
      <c r="C54" s="5">
        <f>'balance_raw_57068515'!$C$29</f>
        <v/>
      </c>
      <c r="D54" s="5">
        <f>'balance_raw_57068515'!$D$29</f>
        <v/>
      </c>
      <c r="E54" s="5">
        <f>'balance_raw_57068515'!$E$29</f>
        <v/>
      </c>
      <c r="F54" s="5">
        <f>'balance_raw_57068515'!$F$29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nettoopskrivning (indre værdis metode)</t>
        </is>
      </c>
      <c r="B55" s="11">
        <f>'balance_raw_57068515'!$B$30</f>
        <v/>
      </c>
      <c r="C55" s="11">
        <f>'balance_raw_57068515'!$C$30</f>
        <v/>
      </c>
      <c r="D55" s="11">
        <f>'balance_raw_57068515'!$D$30</f>
        <v/>
      </c>
      <c r="E55" s="11">
        <f>'balance_raw_57068515'!$E$30</f>
        <v/>
      </c>
      <c r="F55" s="11">
        <f>'balance_raw_57068515'!$F$30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udviklingsomkostninger</t>
        </is>
      </c>
      <c r="B56" s="5">
        <f>'balance_raw_57068515'!$B$31</f>
        <v/>
      </c>
      <c r="C56" s="5">
        <f>'balance_raw_57068515'!$C$31</f>
        <v/>
      </c>
      <c r="D56" s="5">
        <f>'balance_raw_57068515'!$D$31</f>
        <v/>
      </c>
      <c r="E56" s="5">
        <f>'balance_raw_57068515'!$E$31</f>
        <v/>
      </c>
      <c r="F56" s="5">
        <f>'balance_raw_57068515'!$F$31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Reserve for sikringstransaktioner</t>
        </is>
      </c>
      <c r="B57" s="11">
        <f>'balance_raw_57068515'!$B$32</f>
        <v/>
      </c>
      <c r="C57" s="11">
        <f>'balance_raw_57068515'!$C$32</f>
        <v/>
      </c>
      <c r="D57" s="11">
        <f>'balance_raw_57068515'!$D$32</f>
        <v/>
      </c>
      <c r="E57" s="11">
        <f>'balance_raw_57068515'!$E$32</f>
        <v/>
      </c>
      <c r="F57" s="11">
        <f>'balance_raw_57068515'!$F$32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Andre reserver</t>
        </is>
      </c>
      <c r="B58" s="5">
        <f>'balance_raw_57068515'!$B$33</f>
        <v/>
      </c>
      <c r="C58" s="5">
        <f>'balance_raw_57068515'!$C$33</f>
        <v/>
      </c>
      <c r="D58" s="5">
        <f>'balance_raw_57068515'!$D$33</f>
        <v/>
      </c>
      <c r="E58" s="5">
        <f>'balance_raw_57068515'!$E$33</f>
        <v/>
      </c>
      <c r="F58" s="5">
        <f>'balance_raw_57068515'!$F$33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Overført resultat</t>
        </is>
      </c>
      <c r="B59" s="11">
        <f>'balance_raw_57068515'!$B$34</f>
        <v/>
      </c>
      <c r="C59" s="11">
        <f>'balance_raw_57068515'!$C$34</f>
        <v/>
      </c>
      <c r="D59" s="11">
        <f>'balance_raw_57068515'!$D$34</f>
        <v/>
      </c>
      <c r="E59" s="11">
        <f>'balance_raw_57068515'!$E$34</f>
        <v/>
      </c>
      <c r="F59" s="11">
        <f>'balance_raw_57068515'!$F$34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7" t="inlineStr">
        <is>
          <t>Egenkapital i alt</t>
        </is>
      </c>
      <c r="B60" s="8">
        <f>'balance_raw_57068515'!$B$35</f>
        <v/>
      </c>
      <c r="C60" s="8">
        <f>'balance_raw_57068515'!$C$35</f>
        <v/>
      </c>
      <c r="D60" s="8">
        <f>'balance_raw_57068515'!$D$35</f>
        <v/>
      </c>
      <c r="E60" s="8">
        <f>'balance_raw_57068515'!$E$35</f>
        <v/>
      </c>
      <c r="F60" s="8">
        <f>'balance_raw_57068515'!$F$35</f>
        <v/>
      </c>
      <c r="G60" t="inlineStr"/>
      <c r="H60" s="9">
        <f>IFERROR(B60/$B$60*100,"")</f>
        <v/>
      </c>
      <c r="I60" s="9">
        <f>IFERROR(C60/$B$60*100,"")</f>
        <v/>
      </c>
      <c r="J60" s="9">
        <f>IFERROR(D60/$B$60*100,"")</f>
        <v/>
      </c>
      <c r="K60" s="9">
        <f>IFERROR(E60/$B$60*100,"")</f>
        <v/>
      </c>
      <c r="L60" s="9">
        <f>IFERROR(F60/$B$60*100,"")</f>
        <v/>
      </c>
    </row>
    <row r="61" ht="16" customHeight="1">
      <c r="A61" s="10" t="inlineStr">
        <is>
          <t>Hensættelse til udskudt skat</t>
        </is>
      </c>
      <c r="B61" s="11">
        <f>'balance_raw_57068515'!$B$36</f>
        <v/>
      </c>
      <c r="C61" s="11">
        <f>'balance_raw_57068515'!$C$36</f>
        <v/>
      </c>
      <c r="D61" s="11">
        <f>'balance_raw_57068515'!$D$36</f>
        <v/>
      </c>
      <c r="E61" s="11">
        <f>'balance_raw_57068515'!$E$36</f>
        <v/>
      </c>
      <c r="F61" s="11">
        <f>'balance_raw_57068515'!$F$36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7" t="inlineStr">
        <is>
          <t>Hensatte forpligtelser</t>
        </is>
      </c>
      <c r="B62" s="8">
        <f>'balance_raw_57068515'!$B$37</f>
        <v/>
      </c>
      <c r="C62" s="8">
        <f>'balance_raw_57068515'!$C$37</f>
        <v/>
      </c>
      <c r="D62" s="8">
        <f>'balance_raw_57068515'!$D$37</f>
        <v/>
      </c>
      <c r="E62" s="8">
        <f>'balance_raw_57068515'!$E$37</f>
        <v/>
      </c>
      <c r="F62" s="8">
        <f>'balance_raw_57068515'!$F$37</f>
        <v/>
      </c>
      <c r="G62" t="inlineStr"/>
      <c r="H62" s="9">
        <f>IFERROR(B62/$B$62*100,"")</f>
        <v/>
      </c>
      <c r="I62" s="9">
        <f>IFERROR(C62/$B$62*100,"")</f>
        <v/>
      </c>
      <c r="J62" s="9">
        <f>IFERROR(D62/$B$62*100,"")</f>
        <v/>
      </c>
      <c r="K62" s="9">
        <f>IFERROR(E62/$B$62*100,"")</f>
        <v/>
      </c>
      <c r="L62" s="9">
        <f>IFERROR(F62/$B$62*100,"")</f>
        <v/>
      </c>
    </row>
    <row r="63" ht="16" customHeight="1">
      <c r="A63" s="10" t="inlineStr">
        <is>
          <t>Ansvarlig lånekapital (langfristet)</t>
        </is>
      </c>
      <c r="B63" s="11">
        <f>'balance_raw_57068515'!$B$38</f>
        <v/>
      </c>
      <c r="C63" s="11">
        <f>'balance_raw_57068515'!$C$38</f>
        <v/>
      </c>
      <c r="D63" s="11">
        <f>'balance_raw_57068515'!$D$38</f>
        <v/>
      </c>
      <c r="E63" s="11">
        <f>'balance_raw_57068515'!$E$38</f>
        <v/>
      </c>
      <c r="F63" s="11">
        <f>'balance_raw_57068515'!$F$38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Langfristede lån</t>
        </is>
      </c>
      <c r="B64" s="5">
        <f>'balance_raw_57068515'!$B$39</f>
        <v/>
      </c>
      <c r="C64" s="5">
        <f>'balance_raw_57068515'!$C$39</f>
        <v/>
      </c>
      <c r="D64" s="5">
        <f>'balance_raw_57068515'!$D$39</f>
        <v/>
      </c>
      <c r="E64" s="5">
        <f>'balance_raw_57068515'!$E$39</f>
        <v/>
      </c>
      <c r="F64" s="5">
        <f>'balance_raw_57068515'!$F$39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Leasingforpligtelser (langfristet)</t>
        </is>
      </c>
      <c r="B65" s="11">
        <f>'balance_raw_57068515'!$B$40</f>
        <v/>
      </c>
      <c r="C65" s="11">
        <f>'balance_raw_57068515'!$C$40</f>
        <v/>
      </c>
      <c r="D65" s="11">
        <f>'balance_raw_57068515'!$D$40</f>
        <v/>
      </c>
      <c r="E65" s="11">
        <f>'balance_raw_57068515'!$E$40</f>
        <v/>
      </c>
      <c r="F65" s="11">
        <f>'balance_raw_57068515'!$F$40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Anden gæld (langfristet)</t>
        </is>
      </c>
      <c r="B66" s="5">
        <f>'balance_raw_57068515'!$B$41</f>
        <v/>
      </c>
      <c r="C66" s="5">
        <f>'balance_raw_57068515'!$C$41</f>
        <v/>
      </c>
      <c r="D66" s="5">
        <f>'balance_raw_57068515'!$D$41</f>
        <v/>
      </c>
      <c r="E66" s="5">
        <f>'balance_raw_57068515'!$E$41</f>
        <v/>
      </c>
      <c r="F66" s="5">
        <f>'balance_raw_57068515'!$F$41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Langfristede gældsforpligtelser</t>
        </is>
      </c>
      <c r="B67" s="8">
        <f>'balance_raw_57068515'!$B$42</f>
        <v/>
      </c>
      <c r="C67" s="8">
        <f>'balance_raw_57068515'!$C$42</f>
        <v/>
      </c>
      <c r="D67" s="8">
        <f>'balance_raw_57068515'!$D$42</f>
        <v/>
      </c>
      <c r="E67" s="8">
        <f>'balance_raw_57068515'!$E$42</f>
        <v/>
      </c>
      <c r="F67" s="8">
        <f>'balance_raw_57068515'!$F$42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Ansvarlig lånekapital (kortfristet)</t>
        </is>
      </c>
      <c r="B68" s="5">
        <f>'balance_raw_57068515'!$B$43</f>
        <v/>
      </c>
      <c r="C68" s="5">
        <f>'balance_raw_57068515'!$C$43</f>
        <v/>
      </c>
      <c r="D68" s="5">
        <f>'balance_raw_57068515'!$D$43</f>
        <v/>
      </c>
      <c r="E68" s="5">
        <f>'balance_raw_57068515'!$E$43</f>
        <v/>
      </c>
      <c r="F68" s="5">
        <f>'balance_raw_57068515'!$F$43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Kortfristet del af langfristede gældsforpligtelser</t>
        </is>
      </c>
      <c r="B69" s="11">
        <f>'balance_raw_57068515'!$B$44</f>
        <v/>
      </c>
      <c r="C69" s="11">
        <f>'balance_raw_57068515'!$C$44</f>
        <v/>
      </c>
      <c r="D69" s="11">
        <f>'balance_raw_57068515'!$D$44</f>
        <v/>
      </c>
      <c r="E69" s="11">
        <f>'balance_raw_57068515'!$E$44</f>
        <v/>
      </c>
      <c r="F69" s="11">
        <f>'balance_raw_57068515'!$F$44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Kreditinstitutter</t>
        </is>
      </c>
      <c r="B70" s="5">
        <f>'balance_raw_57068515'!$B$45</f>
        <v/>
      </c>
      <c r="C70" s="5">
        <f>'balance_raw_57068515'!$C$45</f>
        <v/>
      </c>
      <c r="D70" s="5">
        <f>'balance_raw_57068515'!$D$45</f>
        <v/>
      </c>
      <c r="E70" s="5">
        <f>'balance_raw_57068515'!$E$45</f>
        <v/>
      </c>
      <c r="F70" s="5">
        <f>'balance_raw_57068515'!$F$45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Leasingforpligtelser (kortfristet)</t>
        </is>
      </c>
      <c r="B71" s="11">
        <f>'balance_raw_57068515'!$B$46</f>
        <v/>
      </c>
      <c r="C71" s="11">
        <f>'balance_raw_57068515'!$C$46</f>
        <v/>
      </c>
      <c r="D71" s="11">
        <f>'balance_raw_57068515'!$D$46</f>
        <v/>
      </c>
      <c r="E71" s="11">
        <f>'balance_raw_57068515'!$E$46</f>
        <v/>
      </c>
      <c r="F71" s="11">
        <f>'balance_raw_57068515'!$F$46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Leverandører af varer og tjenesteydelser</t>
        </is>
      </c>
      <c r="B72" s="5">
        <f>'balance_raw_57068515'!$B$47</f>
        <v/>
      </c>
      <c r="C72" s="5">
        <f>'balance_raw_57068515'!$C$47</f>
        <v/>
      </c>
      <c r="D72" s="5">
        <f>'balance_raw_57068515'!$D$47</f>
        <v/>
      </c>
      <c r="E72" s="5">
        <f>'balance_raw_57068515'!$E$47</f>
        <v/>
      </c>
      <c r="F72" s="5">
        <f>'balance_raw_57068515'!$F$47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tilknyttede virksomheder</t>
        </is>
      </c>
      <c r="B73" s="11">
        <f>'balance_raw_57068515'!$B$48</f>
        <v/>
      </c>
      <c r="C73" s="11">
        <f>'balance_raw_57068515'!$C$48</f>
        <v/>
      </c>
      <c r="D73" s="11">
        <f>'balance_raw_57068515'!$D$48</f>
        <v/>
      </c>
      <c r="E73" s="11">
        <f>'balance_raw_57068515'!$E$48</f>
        <v/>
      </c>
      <c r="F73" s="11">
        <f>'balance_raw_57068515'!$F$48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Gæld til selskabsdeltagere og ledelse</t>
        </is>
      </c>
      <c r="B74" s="5">
        <f>'balance_raw_57068515'!$B$49</f>
        <v/>
      </c>
      <c r="C74" s="5">
        <f>'balance_raw_57068515'!$C$49</f>
        <v/>
      </c>
      <c r="D74" s="5">
        <f>'balance_raw_57068515'!$D$49</f>
        <v/>
      </c>
      <c r="E74" s="5">
        <f>'balance_raw_57068515'!$E$49</f>
        <v/>
      </c>
      <c r="F74" s="5">
        <f>'balance_raw_57068515'!$F$49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Selskabsskat</t>
        </is>
      </c>
      <c r="B75" s="11">
        <f>'balance_raw_57068515'!$B$50</f>
        <v/>
      </c>
      <c r="C75" s="11">
        <f>'balance_raw_57068515'!$C$50</f>
        <v/>
      </c>
      <c r="D75" s="11">
        <f>'balance_raw_57068515'!$D$50</f>
        <v/>
      </c>
      <c r="E75" s="11">
        <f>'balance_raw_57068515'!$E$50</f>
        <v/>
      </c>
      <c r="F75" s="11">
        <f>'balance_raw_57068515'!$F$50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Gæld til tilknyttede virksomheder vedr. selskabsskat</t>
        </is>
      </c>
      <c r="B76" s="5">
        <f>'balance_raw_57068515'!$B$51</f>
        <v/>
      </c>
      <c r="C76" s="5">
        <f>'balance_raw_57068515'!$C$51</f>
        <v/>
      </c>
      <c r="D76" s="5">
        <f>'balance_raw_57068515'!$D$51</f>
        <v/>
      </c>
      <c r="E76" s="5">
        <f>'balance_raw_57068515'!$E$51</f>
        <v/>
      </c>
      <c r="F76" s="5">
        <f>'balance_raw_57068515'!$F$51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Anden gæld (kortfristet)</t>
        </is>
      </c>
      <c r="B77" s="11">
        <f>'balance_raw_57068515'!$B$52</f>
        <v/>
      </c>
      <c r="C77" s="11">
        <f>'balance_raw_57068515'!$C$52</f>
        <v/>
      </c>
      <c r="D77" s="11">
        <f>'balance_raw_57068515'!$D$52</f>
        <v/>
      </c>
      <c r="E77" s="11">
        <f>'balance_raw_57068515'!$E$52</f>
        <v/>
      </c>
      <c r="F77" s="11">
        <f>'balance_raw_57068515'!$F$52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4" t="inlineStr">
        <is>
          <t>Periodeafgrænsningsposter (passiver)</t>
        </is>
      </c>
      <c r="B78" s="5">
        <f>'balance_raw_57068515'!$B$53</f>
        <v/>
      </c>
      <c r="C78" s="5">
        <f>'balance_raw_57068515'!$C$53</f>
        <v/>
      </c>
      <c r="D78" s="5">
        <f>'balance_raw_57068515'!$D$53</f>
        <v/>
      </c>
      <c r="E78" s="5">
        <f>'balance_raw_57068515'!$E$53</f>
        <v/>
      </c>
      <c r="F78" s="5">
        <f>'balance_raw_57068515'!$F$53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Kortfristede gældsforpligtelser</t>
        </is>
      </c>
      <c r="B79" s="8">
        <f>'balance_raw_57068515'!$B$54</f>
        <v/>
      </c>
      <c r="C79" s="8">
        <f>'balance_raw_57068515'!$C$54</f>
        <v/>
      </c>
      <c r="D79" s="8">
        <f>'balance_raw_57068515'!$D$54</f>
        <v/>
      </c>
      <c r="E79" s="8">
        <f>'balance_raw_57068515'!$E$54</f>
        <v/>
      </c>
      <c r="F79" s="8">
        <f>'balance_raw_57068515'!$F$54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Gældsforpligtelser</t>
        </is>
      </c>
      <c r="B80" s="8">
        <f>'balance_raw_57068515'!$B$55</f>
        <v/>
      </c>
      <c r="C80" s="8">
        <f>'balance_raw_57068515'!$C$55</f>
        <v/>
      </c>
      <c r="D80" s="8">
        <f>'balance_raw_57068515'!$D$55</f>
        <v/>
      </c>
      <c r="E80" s="8">
        <f>'balance_raw_57068515'!$E$55</f>
        <v/>
      </c>
      <c r="F80" s="8">
        <f>'balance_raw_57068515'!$F$55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1" ht="16" customHeight="1">
      <c r="A81" s="7" t="inlineStr">
        <is>
          <t>Passiver</t>
        </is>
      </c>
      <c r="B81" s="8">
        <f>'balance_raw_57068515'!$B$56</f>
        <v/>
      </c>
      <c r="C81" s="8">
        <f>'balance_raw_57068515'!$C$56</f>
        <v/>
      </c>
      <c r="D81" s="8">
        <f>'balance_raw_57068515'!$D$56</f>
        <v/>
      </c>
      <c r="E81" s="8">
        <f>'balance_raw_57068515'!$E$56</f>
        <v/>
      </c>
      <c r="F81" s="8">
        <f>'balance_raw_57068515'!$F$56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NØGLEOPLYSNINGER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Gns. antal medarbejdere</t>
        </is>
      </c>
      <c r="B84" s="5">
        <f>'res_raw_57068515'!$B$21</f>
        <v/>
      </c>
      <c r="C84" s="5">
        <f>'res_raw_57068515'!$C$21</f>
        <v/>
      </c>
      <c r="D84" s="5">
        <f>'res_raw_57068515'!$D$21</f>
        <v/>
      </c>
      <c r="E84" s="5">
        <f>'res_raw_57068515'!$E$21</f>
        <v/>
      </c>
      <c r="F84" s="5">
        <f>'res_raw_57068515'!$F$21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5" ht="16" customHeight="1">
      <c r="A85" s="10" t="inlineStr">
        <is>
          <t>Investering i materielle anlægsaktiver</t>
        </is>
      </c>
      <c r="B85" s="11">
        <f>'res_raw_57068515'!$B$22</f>
        <v/>
      </c>
      <c r="C85" s="11">
        <f>'res_raw_57068515'!$C$22</f>
        <v/>
      </c>
      <c r="D85" s="11">
        <f>'res_raw_57068515'!$D$22</f>
        <v/>
      </c>
      <c r="E85" s="11">
        <f>'res_raw_57068515'!$E$22</f>
        <v/>
      </c>
      <c r="F85" s="11">
        <f>'res_raw_57068515'!$F$22</f>
        <v/>
      </c>
      <c r="G85" t="inlineStr"/>
      <c r="H85" s="12">
        <f>IFERROR(B85/$B$85*100,"")</f>
        <v/>
      </c>
      <c r="I85" s="12">
        <f>IFERROR(C85/$B$85*100,"")</f>
        <v/>
      </c>
      <c r="J85" s="12">
        <f>IFERROR(D85/$B$85*100,"")</f>
        <v/>
      </c>
      <c r="K85" s="12">
        <f>IFERROR(E85/$B$85*100,"")</f>
        <v/>
      </c>
      <c r="L85" s="12">
        <f>IFERROR(F85/$B$85*100,"")</f>
        <v/>
      </c>
    </row>
    <row r="87" ht="22" customHeight="1">
      <c r="A87" s="3" t="inlineStr">
        <is>
          <t>NØGLETAL</t>
        </is>
      </c>
      <c r="B87" s="3" t="n">
        <v>2021</v>
      </c>
      <c r="C87" s="3" t="n">
        <v>2022</v>
      </c>
      <c r="D87" s="3" t="n">
        <v>2023</v>
      </c>
      <c r="E87" s="3" t="n">
        <v>2024</v>
      </c>
      <c r="F87" s="3" t="n">
        <v>2025</v>
      </c>
    </row>
    <row r="88" ht="16" customHeight="1">
      <c r="A88" s="4" t="inlineStr">
        <is>
          <t>Afkastningsgrad, %</t>
        </is>
      </c>
      <c r="B88" s="13">
        <f>IFERROR(($B$15+$B$17+$B$16)/$B$51*100,"")</f>
        <v/>
      </c>
      <c r="C88" s="13">
        <f>IFERROR(($C$15+$C$17+$C$16)/$C$51*100,"")</f>
        <v/>
      </c>
      <c r="D88" s="13">
        <f>IFERROR(($D$15+$D$17+$D$16)/$D$51*100,"")</f>
        <v/>
      </c>
      <c r="E88" s="13">
        <f>IFERROR(($E$15+$E$17+$E$16)/$E$51*100,"")</f>
        <v/>
      </c>
      <c r="F88" s="13">
        <f>IFERROR(($F$15+$F$17+$F$16)/$F$51*100,"")</f>
        <v/>
      </c>
    </row>
    <row r="89" ht="16" customHeight="1">
      <c r="A89" s="10" t="inlineStr">
        <is>
          <t>Overskudsgrad, %</t>
        </is>
      </c>
      <c r="B89" s="14">
        <f>IFERROR(($B$15+$B$17+$B$16)/$B$4*100,"")</f>
        <v/>
      </c>
      <c r="C89" s="14">
        <f>IFERROR(($C$15+$C$17+$C$16)/$C$4*100,"")</f>
        <v/>
      </c>
      <c r="D89" s="14">
        <f>IFERROR(($D$15+$D$17+$D$16)/$D$4*100,"")</f>
        <v/>
      </c>
      <c r="E89" s="14">
        <f>IFERROR(($E$15+$E$17+$E$16)/$E$4*100,"")</f>
        <v/>
      </c>
      <c r="F89" s="14">
        <f>IFERROR(($F$15+$F$17+$F$16)/$F$4*100,"")</f>
        <v/>
      </c>
    </row>
    <row r="90" ht="16" customHeight="1">
      <c r="A90" s="4" t="inlineStr">
        <is>
          <t>Aktivernes omsætningshastighed, gange</t>
        </is>
      </c>
      <c r="B90" s="13">
        <f>IFERROR($B$4/$B$51,"")</f>
        <v/>
      </c>
      <c r="C90" s="13">
        <f>IFERROR($C$4/$C$51,"")</f>
        <v/>
      </c>
      <c r="D90" s="13">
        <f>IFERROR($D$4/$D$51,"")</f>
        <v/>
      </c>
      <c r="E90" s="13">
        <f>IFERROR($E$4/$E$51,"")</f>
        <v/>
      </c>
      <c r="F90" s="13">
        <f>IFERROR($F$4/$F$51,"")</f>
        <v/>
      </c>
    </row>
    <row r="91" ht="16" customHeight="1">
      <c r="A91" s="10" t="inlineStr">
        <is>
          <t>Egenkapitalens forrentning, %</t>
        </is>
      </c>
      <c r="B91" s="14">
        <f>IFERROR($B$20/$B$60*100,"")</f>
        <v/>
      </c>
      <c r="C91" s="14">
        <f>IFERROR($C$20/$C$60*100,"")</f>
        <v/>
      </c>
      <c r="D91" s="14">
        <f>IFERROR($D$20/$D$60*100,"")</f>
        <v/>
      </c>
      <c r="E91" s="14">
        <f>IFERROR($E$20/$E$60*100,"")</f>
        <v/>
      </c>
      <c r="F91" s="14">
        <f>IFERROR($F$20/$F$60*100,"")</f>
        <v/>
      </c>
    </row>
    <row r="92" ht="16" customHeight="1">
      <c r="A92" s="4" t="inlineStr">
        <is>
          <t>Gældsrente, %</t>
        </is>
      </c>
      <c r="B92" s="13">
        <f>IFERROR($B$18/($B$81-$B$60)*100,"")</f>
        <v/>
      </c>
      <c r="C92" s="13">
        <f>IFERROR($C$18/($C$81-$C$60)*100,"")</f>
        <v/>
      </c>
      <c r="D92" s="13">
        <f>IFERROR($D$18/($D$81-$D$60)*100,"")</f>
        <v/>
      </c>
      <c r="E92" s="13">
        <f>IFERROR($E$18/($E$81-$E$60)*100,"")</f>
        <v/>
      </c>
      <c r="F92" s="13">
        <f>IFERROR($F$18/($F$81-$F$60)*100,"")</f>
        <v/>
      </c>
    </row>
    <row r="93" ht="16" customHeight="1">
      <c r="A93" s="10" t="inlineStr">
        <is>
          <t>Soliditetsgrad, %</t>
        </is>
      </c>
      <c r="B93" s="14">
        <f>IFERROR($B$60/$B$51*100,"")</f>
        <v/>
      </c>
      <c r="C93" s="14">
        <f>IFERROR($C$60/$C$51*100,"")</f>
        <v/>
      </c>
      <c r="D93" s="14">
        <f>IFERROR($D$60/$D$51*100,"")</f>
        <v/>
      </c>
      <c r="E93" s="14">
        <f>IFERROR($E$60/$E$51*100,"")</f>
        <v/>
      </c>
      <c r="F93" s="14">
        <f>IFERROR($F$60/$F$51*100,"")</f>
        <v/>
      </c>
    </row>
    <row r="94" ht="16" customHeight="1">
      <c r="A94" s="4" t="inlineStr">
        <is>
          <t>Gearing</t>
        </is>
      </c>
      <c r="B94" s="13">
        <f>IFERROR(($B$81-$B$60)/$B$60,"")</f>
        <v/>
      </c>
      <c r="C94" s="13">
        <f>IFERROR(($C$81-$C$60)/$C$60,"")</f>
        <v/>
      </c>
      <c r="D94" s="13">
        <f>IFERROR(($D$81-$D$60)/$D$60,"")</f>
        <v/>
      </c>
      <c r="E94" s="13">
        <f>IFERROR(($E$81-$E$60)/$E$60,"")</f>
        <v/>
      </c>
      <c r="F94" s="13">
        <f>IFERROR(($F$81-$F$60)/$F$60,"")</f>
        <v/>
      </c>
    </row>
    <row r="95" ht="16" customHeight="1">
      <c r="A95" s="10" t="inlineStr">
        <is>
          <t>Likviditetsgrad, %</t>
        </is>
      </c>
      <c r="B95" s="14">
        <f>IFERROR($B$50/$B$79*100,"")</f>
        <v/>
      </c>
      <c r="C95" s="14">
        <f>IFERROR($C$50/$C$79*100,"")</f>
        <v/>
      </c>
      <c r="D95" s="14">
        <f>IFERROR($D$50/$D$79*100,"")</f>
        <v/>
      </c>
      <c r="E95" s="14">
        <f>IFERROR($E$50/$E$79*100,"")</f>
        <v/>
      </c>
      <c r="F95" s="14">
        <f>IFERROR($F$50/$F$79*100,"")</f>
        <v/>
      </c>
    </row>
    <row r="96" ht="16" customHeight="1">
      <c r="A96" s="4" t="inlineStr">
        <is>
          <t>Rentemarginal, %</t>
        </is>
      </c>
      <c r="B96" s="13">
        <f>IFERROR(B88-B92,"")</f>
        <v/>
      </c>
      <c r="C96" s="13">
        <f>IFERROR(C88-C92,"")</f>
        <v/>
      </c>
      <c r="D96" s="13">
        <f>IFERROR(D88-D92,"")</f>
        <v/>
      </c>
      <c r="E96" s="13">
        <f>IFERROR(E88-E92,"")</f>
        <v/>
      </c>
      <c r="F96" s="13">
        <f>IFERROR(F88-F92,"")</f>
        <v/>
      </c>
    </row>
    <row r="97" ht="16" customHeight="1">
      <c r="A97" s="10" t="inlineStr">
        <is>
          <t>Gældsandel, %</t>
        </is>
      </c>
      <c r="B97" s="14">
        <f>IFERROR(($B$81-$B$60)/$B$51*100,"")</f>
        <v/>
      </c>
      <c r="C97" s="14">
        <f>IFERROR(($C$81-$C$60)/$C$51*100,"")</f>
        <v/>
      </c>
      <c r="D97" s="14">
        <f>IFERROR(($D$81-$D$60)/$D$51*100,"")</f>
        <v/>
      </c>
      <c r="E97" s="14">
        <f>IFERROR(($E$81-$E$60)/$E$51*100,"")</f>
        <v/>
      </c>
      <c r="F97" s="14">
        <f>IFERROR(($F$81-$F$60)/$F$51*100,"")</f>
        <v/>
      </c>
    </row>
    <row r="98" ht="16" customHeight="1">
      <c r="A98" s="4" t="inlineStr">
        <is>
          <t>Kapitalbindingsgrad, %</t>
        </is>
      </c>
      <c r="B98" s="13">
        <f>IFERROR($B$35/($B$60+$B$67)*100,"")</f>
        <v/>
      </c>
      <c r="C98" s="13">
        <f>IFERROR($C$35/($C$60+$C$67)*100,"")</f>
        <v/>
      </c>
      <c r="D98" s="13">
        <f>IFERROR($D$35/($D$60+$D$67)*100,"")</f>
        <v/>
      </c>
      <c r="E98" s="13">
        <f>IFERROR($E$35/($E$60+$E$67)*100,"")</f>
        <v/>
      </c>
      <c r="F98" s="13">
        <f>IFERROR($F$35/($F$60+$F$67)*100,"")</f>
        <v/>
      </c>
    </row>
    <row r="100">
      <c r="A100" s="15" t="inlineStr">
        <is>
          <t>PENGESTRØMSOPGØRELSE t.kr.</t>
        </is>
      </c>
    </row>
    <row r="101">
      <c r="A101" s="16" t="inlineStr">
        <is>
          <t>Pengestrømme fra driftsaktivitet</t>
        </is>
      </c>
      <c r="B101" s="17">
        <f>'pengestrom_raw_57068515'!$B$2</f>
        <v/>
      </c>
      <c r="C101" s="17">
        <f>'pengestrom_raw_57068515'!$C$2</f>
        <v/>
      </c>
      <c r="D101" s="17">
        <f>'pengestrom_raw_57068515'!$D$2</f>
        <v/>
      </c>
      <c r="E101" s="17">
        <f>'pengestrom_raw_57068515'!$E$2</f>
        <v/>
      </c>
      <c r="F101" s="17">
        <f>'pengestrom_raw_57068515'!$F$2</f>
        <v/>
      </c>
    </row>
    <row r="102">
      <c r="A102" s="16" t="inlineStr">
        <is>
          <t>Pengestrømme fra investeringsaktivitet</t>
        </is>
      </c>
      <c r="B102" s="17">
        <f>'pengestrom_raw_57068515'!$B$3</f>
        <v/>
      </c>
      <c r="C102" s="17">
        <f>'pengestrom_raw_57068515'!$C$3</f>
        <v/>
      </c>
      <c r="D102" s="17">
        <f>'pengestrom_raw_57068515'!$D$3</f>
        <v/>
      </c>
      <c r="E102" s="17">
        <f>'pengestrom_raw_57068515'!$E$3</f>
        <v/>
      </c>
      <c r="F102" s="17">
        <f>'pengestrom_raw_57068515'!$F$3</f>
        <v/>
      </c>
    </row>
    <row r="103">
      <c r="A103" s="16" t="inlineStr">
        <is>
          <t>Pengestrømme fra finansieringsaktivitet</t>
        </is>
      </c>
      <c r="B103" s="17">
        <f>'pengestrom_raw_57068515'!$B$4</f>
        <v/>
      </c>
      <c r="C103" s="17">
        <f>'pengestrom_raw_57068515'!$C$4</f>
        <v/>
      </c>
      <c r="D103" s="17">
        <f>'pengestrom_raw_57068515'!$D$4</f>
        <v/>
      </c>
      <c r="E103" s="17">
        <f>'pengestrom_raw_57068515'!$E$4</f>
        <v/>
      </c>
      <c r="F103" s="17">
        <f>'pengestrom_raw_57068515'!$F$4</f>
        <v/>
      </c>
    </row>
    <row r="104">
      <c r="A104" s="16" t="inlineStr">
        <is>
          <t>Årets pengestrøm (rapporteret)</t>
        </is>
      </c>
      <c r="B104" s="17">
        <f>'pengestrom_raw_57068515'!$B$5</f>
        <v/>
      </c>
      <c r="C104" s="17">
        <f>'pengestrom_raw_57068515'!$C$5</f>
        <v/>
      </c>
      <c r="D104" s="17">
        <f>'pengestrom_raw_57068515'!$D$5</f>
        <v/>
      </c>
      <c r="E104" s="17">
        <f>'pengestrom_raw_57068515'!$E$5</f>
        <v/>
      </c>
      <c r="F104" s="17">
        <f>'pengestrom_raw_57068515'!$F$5</f>
        <v/>
      </c>
    </row>
    <row r="105">
      <c r="A105" s="16" t="inlineStr">
        <is>
          <t>Krydstjek: drift + inv. + fin. = årets pengestrøm</t>
        </is>
      </c>
      <c r="B105">
        <f>IF(ABS(('pengestrom_raw_57068515'!$B$2+'pengestrom_raw_57068515'!$B$3+'pengestrom_raw_57068515'!$B$4)-'pengestrom_raw_57068515'!$B$5)&lt;=2,"✓","⚠ "&amp;TEXT(('pengestrom_raw_57068515'!$B$2+'pengestrom_raw_57068515'!$B$3+'pengestrom_raw_57068515'!$B$4)-'pengestrom_raw_57068515'!$B$5,"+#,##0;-#,##0"))</f>
        <v/>
      </c>
      <c r="C105">
        <f>IF(ABS(('pengestrom_raw_57068515'!$C$2+'pengestrom_raw_57068515'!$C$3+'pengestrom_raw_57068515'!$C$4)-'pengestrom_raw_57068515'!$C$5)&lt;=2,"✓","⚠ "&amp;TEXT(('pengestrom_raw_57068515'!$C$2+'pengestrom_raw_57068515'!$C$3+'pengestrom_raw_57068515'!$C$4)-'pengestrom_raw_57068515'!$C$5,"+#,##0;-#,##0"))</f>
        <v/>
      </c>
      <c r="D105">
        <f>IF(ABS(('pengestrom_raw_57068515'!$D$2+'pengestrom_raw_57068515'!$D$3+'pengestrom_raw_57068515'!$D$4)-'pengestrom_raw_57068515'!$D$5)&lt;=2,"✓","⚠ "&amp;TEXT(('pengestrom_raw_57068515'!$D$2+'pengestrom_raw_57068515'!$D$3+'pengestrom_raw_57068515'!$D$4)-'pengestrom_raw_57068515'!$D$5,"+#,##0;-#,##0"))</f>
        <v/>
      </c>
      <c r="E105">
        <f>IF(ABS(('pengestrom_raw_57068515'!$E$2+'pengestrom_raw_57068515'!$E$3+'pengestrom_raw_57068515'!$E$4)-'pengestrom_raw_57068515'!$E$5)&lt;=2,"✓","⚠ "&amp;TEXT(('pengestrom_raw_57068515'!$E$2+'pengestrom_raw_57068515'!$E$3+'pengestrom_raw_57068515'!$E$4)-'pengestrom_raw_57068515'!$E$5,"+#,##0;-#,##0"))</f>
        <v/>
      </c>
      <c r="F105">
        <f>IF(ABS(('pengestrom_raw_57068515'!$F$2+'pengestrom_raw_57068515'!$F$3+'pengestrom_raw_57068515'!$F$4)-'pengestrom_raw_57068515'!$F$5)&lt;=2,"✓","⚠ "&amp;TEXT(('pengestrom_raw_57068515'!$F$2+'pengestrom_raw_57068515'!$F$3+'pengestrom_raw_57068515'!$F$4)-'pengestrom_raw_57068515'!$F$5,"+#,##0;-#,##0"))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Roblon A/S (CVR 57068515)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249883</v>
      </c>
      <c r="C2" s="17" t="n">
        <v>380859</v>
      </c>
      <c r="D2" s="17" t="n">
        <v>245015</v>
      </c>
      <c r="E2" s="17" t="n">
        <v>245440</v>
      </c>
      <c r="F2" s="17" t="n">
        <v>236892</v>
      </c>
    </row>
    <row r="3">
      <c r="A3" s="16" t="inlineStr">
        <is>
          <t>Produktionsomkostninger</t>
        </is>
      </c>
      <c r="B3" s="17" t="n">
        <v>133135</v>
      </c>
      <c r="C3" s="17" t="n">
        <v>199709</v>
      </c>
      <c r="D3" s="17" t="n">
        <v>117531</v>
      </c>
      <c r="E3" s="17" t="n">
        <v>96139</v>
      </c>
      <c r="F3" s="17" t="n">
        <v>90632</v>
      </c>
    </row>
    <row r="4">
      <c r="A4" s="15" t="inlineStr">
        <is>
          <t>Bruttoresultat</t>
        </is>
      </c>
      <c r="B4" s="17" t="n">
        <v>116748</v>
      </c>
      <c r="C4" s="17" t="n">
        <v>181150</v>
      </c>
      <c r="D4" s="17" t="n">
        <v>127484</v>
      </c>
      <c r="E4" s="17" t="n">
        <v>149301</v>
      </c>
      <c r="F4" s="17" t="n">
        <v>146260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Administrationsomkostninger</t>
        </is>
      </c>
      <c r="B7" s="17" t="n"/>
      <c r="C7" s="17" t="n"/>
      <c r="D7" s="17" t="n"/>
      <c r="E7" s="17" t="n"/>
      <c r="F7" s="17" t="n"/>
    </row>
    <row r="8">
      <c r="A8" s="16" t="inlineStr">
        <is>
          <t>Andre driftsindtægter</t>
        </is>
      </c>
      <c r="B8" s="17" t="n">
        <v>1307</v>
      </c>
      <c r="C8" s="17" t="n">
        <v>1820</v>
      </c>
      <c r="D8" s="17" t="n">
        <v>717</v>
      </c>
      <c r="E8" s="17" t="n">
        <v>40</v>
      </c>
      <c r="F8" s="17" t="n">
        <v>1314</v>
      </c>
    </row>
    <row r="9">
      <c r="A9" s="16" t="inlineStr">
        <is>
          <t>Andre driftsomkostninger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Andre eksterne omkostninger</t>
        </is>
      </c>
      <c r="B10" s="17" t="n">
        <v>33980</v>
      </c>
      <c r="C10" s="17" t="n">
        <v>38725</v>
      </c>
      <c r="D10" s="17" t="n">
        <v>24796</v>
      </c>
      <c r="E10" s="17" t="n">
        <v>22895</v>
      </c>
      <c r="F10" s="17" t="n">
        <v>26192</v>
      </c>
    </row>
    <row r="11">
      <c r="A11" s="16" t="inlineStr">
        <is>
          <t>Personaleomkostninger</t>
        </is>
      </c>
      <c r="B11" s="17" t="n">
        <v>98930</v>
      </c>
      <c r="C11" s="17" t="n">
        <v>123050</v>
      </c>
      <c r="D11" s="17" t="n">
        <v>79312</v>
      </c>
      <c r="E11" s="17" t="n">
        <v>82541</v>
      </c>
      <c r="F11" s="17" t="n">
        <v>77059</v>
      </c>
    </row>
    <row r="12">
      <c r="A12" s="16" t="inlineStr">
        <is>
          <t>Af- og nedskrivninger</t>
        </is>
      </c>
      <c r="B12" s="17" t="n">
        <v>20324</v>
      </c>
      <c r="C12" s="17" t="n">
        <v>27245</v>
      </c>
      <c r="D12" s="17" t="n">
        <v>17350</v>
      </c>
      <c r="E12" s="17" t="n">
        <v>15630</v>
      </c>
      <c r="F12" s="17" t="n">
        <v>13711</v>
      </c>
    </row>
    <row r="13">
      <c r="A13" s="15" t="inlineStr">
        <is>
          <t>Resultat af primær drift</t>
        </is>
      </c>
      <c r="B13" s="17" t="n">
        <v>-32887</v>
      </c>
      <c r="C13" s="17" t="n">
        <v>-9931</v>
      </c>
      <c r="D13" s="17" t="n">
        <v>1882</v>
      </c>
      <c r="E13" s="17" t="n">
        <v>5389</v>
      </c>
      <c r="F13" s="17" t="n">
        <v>-9114</v>
      </c>
    </row>
    <row r="14">
      <c r="A14" s="16" t="inlineStr">
        <is>
          <t>Indtægter af kapitalandele, dattervirksomheder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Finansielle indtægter</t>
        </is>
      </c>
      <c r="B15" s="17" t="n">
        <v>4345</v>
      </c>
      <c r="C15" s="17" t="n">
        <v>11251</v>
      </c>
      <c r="D15" s="17" t="n">
        <v>854</v>
      </c>
      <c r="E15" s="17" t="n">
        <v>57</v>
      </c>
      <c r="F15" s="17" t="n">
        <v>668</v>
      </c>
    </row>
    <row r="16">
      <c r="A16" s="16" t="inlineStr">
        <is>
          <t>Finansielle omkostninger</t>
        </is>
      </c>
      <c r="B16" s="17" t="n">
        <v>774</v>
      </c>
      <c r="C16" s="17" t="n">
        <v>1993</v>
      </c>
      <c r="D16" s="17" t="n">
        <v>4177</v>
      </c>
      <c r="E16" s="17" t="n">
        <v>2090</v>
      </c>
      <c r="F16" s="17" t="n">
        <v>844</v>
      </c>
    </row>
    <row r="17">
      <c r="A17" s="15" t="inlineStr">
        <is>
          <t>Finansielle poster, netto</t>
        </is>
      </c>
      <c r="B17" s="17" t="n">
        <v>3571</v>
      </c>
      <c r="C17" s="17" t="n">
        <v>9258</v>
      </c>
      <c r="D17" s="17" t="n">
        <v>-3323</v>
      </c>
      <c r="E17" s="17" t="n">
        <v>-2033</v>
      </c>
      <c r="F17" s="17" t="n">
        <v>-176</v>
      </c>
    </row>
    <row r="18">
      <c r="A18" s="15" t="inlineStr">
        <is>
          <t>Resultat før skat</t>
        </is>
      </c>
      <c r="B18" s="17" t="n">
        <v>-29316</v>
      </c>
      <c r="C18" s="17" t="n">
        <v>-1353</v>
      </c>
      <c r="D18" s="17" t="n">
        <v>24552</v>
      </c>
      <c r="E18" s="17" t="n">
        <v>27218</v>
      </c>
      <c r="F18" s="17" t="n">
        <v>27525</v>
      </c>
    </row>
    <row r="19">
      <c r="A19" s="16" t="inlineStr">
        <is>
          <t>Skat af årets resultat</t>
        </is>
      </c>
      <c r="B19" s="17" t="n">
        <v>-8535</v>
      </c>
      <c r="C19" s="17" t="n">
        <v>981</v>
      </c>
      <c r="D19" s="17" t="n">
        <v>4347</v>
      </c>
      <c r="E19" s="17" t="n">
        <v>6220</v>
      </c>
      <c r="F19" s="17" t="n">
        <v>6438</v>
      </c>
    </row>
    <row r="20">
      <c r="A20" s="15" t="inlineStr">
        <is>
          <t>Årets resultat</t>
        </is>
      </c>
      <c r="B20" s="17" t="n">
        <v>-20781</v>
      </c>
      <c r="C20" s="17" t="n">
        <v>-2334</v>
      </c>
      <c r="D20" s="17" t="n">
        <v>20205</v>
      </c>
      <c r="E20" s="17" t="n">
        <v>20998</v>
      </c>
      <c r="F20" s="17" t="n">
        <v>21087</v>
      </c>
    </row>
    <row r="21">
      <c r="A21" s="16" t="inlineStr">
        <is>
          <t>Gns. antal medarbejdere</t>
        </is>
      </c>
      <c r="B21" s="17" t="n">
        <v>191</v>
      </c>
      <c r="C21" s="17" t="n"/>
      <c r="D21" s="17" t="n"/>
      <c r="E21" s="17" t="n"/>
      <c r="F21" s="17" t="n"/>
    </row>
    <row r="22">
      <c r="A22" s="16" t="inlineStr">
        <is>
          <t>Investering i materielle anlægsaktiver</t>
        </is>
      </c>
      <c r="B22" s="17" t="n">
        <v>11144</v>
      </c>
      <c r="C22" s="17" t="n">
        <v>19115</v>
      </c>
      <c r="D22" s="17" t="n">
        <v>21196</v>
      </c>
      <c r="E22" s="17" t="n">
        <v>8423</v>
      </c>
      <c r="F22" s="17" t="n">
        <v>11761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Roblon A/S (CVR 57068515)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7570</v>
      </c>
      <c r="C2" s="17" t="n">
        <v>6258</v>
      </c>
      <c r="D2" s="17" t="n">
        <v>5223</v>
      </c>
      <c r="E2" s="17" t="n">
        <v>3107</v>
      </c>
      <c r="F2" s="17" t="n">
        <v>1075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25036</v>
      </c>
      <c r="C5" s="17" t="n">
        <v>23588</v>
      </c>
      <c r="D5" s="17" t="n">
        <v>15989</v>
      </c>
      <c r="E5" s="17" t="n">
        <v>6993</v>
      </c>
      <c r="F5" s="17" t="n">
        <v>3963</v>
      </c>
    </row>
    <row r="6">
      <c r="A6" s="16" t="inlineStr">
        <is>
          <t>Grunde og bygninger</t>
        </is>
      </c>
      <c r="B6" s="17" t="n">
        <v>17906</v>
      </c>
      <c r="C6" s="17" t="n">
        <v>60064</v>
      </c>
      <c r="D6" s="17" t="n">
        <v>48234</v>
      </c>
      <c r="E6" s="17" t="n">
        <v>50567</v>
      </c>
      <c r="F6" s="17" t="n">
        <v>54126</v>
      </c>
    </row>
    <row r="7">
      <c r="A7" s="16" t="inlineStr">
        <is>
          <t>Produktionsanlæg og maskiner</t>
        </is>
      </c>
      <c r="B7" s="17" t="n">
        <v>38719</v>
      </c>
      <c r="C7" s="17" t="n">
        <v>47692</v>
      </c>
      <c r="D7" s="17" t="n">
        <v>47492</v>
      </c>
      <c r="E7" s="17" t="n">
        <v>32346</v>
      </c>
      <c r="F7" s="17" t="n">
        <v>27277</v>
      </c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1255</v>
      </c>
      <c r="C10" s="17" t="n">
        <v>9814</v>
      </c>
      <c r="D10" s="17" t="n">
        <v>15740</v>
      </c>
      <c r="E10" s="17" t="n">
        <v>1693</v>
      </c>
      <c r="F10" s="17" t="n">
        <v>1572</v>
      </c>
    </row>
    <row r="11">
      <c r="A11" s="15" t="inlineStr">
        <is>
          <t>Materielle anlægsaktiver</t>
        </is>
      </c>
      <c r="B11" s="17" t="n">
        <v>1513</v>
      </c>
      <c r="C11" s="17" t="n">
        <v>2008</v>
      </c>
      <c r="D11" s="17" t="n">
        <v>1035</v>
      </c>
      <c r="E11" s="17" t="n">
        <v>237</v>
      </c>
      <c r="F11" s="17" t="n">
        <v>848</v>
      </c>
    </row>
    <row r="12">
      <c r="A12" s="15" t="inlineStr">
        <is>
          <t>Anlægsaktiver</t>
        </is>
      </c>
      <c r="B12" s="17" t="n">
        <v>99412</v>
      </c>
      <c r="C12" s="17" t="n">
        <v>160701</v>
      </c>
      <c r="D12" s="17" t="n">
        <v>149596</v>
      </c>
      <c r="E12" s="17" t="n">
        <v>96211</v>
      </c>
      <c r="F12" s="17" t="n">
        <v>127270</v>
      </c>
    </row>
    <row r="13">
      <c r="A13" s="16" t="inlineStr">
        <is>
          <t>Råvarer og hjælpematerialer</t>
        </is>
      </c>
      <c r="B13" s="17" t="n"/>
      <c r="C13" s="17" t="n">
        <v>199709</v>
      </c>
      <c r="D13" s="17" t="n">
        <v>117531</v>
      </c>
      <c r="E13" s="17" t="n">
        <v>96139</v>
      </c>
      <c r="F13" s="17" t="n">
        <v>90632</v>
      </c>
    </row>
    <row r="14">
      <c r="A14" s="16" t="inlineStr">
        <is>
          <t>Varer under fremstilling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Færdigvarer og handelsvarer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Varebeholdninger</t>
        </is>
      </c>
      <c r="B16" s="17" t="n">
        <v>74989</v>
      </c>
      <c r="C16" s="17" t="n">
        <v>114467</v>
      </c>
      <c r="D16" s="17" t="n">
        <v>98007</v>
      </c>
      <c r="E16" s="17" t="n">
        <v>33689</v>
      </c>
      <c r="F16" s="17" t="n">
        <v>33235</v>
      </c>
    </row>
    <row r="17">
      <c r="A17" s="16" t="inlineStr">
        <is>
          <t>Tilgodehavender fra salg og tjenesteydelser</t>
        </is>
      </c>
      <c r="B17" s="17" t="n">
        <v>55530</v>
      </c>
      <c r="C17" s="17" t="n">
        <v>83618</v>
      </c>
      <c r="D17" s="17" t="n">
        <v>83585</v>
      </c>
      <c r="E17" s="17" t="n">
        <v>56919</v>
      </c>
      <c r="F17" s="17" t="n">
        <v>37485</v>
      </c>
    </row>
    <row r="18">
      <c r="A18" s="16" t="inlineStr">
        <is>
          <t>Tilgodehavender hos tilknyttede virksomheder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Andre tilgodehavender</t>
        </is>
      </c>
      <c r="B19" s="17" t="n">
        <v>1630</v>
      </c>
      <c r="C19" s="17" t="n">
        <v>5401</v>
      </c>
      <c r="D19" s="17" t="n">
        <v>2829</v>
      </c>
      <c r="E19" s="17" t="n">
        <v>1339</v>
      </c>
      <c r="F19" s="17" t="n">
        <v>331</v>
      </c>
    </row>
    <row r="20">
      <c r="A20" s="16" t="inlineStr">
        <is>
          <t>Periodeafgrænsningsposter (aktiver)</t>
        </is>
      </c>
      <c r="B20" s="17" t="n">
        <v>188</v>
      </c>
      <c r="C20" s="17" t="n">
        <v>186</v>
      </c>
      <c r="D20" s="17" t="n">
        <v>1032</v>
      </c>
      <c r="E20" s="17" t="n">
        <v>832</v>
      </c>
      <c r="F20" s="17" t="n">
        <v>497</v>
      </c>
    </row>
    <row r="21">
      <c r="A21" s="16" t="inlineStr">
        <is>
          <t>Udskudt skatteaktiv</t>
        </is>
      </c>
      <c r="B21" s="17" t="n">
        <v>4230</v>
      </c>
      <c r="C21" s="17" t="n">
        <v>6886</v>
      </c>
      <c r="D21" s="17" t="n">
        <v>13640</v>
      </c>
      <c r="E21" s="17" t="n">
        <v>3310</v>
      </c>
      <c r="F21" s="17" t="n">
        <v>4087</v>
      </c>
    </row>
    <row r="22">
      <c r="A22" s="16" t="inlineStr">
        <is>
          <t>Tilgodehavende skat hos tilknyttede virksomheder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Kortfristede skattetilgodehavender</t>
        </is>
      </c>
      <c r="B23" s="17" t="n">
        <v>2539</v>
      </c>
      <c r="C23" s="17" t="n">
        <v>275</v>
      </c>
      <c r="D23" s="17" t="n">
        <v>1140</v>
      </c>
      <c r="E23" s="17" t="n">
        <v>380</v>
      </c>
      <c r="F23" s="17" t="n">
        <v>53</v>
      </c>
    </row>
    <row r="24">
      <c r="A24" s="15" t="inlineStr">
        <is>
          <t>Tilgodehavender</t>
        </is>
      </c>
      <c r="B24" s="17" t="n">
        <v>1406</v>
      </c>
      <c r="C24" s="17" t="n">
        <v>1970</v>
      </c>
      <c r="D24" s="17" t="n">
        <v>1457</v>
      </c>
      <c r="E24" s="17" t="n">
        <v>2077</v>
      </c>
      <c r="F24" s="17" t="n">
        <v>2538</v>
      </c>
    </row>
    <row r="25">
      <c r="A25" s="16" t="inlineStr">
        <is>
          <t>Værdipapirer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Likvide beholdninger</t>
        </is>
      </c>
      <c r="B26" s="17" t="n">
        <v>3677</v>
      </c>
      <c r="C26" s="17" t="n">
        <v>11884</v>
      </c>
      <c r="D26" s="17" t="n">
        <v>33235</v>
      </c>
      <c r="E26" s="17" t="n">
        <v>17904</v>
      </c>
      <c r="F26" s="17" t="n">
        <v>35156</v>
      </c>
    </row>
    <row r="27">
      <c r="A27" s="15" t="inlineStr">
        <is>
          <t>Omsætningsaktiver</t>
        </is>
      </c>
      <c r="B27" s="17" t="n">
        <v>180364</v>
      </c>
      <c r="C27" s="17" t="n">
        <v>212400</v>
      </c>
      <c r="D27" s="17" t="n">
        <v>218456</v>
      </c>
      <c r="E27" s="17" t="n">
        <v>180259</v>
      </c>
      <c r="F27" s="17" t="n">
        <v>108964</v>
      </c>
    </row>
    <row r="28">
      <c r="A28" s="15" t="inlineStr">
        <is>
          <t>Aktiver</t>
        </is>
      </c>
      <c r="B28" s="17" t="n">
        <v>279776</v>
      </c>
      <c r="C28" s="17" t="n">
        <v>373101</v>
      </c>
      <c r="D28" s="17" t="n">
        <v>368052</v>
      </c>
      <c r="E28" s="17" t="n">
        <v>276470</v>
      </c>
      <c r="F28" s="17" t="n">
        <v>236234</v>
      </c>
    </row>
    <row r="29">
      <c r="A29" s="16" t="inlineStr">
        <is>
          <t>Selskabskapital</t>
        </is>
      </c>
      <c r="B29" s="17" t="n">
        <v>35763</v>
      </c>
      <c r="C29" s="17" t="n">
        <v>35763</v>
      </c>
      <c r="D29" s="17" t="n">
        <v>35763</v>
      </c>
      <c r="E29" s="17" t="n">
        <v>35763</v>
      </c>
      <c r="F29" s="17" t="n">
        <v>35763</v>
      </c>
    </row>
    <row r="30">
      <c r="A30" s="16" t="inlineStr">
        <is>
          <t>Reserve for nettoopskrivning (indre værdis metode)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udviklingsomkostninger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Reserve for sikringstransaktioner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Andre reserver</t>
        </is>
      </c>
      <c r="B33" s="17" t="n">
        <v>-3491</v>
      </c>
      <c r="C33" s="17" t="n">
        <v>-146</v>
      </c>
      <c r="D33" s="17" t="n">
        <v>-4761</v>
      </c>
      <c r="E33" s="17" t="n">
        <v>-7413</v>
      </c>
      <c r="F33" s="17" t="n">
        <v>1645</v>
      </c>
    </row>
    <row r="34">
      <c r="A34" s="16" t="inlineStr">
        <is>
          <t>Overført resultat</t>
        </is>
      </c>
      <c r="B34" s="17" t="n">
        <v>185026</v>
      </c>
      <c r="C34" s="17" t="n">
        <v>183222</v>
      </c>
      <c r="D34" s="17" t="n">
        <v>178613</v>
      </c>
      <c r="E34" s="17" t="n">
        <v>168983</v>
      </c>
      <c r="F34" s="17" t="n">
        <v>122554</v>
      </c>
    </row>
    <row r="35">
      <c r="A35" s="15" t="inlineStr">
        <is>
          <t>Egenkapital i alt</t>
        </is>
      </c>
      <c r="B35" s="17" t="n">
        <v>217298</v>
      </c>
      <c r="C35" s="17" t="n">
        <v>218839</v>
      </c>
      <c r="D35" s="17" t="n">
        <v>209615</v>
      </c>
      <c r="E35" s="17" t="n">
        <v>197333</v>
      </c>
      <c r="F35" s="17" t="n">
        <v>177844</v>
      </c>
    </row>
    <row r="36">
      <c r="A36" s="16" t="inlineStr">
        <is>
          <t>Hensættelse til udskudt skat</t>
        </is>
      </c>
      <c r="B36" s="17" t="n">
        <v>191</v>
      </c>
      <c r="C36" s="17" t="n">
        <v>4876</v>
      </c>
      <c r="D36" s="17" t="n">
        <v>8057</v>
      </c>
      <c r="E36" s="17" t="n">
        <v>6462</v>
      </c>
      <c r="F36" s="17" t="n">
        <v>6260</v>
      </c>
    </row>
    <row r="37">
      <c r="A37" s="15" t="inlineStr">
        <is>
          <t>Hensatte forpligtelser</t>
        </is>
      </c>
      <c r="B37" s="17" t="n">
        <v>0</v>
      </c>
      <c r="C37" s="17" t="n">
        <v>357</v>
      </c>
      <c r="D37" s="17" t="n">
        <v>590</v>
      </c>
      <c r="E37" s="17" t="n">
        <v>106</v>
      </c>
      <c r="F37" s="17" t="n">
        <v>507</v>
      </c>
    </row>
    <row r="38">
      <c r="A38" s="16" t="inlineStr">
        <is>
          <t>Ansvarlig lånekapital (langfristet)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Langfristede lån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Leasingforpligtelser (langfristet)</t>
        </is>
      </c>
      <c r="B40" s="17" t="n">
        <v>8478</v>
      </c>
      <c r="C40" s="17" t="n">
        <v>8176</v>
      </c>
      <c r="D40" s="17" t="n">
        <v>5201</v>
      </c>
      <c r="E40" s="17" t="n">
        <v>559</v>
      </c>
      <c r="F40" s="17" t="n">
        <v>1538</v>
      </c>
    </row>
    <row r="41">
      <c r="A41" s="16" t="inlineStr">
        <is>
          <t>Anden gæld (langfristet)</t>
        </is>
      </c>
      <c r="B41" s="17" t="n"/>
      <c r="C41" s="17" t="n"/>
      <c r="D41" s="17" t="n"/>
      <c r="E41" s="17" t="n"/>
      <c r="F41" s="17" t="n"/>
    </row>
    <row r="42">
      <c r="A42" s="15" t="inlineStr">
        <is>
          <t>Langfristede gældsforpligtelser</t>
        </is>
      </c>
      <c r="B42" s="17" t="n">
        <v>0</v>
      </c>
      <c r="C42" s="17" t="n">
        <v>9059</v>
      </c>
      <c r="D42" s="17" t="n">
        <v>35870</v>
      </c>
      <c r="E42" s="17" t="n">
        <v>31821</v>
      </c>
      <c r="F42" s="17" t="n">
        <v>7858</v>
      </c>
    </row>
    <row r="43">
      <c r="A43" s="16" t="inlineStr">
        <is>
          <t>Ansvarlig lånekapital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Kortfristet del af langfristede gældsforpligtelser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Kreditinstitutter</t>
        </is>
      </c>
      <c r="B45" s="17" t="n">
        <v>19328</v>
      </c>
      <c r="C45" s="17" t="n">
        <v>82781</v>
      </c>
      <c r="D45" s="17" t="n">
        <v>54973</v>
      </c>
      <c r="E45" s="17" t="n">
        <v>0</v>
      </c>
      <c r="F45" s="17" t="n"/>
    </row>
    <row r="46">
      <c r="A46" s="16" t="inlineStr">
        <is>
          <t>Leasingforpligtelser (kortfristet)</t>
        </is>
      </c>
      <c r="B46" s="17" t="n">
        <v>2595</v>
      </c>
      <c r="C46" s="17" t="n">
        <v>3123</v>
      </c>
      <c r="D46" s="17" t="n">
        <v>2891</v>
      </c>
      <c r="E46" s="17" t="n">
        <v>534</v>
      </c>
      <c r="F46" s="17" t="n">
        <v>667</v>
      </c>
    </row>
    <row r="47">
      <c r="A47" s="16" t="inlineStr">
        <is>
          <t>Leverandører af varer og tjenesteydelser</t>
        </is>
      </c>
      <c r="B47" s="17" t="n">
        <v>19958</v>
      </c>
      <c r="C47" s="17" t="n">
        <v>25531</v>
      </c>
      <c r="D47" s="17" t="n">
        <v>23690</v>
      </c>
      <c r="E47" s="17" t="n">
        <v>4662</v>
      </c>
      <c r="F47" s="17" t="n">
        <v>4399</v>
      </c>
    </row>
    <row r="48">
      <c r="A48" s="16" t="inlineStr">
        <is>
          <t>Gæld til tilknyttede virksomheder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Gæld til selskabsdeltagere og ledelse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Selskabsskat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Gæld til tilknyttede virksomheder vedr. 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Anden gæld (kortfristet)</t>
        </is>
      </c>
      <c r="B52" s="17" t="n">
        <v>10298</v>
      </c>
      <c r="C52" s="17" t="n">
        <v>13036</v>
      </c>
      <c r="D52" s="17" t="n">
        <v>15867</v>
      </c>
      <c r="E52" s="17" t="n">
        <v>10867</v>
      </c>
      <c r="F52" s="17" t="n">
        <v>9095</v>
      </c>
    </row>
    <row r="53">
      <c r="A53" s="16" t="inlineStr">
        <is>
          <t>Periodeafgrænsningsposter (passiver)</t>
        </is>
      </c>
      <c r="B53" s="17" t="n"/>
      <c r="C53" s="17" t="n"/>
      <c r="D53" s="17" t="n"/>
      <c r="E53" s="17" t="n"/>
      <c r="F53" s="17" t="n"/>
    </row>
    <row r="54">
      <c r="A54" s="15" t="inlineStr">
        <is>
          <t>Kortfristede gældsforpligtelser</t>
        </is>
      </c>
      <c r="B54" s="17" t="n">
        <v>53809</v>
      </c>
      <c r="C54" s="17" t="n">
        <v>132151</v>
      </c>
      <c r="D54" s="17" t="n">
        <v>109309</v>
      </c>
      <c r="E54" s="17" t="n">
        <v>40295</v>
      </c>
      <c r="F54" s="17" t="n">
        <v>42734</v>
      </c>
    </row>
    <row r="55">
      <c r="A55" s="15" t="inlineStr">
        <is>
          <t>Gældsforpligtelser</t>
        </is>
      </c>
      <c r="B55" s="17" t="n">
        <v>62478</v>
      </c>
      <c r="C55" s="17" t="n">
        <v>154262</v>
      </c>
      <c r="D55" s="17" t="n">
        <v>158437</v>
      </c>
      <c r="E55" s="17" t="n">
        <v>79137</v>
      </c>
      <c r="F55" s="17" t="n">
        <v>58390</v>
      </c>
    </row>
    <row r="56">
      <c r="A56" s="15" t="inlineStr">
        <is>
          <t>Passiver</t>
        </is>
      </c>
      <c r="B56" s="17" t="n">
        <v>279776</v>
      </c>
      <c r="C56" s="17" t="n">
        <v>373101</v>
      </c>
      <c r="D56" s="17" t="n">
        <v>368052</v>
      </c>
      <c r="E56" s="17" t="n">
        <v>276470</v>
      </c>
      <c r="F56" s="17" t="n">
        <v>236234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Roblon A/S (CVR 57068515)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-42312</v>
      </c>
      <c r="C2" s="17" t="n">
        <v>-27037</v>
      </c>
      <c r="D2" s="17" t="n">
        <v>17779</v>
      </c>
      <c r="E2" s="17" t="n">
        <v>56179</v>
      </c>
      <c r="F2" s="17" t="n">
        <v>31439</v>
      </c>
    </row>
    <row r="3">
      <c r="A3" s="16" t="inlineStr">
        <is>
          <t>Pengestrømme fra investeringsaktivitet</t>
        </is>
      </c>
      <c r="B3" s="17" t="n">
        <v>21793</v>
      </c>
      <c r="C3" s="17" t="n">
        <v>-25221</v>
      </c>
      <c r="D3" s="17" t="n">
        <v>5494</v>
      </c>
      <c r="E3" s="17" t="n">
        <v>-7410</v>
      </c>
      <c r="F3" s="17" t="n">
        <v>-12477</v>
      </c>
    </row>
    <row r="4">
      <c r="A4" s="16" t="inlineStr">
        <is>
          <t>Pengestrømme fra finansieringsaktivitet</t>
        </is>
      </c>
      <c r="B4" s="17" t="n">
        <v>16941</v>
      </c>
      <c r="C4" s="17" t="n">
        <v>60525</v>
      </c>
      <c r="D4" s="17" t="n">
        <v>-1893</v>
      </c>
      <c r="E4" s="17" t="n">
        <v>-60556</v>
      </c>
      <c r="F4" s="17" t="n">
        <v>-5035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Roblon A/S (CVR 57068515) — Regnskabs- og nøgletal (CVR: 57068515)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'res_raw_57068515'!$F$2</f>
        <v/>
      </c>
      <c r="C5" s="24">
        <f>'res_raw_57068515'!$E$2</f>
        <v/>
      </c>
      <c r="D5" s="24">
        <f>'res_raw_57068515'!$D$2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-'res_raw_57068515'!$F$3</f>
        <v/>
      </c>
      <c r="C6" s="24">
        <f>-'res_raw_57068515'!$E$3</f>
        <v/>
      </c>
      <c r="D6" s="24">
        <f>-'res_raw_57068515'!$D$3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IF(ABS((SUM(B5:B6))-'res_raw_57068515'!$F$4)&lt;=2,SUM(B5:B6),'res_raw_57068515'!$F$4)</f>
        <v/>
      </c>
      <c r="C7" s="27">
        <f>IF(ABS((SUM(C5:C6))-'res_raw_57068515'!$E$4)&lt;=2,SUM(C5:C6),'res_raw_57068515'!$E$4)</f>
        <v/>
      </c>
      <c r="D7" s="27">
        <f>IF(ABS((SUM(D5:D6))-'res_raw_57068515'!$D$4)&lt;=2,SUM(D5:D6),'res_raw_57068515'!$D$4)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-'res_raw_57068515'!$F$5</f>
        <v/>
      </c>
      <c r="C8" s="24">
        <f>-'res_raw_57068515'!$E$5</f>
        <v/>
      </c>
      <c r="D8" s="24">
        <f>-'res_raw_57068515'!$D$5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-'res_raw_57068515'!$F$6</f>
        <v/>
      </c>
      <c r="C9" s="24">
        <f>-'res_raw_57068515'!$E$6</f>
        <v/>
      </c>
      <c r="D9" s="24">
        <f>-'res_raw_57068515'!$D$6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-'res_raw_57068515'!$F$7</f>
        <v/>
      </c>
      <c r="C10" s="24">
        <f>-'res_raw_57068515'!$E$7</f>
        <v/>
      </c>
      <c r="D10" s="24">
        <f>-'res_raw_57068515'!$D$7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'res_raw_57068515'!$F$8</f>
        <v/>
      </c>
      <c r="C11" s="24">
        <f>'res_raw_57068515'!$E$8</f>
        <v/>
      </c>
      <c r="D11" s="24">
        <f>'res_raw_57068515'!$D$8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-'res_raw_57068515'!$F$9</f>
        <v/>
      </c>
      <c r="C12" s="27">
        <f>-'res_raw_57068515'!$E$9</f>
        <v/>
      </c>
      <c r="D12" s="27">
        <f>-'res_raw_57068515'!$D$9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IF(ABS((SUM(B7:B12))-'res_raw_57068515'!$F$13)&lt;=2,SUM(B7:B12),'res_raw_57068515'!$F$13)</f>
        <v/>
      </c>
      <c r="C13" s="30">
        <f>IF(ABS((SUM(C7:C12))-'res_raw_57068515'!$E$13)&lt;=2,SUM(C7:C12),'res_raw_57068515'!$E$13)</f>
        <v/>
      </c>
      <c r="D13" s="30">
        <f>IF(ABS((SUM(D7:D12))-'res_raw_57068515'!$D$13)&lt;=2,SUM(D7:D12),'res_raw_57068515'!$D$13)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N('res_raw_57068515'!$F$14)+N('res_raw_57068515'!$F$15)</f>
        <v/>
      </c>
      <c r="C14" s="24">
        <f>N('res_raw_57068515'!$E$14)+N('res_raw_57068515'!$E$15)</f>
        <v/>
      </c>
      <c r="D14" s="24">
        <f>N('res_raw_57068515'!$D$14)+N('res_raw_57068515'!$D$15)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-'res_raw_57068515'!$F$16</f>
        <v/>
      </c>
      <c r="C15" s="27">
        <f>-'res_raw_57068515'!$E$16</f>
        <v/>
      </c>
      <c r="D15" s="27">
        <f>-'res_raw_57068515'!$D$16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IF(ABS((SUM(B13:B15))-'res_raw_57068515'!$F$18)&lt;=2,SUM(B13:B15),'res_raw_57068515'!$F$18)</f>
        <v/>
      </c>
      <c r="C16" s="30">
        <f>IF(ABS((SUM(C13:C15))-'res_raw_57068515'!$E$18)&lt;=2,SUM(C13:C15),'res_raw_57068515'!$E$18)</f>
        <v/>
      </c>
      <c r="D16" s="30">
        <f>IF(ABS((SUM(D13:D15))-'res_raw_57068515'!$D$18)&lt;=2,SUM(D13:D15),'res_raw_57068515'!$D$18)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'balance_raw_57068515'!$F$12</f>
        <v/>
      </c>
      <c r="C19" s="24">
        <f>'balance_raw_57068515'!$E$12</f>
        <v/>
      </c>
      <c r="D19" s="24">
        <f>'balance_raw_57068515'!$D$12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'balance_raw_57068515'!$F$27</f>
        <v/>
      </c>
      <c r="C20" s="24">
        <f>'balance_raw_57068515'!$E$27</f>
        <v/>
      </c>
      <c r="D20" s="24">
        <f>'balance_raw_57068515'!$D$27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'balance_raw_57068515'!$F$35</f>
        <v/>
      </c>
      <c r="C23" s="24">
        <f>'balance_raw_57068515'!$E$35</f>
        <v/>
      </c>
      <c r="D23" s="24">
        <f>'balance_raw_57068515'!$D$35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'balance_raw_57068515'!$F$56-'balance_raw_57068515'!$F$35</f>
        <v/>
      </c>
      <c r="C24" s="24">
        <f>'balance_raw_57068515'!$E$56-'balance_raw_57068515'!$E$35</f>
        <v/>
      </c>
      <c r="D24" s="24">
        <f>'balance_raw_57068515'!$D$56-'balance_raw_57068515'!$D$35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'balance_raw_57068515'!$F$16</f>
        <v/>
      </c>
      <c r="C28" s="24">
        <f>'balance_raw_57068515'!$E$16</f>
        <v/>
      </c>
      <c r="D28" s="24">
        <f>'balance_raw_57068515'!$D$16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'balance_raw_57068515'!$F$17</f>
        <v/>
      </c>
      <c r="C29" s="24">
        <f>'balance_raw_57068515'!$E$17</f>
        <v/>
      </c>
      <c r="D29" s="24">
        <f>'balance_raw_57068515'!$D$17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'balance_raw_57068515'!$F$54</f>
        <v/>
      </c>
      <c r="C30" s="24">
        <f>'balance_raw_57068515'!$E$54</f>
        <v/>
      </c>
      <c r="D30" s="24">
        <f>'balance_raw_57068515'!$D$54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IF('balance_raw_57068515'!$F$28="","—",IF(ABS(B21-'balance_raw_57068515'!$F$28)&lt;=1,"✓ OK","❌ "&amp;TEXT(B21-'balance_raw_57068515'!$F$28,"+#,##0;-#,##0")&amp;" t.kr."))</f>
        <v/>
      </c>
      <c r="C62" s="31">
        <f>IF('balance_raw_57068515'!$E$28="","—",IF(ABS(C21-'balance_raw_57068515'!$E$28)&lt;=1,"✓ OK","❌ "&amp;TEXT(C21-'balance_raw_57068515'!$E$28,"+#,##0;-#,##0")&amp;" t.kr."))</f>
        <v/>
      </c>
      <c r="D62" s="31">
        <f>IF('balance_raw_57068515'!$D$28="","—",IF(ABS(D21-'balance_raw_57068515'!$D$28)&lt;=1,"✓ OK","❌ "&amp;TEXT(D21-'balance_raw_57068515'!$D$28,"+#,##0;-#,##0")&amp;"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IF('balance_raw_57068515'!$F$56="","—",IF(ABS(B25-'balance_raw_57068515'!$F$56)&lt;=1,"✓ OK","❌ "&amp;TEXT(B25-'balance_raw_57068515'!$F$56,"+#,##0;-#,##0")&amp;" t.kr."))</f>
        <v/>
      </c>
      <c r="C63" s="31">
        <f>IF('balance_raw_57068515'!$E$56="","—",IF(ABS(C25-'balance_raw_57068515'!$E$56)&lt;=1,"✓ OK","❌ "&amp;TEXT(C25-'balance_raw_57068515'!$E$56,"+#,##0;-#,##0")&amp;" t.kr."))</f>
        <v/>
      </c>
      <c r="D63" s="31">
        <f>IF('balance_raw_57068515'!$D$56="","—",IF(ABS(D25-'balance_raw_57068515'!$D$56)&lt;=1,"✓ OK","❌ "&amp;TEXT(D25-'balance_raw_57068515'!$D$56,"+#,##0;-#,##0")&amp;"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IF('res_raw_57068515'!$F$4="","—",IF(ABS(B7-'res_raw_57068515'!$F$4)&lt;=1,"✓ OK","❌ "&amp;TEXT(B7-'res_raw_57068515'!$F$4,"+#,##0;-#,##0")&amp;" t.kr."))</f>
        <v/>
      </c>
      <c r="C65" s="31">
        <f>IF('res_raw_57068515'!$E$4="","—",IF(ABS(C7-'res_raw_57068515'!$E$4)&lt;=1,"✓ OK","❌ "&amp;TEXT(C7-'res_raw_57068515'!$E$4,"+#,##0;-#,##0")&amp;" t.kr."))</f>
        <v/>
      </c>
      <c r="D65" s="31">
        <f>IF('res_raw_57068515'!$D$4="","—",IF(ABS(D7-'res_raw_57068515'!$D$4)&lt;=1,"✓ OK","❌ "&amp;TEXT(D7-'res_raw_57068515'!$D$4,"+#,##0;-#,##0")&amp;"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IF('res_raw_57068515'!$F$13="","—",IF(ABS(B13-'res_raw_57068515'!$F$13)&lt;=1,"✓ OK","❌ "&amp;TEXT(B13-'res_raw_57068515'!$F$13,"+#,##0;-#,##0")&amp;" t.kr."))</f>
        <v/>
      </c>
      <c r="C66" s="31">
        <f>IF('res_raw_57068515'!$E$13="","—",IF(ABS(C13-'res_raw_57068515'!$E$13)&lt;=1,"✓ OK","❌ "&amp;TEXT(C13-'res_raw_57068515'!$E$13,"+#,##0;-#,##0")&amp;" t.kr."))</f>
        <v/>
      </c>
      <c r="D66" s="31">
        <f>IF('res_raw_57068515'!$D$13="","—",IF(ABS(D13-'res_raw_57068515'!$D$13)&lt;=1,"✓ OK","❌ "&amp;TEXT(D13-'res_raw_57068515'!$D$13,"+#,##0;-#,##0")&amp;"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IF('res_raw_57068515'!$F$18="","—",IF(ABS(B16-'res_raw_57068515'!$F$18)&lt;=1,"✓ OK","❌ "&amp;TEXT(B16-'res_raw_57068515'!$F$18,"+#,##0;-#,##0")&amp;" t.kr."))</f>
        <v/>
      </c>
      <c r="C67" s="31">
        <f>IF('res_raw_57068515'!$E$18="","—",IF(ABS(C16-'res_raw_57068515'!$E$18)&lt;=1,"✓ OK","❌ "&amp;TEXT(C16-'res_raw_57068515'!$E$18,"+#,##0;-#,##0")&amp;" t.kr."))</f>
        <v/>
      </c>
      <c r="D67" s="31">
        <f>IF('res_raw_57068515'!$D$18="","—",IF(ABS(D16-'res_raw_57068515'!$D$18)&lt;=1,"✓ OK","❌ "&amp;TEXT(D16-'res_raw_57068515'!$D$18,"+#,##0;-#,##0")&amp;"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Roblon A/S (CVR 57068515)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ifrs-full:CurrentInvestments</t>
        </is>
      </c>
      <c r="C3" s="36" t="inlineStr">
        <is>
          <t>ifrs-full:CurrentInvestments</t>
        </is>
      </c>
      <c r="D3" s="37" t="n">
        <v>42035</v>
      </c>
      <c r="E3" s="37" t="n"/>
      <c r="F3" s="37" t="n"/>
      <c r="G3" s="37" t="n"/>
      <c r="H3" s="37" t="n"/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ifrs-full:CurrentPortionOfLongtermBorrowings</t>
        </is>
      </c>
      <c r="C4" s="39" t="inlineStr">
        <is>
          <t>ifrs-full:CurrentPortionOfLongtermBorrowings</t>
        </is>
      </c>
      <c r="D4" s="40" t="n">
        <v>0</v>
      </c>
      <c r="E4" s="40" t="n">
        <v>381</v>
      </c>
      <c r="F4" s="40" t="n">
        <v>3990</v>
      </c>
      <c r="G4" s="40" t="n">
        <v>4000</v>
      </c>
      <c r="H4" s="40" t="n">
        <v>23969</v>
      </c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ifrs-full:GainsLossesOnExchangeDifferencesOnTranslationNetOfTax</t>
        </is>
      </c>
      <c r="C5" s="36" t="inlineStr">
        <is>
          <t>ifrs-full:GainsLossesOnExchangeDifferencesOnTranslationNetOfTax</t>
        </is>
      </c>
      <c r="D5" s="37" t="n"/>
      <c r="E5" s="37" t="n"/>
      <c r="F5" s="37" t="n"/>
      <c r="G5" s="37" t="n"/>
      <c r="H5" s="37" t="n"/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ifrs-full:IncomeTaxesRefundClassifiedAsOperatingActivities</t>
        </is>
      </c>
      <c r="C6" s="39" t="inlineStr">
        <is>
          <t>ifrs-full:IncomeTaxesRefundClassifiedAsOperatingActivities</t>
        </is>
      </c>
      <c r="D6" s="40" t="n">
        <v>444</v>
      </c>
      <c r="E6" s="40" t="n">
        <v>2133</v>
      </c>
      <c r="F6" s="40" t="n">
        <v>88</v>
      </c>
      <c r="G6" s="40" t="n">
        <v>0</v>
      </c>
      <c r="H6" s="40" t="n">
        <v>348</v>
      </c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ifrs-full:NoncurrentLoansAndReceivables</t>
        </is>
      </c>
      <c r="C7" s="36" t="inlineStr">
        <is>
          <t>ifrs-full:NoncurrentLoansAndReceivables</t>
        </is>
      </c>
      <c r="D7" s="37" t="n"/>
      <c r="E7" s="37" t="n"/>
      <c r="F7" s="37" t="n"/>
      <c r="G7" s="37" t="n"/>
      <c r="H7" s="37" t="n">
        <v>33213</v>
      </c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ifrs-full:OtherComprehensiveIncomeBeforeTaxHedgesOfNetInvestmentsInForeignOperations</t>
        </is>
      </c>
      <c r="C8" s="39" t="inlineStr">
        <is>
          <t>ifrs-full:OtherComprehensiveIncomeBeforeTaxHedgesOfNetInvestmentsInForeignOperations</t>
        </is>
      </c>
      <c r="D8" s="40" t="n"/>
      <c r="E8" s="40" t="n">
        <v>0</v>
      </c>
      <c r="F8" s="40" t="n"/>
      <c r="G8" s="40" t="n"/>
      <c r="H8" s="40" t="n"/>
      <c r="I8" s="41" t="inlineStr">
        <is>
          <t>Ingen forklaring tilgængelig.</t>
        </is>
      </c>
    </row>
    <row r="9" ht="30" customHeight="1">
      <c r="A9" s="36" t="inlineStr">
        <is>
          <t>Øvrige (ukendt)</t>
        </is>
      </c>
      <c r="B9" s="36" t="inlineStr">
        <is>
          <t>ifrs-full:OtherWorkPerformedByEntityAndCapitalised</t>
        </is>
      </c>
      <c r="C9" s="36" t="inlineStr">
        <is>
          <t>ifrs-full:OtherWorkPerformedByEntityAndCapitalised</t>
        </is>
      </c>
      <c r="D9" s="37" t="n">
        <v>2292</v>
      </c>
      <c r="E9" s="37" t="n">
        <v>2221</v>
      </c>
      <c r="F9" s="37" t="n">
        <v>3220</v>
      </c>
      <c r="G9" s="37" t="n">
        <v>976</v>
      </c>
      <c r="H9" s="37" t="n">
        <v>963</v>
      </c>
      <c r="I9" s="38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2026-10-02T21:58:03Z</dcterms:created>
  <dcterms:modified xmlns:dcterms="http://purl.org/dc/terms/" xmlns:xsi="http://www.w3.org/2001/XMLSchema-instance" xsi:type="dcterms:W3CDTF">2026-10-02T21:58:04Z</dcterms:modified>
</cp:coreProperties>
</file>