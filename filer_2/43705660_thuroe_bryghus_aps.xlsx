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3705660" sheetId="1" state="visible" r:id="rId1"/>
    <sheet xmlns:r="http://schemas.openxmlformats.org/officeDocument/2006/relationships" name="res_raw_43705660" sheetId="2" state="visible" r:id="rId2"/>
    <sheet xmlns:r="http://schemas.openxmlformats.org/officeDocument/2006/relationships" name="balance_raw_4370566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THURØ BRYGHUS APS (CVR 43705660) — 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s="2" t="inlineStr">
        <is>
          <t>Indekstal (2022=100)</t>
        </is>
      </c>
      <c r="H2" t="inlineStr"/>
      <c r="I2" t="inlineStr"/>
      <c r="J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t="inlineStr"/>
      <c r="G3" s="3" t="n">
        <v>2022</v>
      </c>
      <c r="H3" s="3" t="n">
        <v>2023</v>
      </c>
      <c r="I3" s="3" t="n">
        <v>2024</v>
      </c>
      <c r="J3" s="3" t="n">
        <v>2025</v>
      </c>
    </row>
    <row r="4" ht="16" customHeight="1">
      <c r="A4" s="4" t="inlineStr">
        <is>
          <t>Nettoomsætning</t>
        </is>
      </c>
      <c r="B4" s="5">
        <f>'res_raw_43705660'!$B$2</f>
        <v/>
      </c>
      <c r="C4" s="5">
        <f>'res_raw_43705660'!$C$2</f>
        <v/>
      </c>
      <c r="D4" s="5">
        <f>'res_raw_43705660'!$D$2</f>
        <v/>
      </c>
      <c r="E4" s="5">
        <f>'res_raw_43705660'!$E$2</f>
        <v/>
      </c>
      <c r="F4" t="inlineStr"/>
      <c r="G4" s="6">
        <f>IFERROR(B4/$B$4*100,"")</f>
        <v/>
      </c>
      <c r="H4" s="6">
        <f>IFERROR(C4/$B$4*100,"")</f>
        <v/>
      </c>
      <c r="I4" s="6">
        <f>IFERROR(D4/$B$4*100,"")</f>
        <v/>
      </c>
      <c r="J4" s="6">
        <f>IFERROR(E4/$B$4*100,"")</f>
        <v/>
      </c>
    </row>
    <row r="5" ht="16" customHeight="1">
      <c r="A5" s="7" t="inlineStr">
        <is>
          <t>Andre driftsindtægter</t>
        </is>
      </c>
      <c r="B5" s="8">
        <f>'res_raw_43705660'!$B$3</f>
        <v/>
      </c>
      <c r="C5" s="8">
        <f>'res_raw_43705660'!$C$3</f>
        <v/>
      </c>
      <c r="D5" s="8">
        <f>'res_raw_43705660'!$D$3</f>
        <v/>
      </c>
      <c r="E5" s="8">
        <f>'res_raw_43705660'!$E$3</f>
        <v/>
      </c>
      <c r="F5" t="inlineStr"/>
      <c r="G5" s="9">
        <f>IFERROR(B5/$B$5*100,"")</f>
        <v/>
      </c>
      <c r="H5" s="9">
        <f>IFERROR(C5/$B$5*100,"")</f>
        <v/>
      </c>
      <c r="I5" s="9">
        <f>IFERROR(D5/$B$5*100,"")</f>
        <v/>
      </c>
      <c r="J5" s="9">
        <f>IFERROR(E5/$B$5*100,"")</f>
        <v/>
      </c>
    </row>
    <row r="6" ht="16" customHeight="1">
      <c r="A6" s="4" t="inlineStr">
        <is>
          <t>Vareforbrug</t>
        </is>
      </c>
      <c r="B6" s="5">
        <f>'res_raw_43705660'!$B$4</f>
        <v/>
      </c>
      <c r="C6" s="5">
        <f>'res_raw_43705660'!$C$4</f>
        <v/>
      </c>
      <c r="D6" s="5">
        <f>'res_raw_43705660'!$D$4</f>
        <v/>
      </c>
      <c r="E6" s="5">
        <f>'res_raw_43705660'!$E$4</f>
        <v/>
      </c>
      <c r="F6" t="inlineStr"/>
      <c r="G6" s="6">
        <f>IFERROR(B6/$B$6*100,"")</f>
        <v/>
      </c>
      <c r="H6" s="6">
        <f>IFERROR(C6/$B$6*100,"")</f>
        <v/>
      </c>
      <c r="I6" s="6">
        <f>IFERROR(D6/$B$6*100,"")</f>
        <v/>
      </c>
      <c r="J6" s="6">
        <f>IFERROR(E6/$B$6*100,"")</f>
        <v/>
      </c>
    </row>
    <row r="7" ht="16" customHeight="1">
      <c r="A7" s="7" t="inlineStr">
        <is>
          <t>Andre eksterne omkostninger</t>
        </is>
      </c>
      <c r="B7" s="8">
        <f>'res_raw_43705660'!$B$5</f>
        <v/>
      </c>
      <c r="C7" s="8">
        <f>'res_raw_43705660'!$C$5</f>
        <v/>
      </c>
      <c r="D7" s="8">
        <f>'res_raw_43705660'!$D$5</f>
        <v/>
      </c>
      <c r="E7" s="8">
        <f>'res_raw_43705660'!$E$5</f>
        <v/>
      </c>
      <c r="F7" t="inlineStr"/>
      <c r="G7" s="9">
        <f>IFERROR(B7/$B$7*100,"")</f>
        <v/>
      </c>
      <c r="H7" s="9">
        <f>IFERROR(C7/$B$7*100,"")</f>
        <v/>
      </c>
      <c r="I7" s="9">
        <f>IFERROR(D7/$B$7*100,"")</f>
        <v/>
      </c>
      <c r="J7" s="9">
        <f>IFERROR(E7/$B$7*100,"")</f>
        <v/>
      </c>
    </row>
    <row r="8" ht="16" customHeight="1">
      <c r="A8" s="10" t="inlineStr">
        <is>
          <t>Bruttoresultat</t>
        </is>
      </c>
      <c r="B8" s="11">
        <f>'res_raw_43705660'!$B$6</f>
        <v/>
      </c>
      <c r="C8" s="11">
        <f>'res_raw_43705660'!$C$6</f>
        <v/>
      </c>
      <c r="D8" s="11">
        <f>'res_raw_43705660'!$D$6</f>
        <v/>
      </c>
      <c r="E8" s="11">
        <f>'res_raw_43705660'!$E$6</f>
        <v/>
      </c>
      <c r="F8" t="inlineStr"/>
      <c r="G8" s="12">
        <f>IFERROR(B8/$B$8*100,"")</f>
        <v/>
      </c>
      <c r="H8" s="12">
        <f>IFERROR(C8/$B$8*100,"")</f>
        <v/>
      </c>
      <c r="I8" s="12">
        <f>IFERROR(D8/$B$8*100,"")</f>
        <v/>
      </c>
      <c r="J8" s="12">
        <f>IFERROR(E8/$B$8*100,"")</f>
        <v/>
      </c>
    </row>
    <row r="9" ht="16" customHeight="1">
      <c r="A9" s="7" t="inlineStr">
        <is>
          <t>Personaleomkostninger</t>
        </is>
      </c>
      <c r="B9" s="8">
        <f>'res_raw_43705660'!$B$7</f>
        <v/>
      </c>
      <c r="C9" s="8">
        <f>'res_raw_43705660'!$C$7</f>
        <v/>
      </c>
      <c r="D9" s="8">
        <f>'res_raw_43705660'!$D$7</f>
        <v/>
      </c>
      <c r="E9" s="8">
        <f>'res_raw_43705660'!$E$7</f>
        <v/>
      </c>
      <c r="F9" t="inlineStr"/>
      <c r="G9" s="9">
        <f>IFERROR(B9/$B$9*100,"")</f>
        <v/>
      </c>
      <c r="H9" s="9">
        <f>IFERROR(C9/$B$9*100,"")</f>
        <v/>
      </c>
      <c r="I9" s="9">
        <f>IFERROR(D9/$B$9*100,"")</f>
        <v/>
      </c>
      <c r="J9" s="9">
        <f>IFERROR(E9/$B$9*100,"")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t="inlineStr"/>
      <c r="G10" s="12">
        <f>IFERROR(B10/$B$10*100,"")</f>
        <v/>
      </c>
      <c r="H10" s="12">
        <f>IFERROR(C10/$B$10*100,"")</f>
        <v/>
      </c>
      <c r="I10" s="12">
        <f>IFERROR(D10/$B$10*100,"")</f>
        <v/>
      </c>
      <c r="J10" s="12">
        <f>IFERROR(E10/$B$10*100,"")</f>
        <v/>
      </c>
    </row>
    <row r="11" ht="16" customHeight="1">
      <c r="A11" s="7" t="inlineStr">
        <is>
          <t>Af- og nedskrivninger</t>
        </is>
      </c>
      <c r="B11" s="8">
        <f>'res_raw_43705660'!$B$9</f>
        <v/>
      </c>
      <c r="C11" s="8">
        <f>'res_raw_43705660'!$C$9</f>
        <v/>
      </c>
      <c r="D11" s="8">
        <f>'res_raw_43705660'!$D$9</f>
        <v/>
      </c>
      <c r="E11" s="8">
        <f>'res_raw_43705660'!$E$9</f>
        <v/>
      </c>
      <c r="F11" t="inlineStr"/>
      <c r="G11" s="9">
        <f>IFERROR(B11/$B$11*100,"")</f>
        <v/>
      </c>
      <c r="H11" s="9">
        <f>IFERROR(C11/$B$11*100,"")</f>
        <v/>
      </c>
      <c r="I11" s="9">
        <f>IFERROR(D11/$B$11*100,"")</f>
        <v/>
      </c>
      <c r="J11" s="9">
        <f>IFERROR(E11/$B$11*100,"")</f>
        <v/>
      </c>
    </row>
    <row r="12" ht="16" customHeight="1">
      <c r="A12" s="4" t="inlineStr">
        <is>
          <t>Andre driftsomkostninger</t>
        </is>
      </c>
      <c r="B12" s="5">
        <f>'res_raw_43705660'!$B$10</f>
        <v/>
      </c>
      <c r="C12" s="5">
        <f>'res_raw_43705660'!$C$10</f>
        <v/>
      </c>
      <c r="D12" s="5">
        <f>'res_raw_43705660'!$D$10</f>
        <v/>
      </c>
      <c r="E12" s="5">
        <f>'res_raw_43705660'!$E$10</f>
        <v/>
      </c>
      <c r="F12" t="inlineStr"/>
      <c r="G12" s="6">
        <f>IFERROR(B12/$B$12*100,"")</f>
        <v/>
      </c>
      <c r="H12" s="6">
        <f>IFERROR(C12/$B$12*100,"")</f>
        <v/>
      </c>
      <c r="I12" s="6">
        <f>IFERROR(D12/$B$12*100,"")</f>
        <v/>
      </c>
      <c r="J12" s="6">
        <f>IFERROR(E12/$B$12*100,"")</f>
        <v/>
      </c>
    </row>
    <row r="13" ht="16" customHeight="1">
      <c r="A13" s="10" t="inlineStr">
        <is>
          <t>Resultat af primær drift</t>
        </is>
      </c>
      <c r="B13" s="11">
        <f>'res_raw_43705660'!$B$11</f>
        <v/>
      </c>
      <c r="C13" s="11">
        <f>'res_raw_43705660'!$C$11</f>
        <v/>
      </c>
      <c r="D13" s="11">
        <f>'res_raw_43705660'!$D$11</f>
        <v/>
      </c>
      <c r="E13" s="11">
        <f>'res_raw_43705660'!$E$11</f>
        <v/>
      </c>
      <c r="F13" t="inlineStr"/>
      <c r="G13" s="12">
        <f>IFERROR(B13/$B$13*100,"")</f>
        <v/>
      </c>
      <c r="H13" s="12">
        <f>IFERROR(C13/$B$13*100,"")</f>
        <v/>
      </c>
      <c r="I13" s="12">
        <f>IFERROR(D13/$B$13*100,"")</f>
        <v/>
      </c>
      <c r="J13" s="12">
        <f>IFERROR(E13/$B$13*100,"")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'res_raw_43705660'!$B$12</f>
        <v/>
      </c>
      <c r="C14" s="5">
        <f>'res_raw_43705660'!$C$12</f>
        <v/>
      </c>
      <c r="D14" s="5">
        <f>'res_raw_43705660'!$D$12</f>
        <v/>
      </c>
      <c r="E14" s="5">
        <f>'res_raw_43705660'!$E$12</f>
        <v/>
      </c>
      <c r="F14" t="inlineStr"/>
      <c r="G14" s="6">
        <f>IFERROR(B14/$B$14*100,"")</f>
        <v/>
      </c>
      <c r="H14" s="6">
        <f>IFERROR(C14/$B$14*100,"")</f>
        <v/>
      </c>
      <c r="I14" s="6">
        <f>IFERROR(D14/$B$14*100,"")</f>
        <v/>
      </c>
      <c r="J14" s="6">
        <f>IFERROR(E14/$B$14*100,"")</f>
        <v/>
      </c>
    </row>
    <row r="15" ht="16" customHeight="1">
      <c r="A15" s="7" t="inlineStr">
        <is>
          <t>Finansielle indtægter</t>
        </is>
      </c>
      <c r="B15" s="8">
        <f>'res_raw_43705660'!$B$13</f>
        <v/>
      </c>
      <c r="C15" s="8">
        <f>'res_raw_43705660'!$C$13</f>
        <v/>
      </c>
      <c r="D15" s="8">
        <f>'res_raw_43705660'!$D$13</f>
        <v/>
      </c>
      <c r="E15" s="8">
        <f>'res_raw_43705660'!$E$13</f>
        <v/>
      </c>
      <c r="F15" t="inlineStr"/>
      <c r="G15" s="9">
        <f>IFERROR(B15/$B$15*100,"")</f>
        <v/>
      </c>
      <c r="H15" s="9">
        <f>IFERROR(C15/$B$15*100,"")</f>
        <v/>
      </c>
      <c r="I15" s="9">
        <f>IFERROR(D15/$B$15*100,"")</f>
        <v/>
      </c>
      <c r="J15" s="9">
        <f>IFERROR(E15/$B$15*100,"")</f>
        <v/>
      </c>
    </row>
    <row r="16" ht="16" customHeight="1">
      <c r="A16" s="4" t="inlineStr">
        <is>
          <t>Finansielle omkostninger</t>
        </is>
      </c>
      <c r="B16" s="5">
        <f>'res_raw_43705660'!$B$14</f>
        <v/>
      </c>
      <c r="C16" s="5">
        <f>'res_raw_43705660'!$C$14</f>
        <v/>
      </c>
      <c r="D16" s="5">
        <f>'res_raw_43705660'!$D$14</f>
        <v/>
      </c>
      <c r="E16" s="5">
        <f>'res_raw_43705660'!$E$14</f>
        <v/>
      </c>
      <c r="F16" t="inlineStr"/>
      <c r="G16" s="6">
        <f>IFERROR(B16/$B$16*100,"")</f>
        <v/>
      </c>
      <c r="H16" s="6">
        <f>IFERROR(C16/$B$16*100,"")</f>
        <v/>
      </c>
      <c r="I16" s="6">
        <f>IFERROR(D16/$B$16*100,"")</f>
        <v/>
      </c>
      <c r="J16" s="6">
        <f>IFERROR(E16/$B$16*100,"")</f>
        <v/>
      </c>
    </row>
    <row r="17" ht="16" customHeight="1">
      <c r="A17" s="10" t="inlineStr">
        <is>
          <t>Finansielle poster, netto</t>
        </is>
      </c>
      <c r="B17" s="11">
        <f>'res_raw_43705660'!$B$15</f>
        <v/>
      </c>
      <c r="C17" s="11">
        <f>'res_raw_43705660'!$C$15</f>
        <v/>
      </c>
      <c r="D17" s="11">
        <f>'res_raw_43705660'!$D$15</f>
        <v/>
      </c>
      <c r="E17" s="11">
        <f>'res_raw_43705660'!$E$15</f>
        <v/>
      </c>
      <c r="F17" t="inlineStr"/>
      <c r="G17" s="12">
        <f>IFERROR(B17/$B$17*100,"")</f>
        <v/>
      </c>
      <c r="H17" s="12">
        <f>IFERROR(C17/$B$17*100,"")</f>
        <v/>
      </c>
      <c r="I17" s="12">
        <f>IFERROR(D17/$B$17*100,"")</f>
        <v/>
      </c>
      <c r="J17" s="12">
        <f>IFERROR(E17/$B$17*100,"")</f>
        <v/>
      </c>
    </row>
    <row r="18" ht="16" customHeight="1">
      <c r="A18" s="10" t="inlineStr">
        <is>
          <t>Resultat før skat</t>
        </is>
      </c>
      <c r="B18" s="11">
        <f>'res_raw_43705660'!$B$16</f>
        <v/>
      </c>
      <c r="C18" s="11">
        <f>'res_raw_43705660'!$C$16</f>
        <v/>
      </c>
      <c r="D18" s="11">
        <f>'res_raw_43705660'!$D$16</f>
        <v/>
      </c>
      <c r="E18" s="11">
        <f>'res_raw_43705660'!$E$16</f>
        <v/>
      </c>
      <c r="F18" t="inlineStr"/>
      <c r="G18" s="12">
        <f>IFERROR(B18/$B$18*100,"")</f>
        <v/>
      </c>
      <c r="H18" s="12">
        <f>IFERROR(C18/$B$18*100,"")</f>
        <v/>
      </c>
      <c r="I18" s="12">
        <f>IFERROR(D18/$B$18*100,"")</f>
        <v/>
      </c>
      <c r="J18" s="12">
        <f>IFERROR(E18/$B$18*100,"")</f>
        <v/>
      </c>
    </row>
    <row r="19" ht="16" customHeight="1">
      <c r="A19" s="7" t="inlineStr">
        <is>
          <t>Skat af årets resultat</t>
        </is>
      </c>
      <c r="B19" s="8">
        <f>'res_raw_43705660'!$B$17</f>
        <v/>
      </c>
      <c r="C19" s="8">
        <f>'res_raw_43705660'!$C$17</f>
        <v/>
      </c>
      <c r="D19" s="8">
        <f>'res_raw_43705660'!$D$17</f>
        <v/>
      </c>
      <c r="E19" s="8">
        <f>'res_raw_43705660'!$E$17</f>
        <v/>
      </c>
      <c r="F19" t="inlineStr"/>
      <c r="G19" s="9">
        <f>IFERROR(B19/$B$19*100,"")</f>
        <v/>
      </c>
      <c r="H19" s="9">
        <f>IFERROR(C19/$B$19*100,"")</f>
        <v/>
      </c>
      <c r="I19" s="9">
        <f>IFERROR(D19/$B$19*100,"")</f>
        <v/>
      </c>
      <c r="J19" s="9">
        <f>IFERROR(E19/$B$19*100,"")</f>
        <v/>
      </c>
    </row>
    <row r="20" ht="16" customHeight="1">
      <c r="A20" s="10" t="inlineStr">
        <is>
          <t>Årets resultat</t>
        </is>
      </c>
      <c r="B20" s="11">
        <f>'res_raw_43705660'!$B$18</f>
        <v/>
      </c>
      <c r="C20" s="11">
        <f>'res_raw_43705660'!$C$18</f>
        <v/>
      </c>
      <c r="D20" s="11">
        <f>'res_raw_43705660'!$D$18</f>
        <v/>
      </c>
      <c r="E20" s="11">
        <f>'res_raw_43705660'!$E$18</f>
        <v/>
      </c>
      <c r="F20" t="inlineStr"/>
      <c r="G20" s="12">
        <f>IFERROR(B20/$B$20*100,"")</f>
        <v/>
      </c>
      <c r="H20" s="12">
        <f>IFERROR(C20/$B$20*100,"")</f>
        <v/>
      </c>
      <c r="I20" s="12">
        <f>IFERROR(D20/$B$20*100,"")</f>
        <v/>
      </c>
      <c r="J20" s="12">
        <f>IFERROR(E20/$B$20*100,"")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t="inlineStr"/>
      <c r="G22" s="3" t="n">
        <v>2022</v>
      </c>
      <c r="H22" s="3" t="n">
        <v>2023</v>
      </c>
      <c r="I22" s="3" t="n">
        <v>2024</v>
      </c>
      <c r="J22" s="3" t="n">
        <v>2025</v>
      </c>
    </row>
    <row r="23" ht="16" customHeight="1">
      <c r="A23" s="7" t="inlineStr">
        <is>
          <t>Grunde og bygninger</t>
        </is>
      </c>
      <c r="B23" s="8">
        <f>'balance_raw_43705660'!$B$2</f>
        <v/>
      </c>
      <c r="C23" s="8">
        <f>'balance_raw_43705660'!$C$2</f>
        <v/>
      </c>
      <c r="D23" s="8">
        <f>'balance_raw_43705660'!$D$2</f>
        <v/>
      </c>
      <c r="E23" s="8">
        <f>'balance_raw_43705660'!$E$2</f>
        <v/>
      </c>
      <c r="F23" t="inlineStr"/>
      <c r="G23" s="9">
        <f>IFERROR(B23/$B$23*100,"")</f>
        <v/>
      </c>
      <c r="H23" s="9">
        <f>IFERROR(C23/$B$23*100,"")</f>
        <v/>
      </c>
      <c r="I23" s="9">
        <f>IFERROR(D23/$B$23*100,"")</f>
        <v/>
      </c>
      <c r="J23" s="9">
        <f>IFERROR(E23/$B$23*100,"")</f>
        <v/>
      </c>
    </row>
    <row r="24" ht="16" customHeight="1">
      <c r="A24" s="4" t="inlineStr">
        <is>
          <t>Produktionsanlæg og maskiner</t>
        </is>
      </c>
      <c r="B24" s="5">
        <f>'balance_raw_43705660'!$B$3</f>
        <v/>
      </c>
      <c r="C24" s="5">
        <f>'balance_raw_43705660'!$C$3</f>
        <v/>
      </c>
      <c r="D24" s="5">
        <f>'balance_raw_43705660'!$D$3</f>
        <v/>
      </c>
      <c r="E24" s="5">
        <f>'balance_raw_43705660'!$E$3</f>
        <v/>
      </c>
      <c r="F24" t="inlineStr"/>
      <c r="G24" s="6">
        <f>IFERROR(B24/$B$24*100,"")</f>
        <v/>
      </c>
      <c r="H24" s="6">
        <f>IFERROR(C24/$B$24*100,"")</f>
        <v/>
      </c>
      <c r="I24" s="6">
        <f>IFERROR(D24/$B$24*100,"")</f>
        <v/>
      </c>
      <c r="J24" s="6">
        <f>IFERROR(E24/$B$24*100,"")</f>
        <v/>
      </c>
    </row>
    <row r="25" ht="16" customHeight="1">
      <c r="A25" s="7" t="inlineStr">
        <is>
          <t>Driftsmateriel og inventar</t>
        </is>
      </c>
      <c r="B25" s="8">
        <f>'balance_raw_43705660'!$B$4</f>
        <v/>
      </c>
      <c r="C25" s="8">
        <f>'balance_raw_43705660'!$C$4</f>
        <v/>
      </c>
      <c r="D25" s="8">
        <f>'balance_raw_43705660'!$D$4</f>
        <v/>
      </c>
      <c r="E25" s="8">
        <f>'balance_raw_43705660'!$E$4</f>
        <v/>
      </c>
      <c r="F25" t="inlineStr"/>
      <c r="G25" s="9">
        <f>IFERROR(B25/$B$25*100,"")</f>
        <v/>
      </c>
      <c r="H25" s="9">
        <f>IFERROR(C25/$B$25*100,"")</f>
        <v/>
      </c>
      <c r="I25" s="9">
        <f>IFERROR(D25/$B$25*100,"")</f>
        <v/>
      </c>
      <c r="J25" s="9">
        <f>IFERROR(E25/$B$25*100,"")</f>
        <v/>
      </c>
    </row>
    <row r="26" ht="16" customHeight="1">
      <c r="A26" s="4" t="inlineStr">
        <is>
          <t>Indretning af lejede lokaler</t>
        </is>
      </c>
      <c r="B26" s="5">
        <f>'balance_raw_43705660'!$B$5</f>
        <v/>
      </c>
      <c r="C26" s="5">
        <f>'balance_raw_43705660'!$C$5</f>
        <v/>
      </c>
      <c r="D26" s="5">
        <f>'balance_raw_43705660'!$D$5</f>
        <v/>
      </c>
      <c r="E26" s="5">
        <f>'balance_raw_43705660'!$E$5</f>
        <v/>
      </c>
      <c r="F26" t="inlineStr"/>
      <c r="G26" s="6">
        <f>IFERROR(B26/$B$26*100,"")</f>
        <v/>
      </c>
      <c r="H26" s="6">
        <f>IFERROR(C26/$B$26*100,"")</f>
        <v/>
      </c>
      <c r="I26" s="6">
        <f>IFERROR(D26/$B$26*100,"")</f>
        <v/>
      </c>
      <c r="J26" s="6">
        <f>IFERROR(E26/$B$26*100,"")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'balance_raw_43705660'!$B$6</f>
        <v/>
      </c>
      <c r="C27" s="8">
        <f>'balance_raw_43705660'!$C$6</f>
        <v/>
      </c>
      <c r="D27" s="8">
        <f>'balance_raw_43705660'!$D$6</f>
        <v/>
      </c>
      <c r="E27" s="8">
        <f>'balance_raw_43705660'!$E$6</f>
        <v/>
      </c>
      <c r="F27" t="inlineStr"/>
      <c r="G27" s="9">
        <f>IFERROR(B27/$B$27*100,"")</f>
        <v/>
      </c>
      <c r="H27" s="9">
        <f>IFERROR(C27/$B$27*100,"")</f>
        <v/>
      </c>
      <c r="I27" s="9">
        <f>IFERROR(D27/$B$27*100,"")</f>
        <v/>
      </c>
      <c r="J27" s="9">
        <f>IFERROR(E27/$B$27*100,"")</f>
        <v/>
      </c>
    </row>
    <row r="28" ht="16" customHeight="1">
      <c r="A28" s="10" t="inlineStr">
        <is>
          <t>Materielle anlægsaktiver</t>
        </is>
      </c>
      <c r="B28" s="11">
        <f>'balance_raw_43705660'!$B$7</f>
        <v/>
      </c>
      <c r="C28" s="11">
        <f>'balance_raw_43705660'!$C$7</f>
        <v/>
      </c>
      <c r="D28" s="11">
        <f>'balance_raw_43705660'!$D$7</f>
        <v/>
      </c>
      <c r="E28" s="11">
        <f>'balance_raw_43705660'!$E$7</f>
        <v/>
      </c>
      <c r="F28" t="inlineStr"/>
      <c r="G28" s="12">
        <f>IFERROR(B28/$B$28*100,"")</f>
        <v/>
      </c>
      <c r="H28" s="12">
        <f>IFERROR(C28/$B$28*100,"")</f>
        <v/>
      </c>
      <c r="I28" s="12">
        <f>IFERROR(D28/$B$28*100,"")</f>
        <v/>
      </c>
      <c r="J28" s="12">
        <f>IFERROR(E28/$B$28*100,"")</f>
        <v/>
      </c>
    </row>
    <row r="29" ht="16" customHeight="1">
      <c r="A29" s="7" t="inlineStr">
        <is>
          <t>Kapitalandele, dattervirksomheder</t>
        </is>
      </c>
      <c r="B29" s="8">
        <f>'balance_raw_43705660'!$B$8</f>
        <v/>
      </c>
      <c r="C29" s="8">
        <f>'balance_raw_43705660'!$C$8</f>
        <v/>
      </c>
      <c r="D29" s="8">
        <f>'balance_raw_43705660'!$D$8</f>
        <v/>
      </c>
      <c r="E29" s="8">
        <f>'balance_raw_43705660'!$E$8</f>
        <v/>
      </c>
      <c r="F29" t="inlineStr"/>
      <c r="G29" s="9">
        <f>IFERROR(B29/$B$29*100,"")</f>
        <v/>
      </c>
      <c r="H29" s="9">
        <f>IFERROR(C29/$B$29*100,"")</f>
        <v/>
      </c>
      <c r="I29" s="9">
        <f>IFERROR(D29/$B$29*100,"")</f>
        <v/>
      </c>
      <c r="J29" s="9">
        <f>IFERROR(E29/$B$29*100,"")</f>
        <v/>
      </c>
    </row>
    <row r="30" ht="16" customHeight="1">
      <c r="A30" s="4" t="inlineStr">
        <is>
          <t>Deposita</t>
        </is>
      </c>
      <c r="B30" s="5">
        <f>'balance_raw_43705660'!$B$9</f>
        <v/>
      </c>
      <c r="C30" s="5">
        <f>'balance_raw_43705660'!$C$9</f>
        <v/>
      </c>
      <c r="D30" s="5">
        <f>'balance_raw_43705660'!$D$9</f>
        <v/>
      </c>
      <c r="E30" s="5">
        <f>'balance_raw_43705660'!$E$9</f>
        <v/>
      </c>
      <c r="F30" t="inlineStr"/>
      <c r="G30" s="6">
        <f>IFERROR(B30/$B$30*100,"")</f>
        <v/>
      </c>
      <c r="H30" s="6">
        <f>IFERROR(C30/$B$30*100,"")</f>
        <v/>
      </c>
      <c r="I30" s="6">
        <f>IFERROR(D30/$B$30*100,"")</f>
        <v/>
      </c>
      <c r="J30" s="6">
        <f>IFERROR(E30/$B$30*100,"")</f>
        <v/>
      </c>
    </row>
    <row r="31" ht="16" customHeight="1">
      <c r="A31" s="10" t="inlineStr">
        <is>
          <t>Finansielle anlægsaktiver</t>
        </is>
      </c>
      <c r="B31" s="11">
        <f>'balance_raw_43705660'!$B$10</f>
        <v/>
      </c>
      <c r="C31" s="11">
        <f>'balance_raw_43705660'!$C$10</f>
        <v/>
      </c>
      <c r="D31" s="11">
        <f>'balance_raw_43705660'!$D$10</f>
        <v/>
      </c>
      <c r="E31" s="11">
        <f>'balance_raw_43705660'!$E$10</f>
        <v/>
      </c>
      <c r="F31" t="inlineStr"/>
      <c r="G31" s="12">
        <f>IFERROR(B31/$B$31*100,"")</f>
        <v/>
      </c>
      <c r="H31" s="12">
        <f>IFERROR(C31/$B$31*100,"")</f>
        <v/>
      </c>
      <c r="I31" s="12">
        <f>IFERROR(D31/$B$31*100,"")</f>
        <v/>
      </c>
      <c r="J31" s="12">
        <f>IFERROR(E31/$B$31*100,"")</f>
        <v/>
      </c>
    </row>
    <row r="32" ht="16" customHeight="1">
      <c r="A32" s="10" t="inlineStr">
        <is>
          <t>Anlægsaktiver</t>
        </is>
      </c>
      <c r="B32" s="11">
        <f>'balance_raw_43705660'!$B$11</f>
        <v/>
      </c>
      <c r="C32" s="11">
        <f>'balance_raw_43705660'!$C$11</f>
        <v/>
      </c>
      <c r="D32" s="11">
        <f>'balance_raw_43705660'!$D$11</f>
        <v/>
      </c>
      <c r="E32" s="11">
        <f>'balance_raw_43705660'!$E$11</f>
        <v/>
      </c>
      <c r="F32" t="inlineStr"/>
      <c r="G32" s="12">
        <f>IFERROR(B32/$B$32*100,"")</f>
        <v/>
      </c>
      <c r="H32" s="12">
        <f>IFERROR(C32/$B$32*100,"")</f>
        <v/>
      </c>
      <c r="I32" s="12">
        <f>IFERROR(D32/$B$32*100,"")</f>
        <v/>
      </c>
      <c r="J32" s="12">
        <f>IFERROR(E32/$B$32*100,"")</f>
        <v/>
      </c>
    </row>
    <row r="33" ht="16" customHeight="1">
      <c r="A33" s="7" t="inlineStr">
        <is>
          <t>Råvarer og hjælpematerialer</t>
        </is>
      </c>
      <c r="B33" s="8">
        <f>'balance_raw_43705660'!$B$12</f>
        <v/>
      </c>
      <c r="C33" s="8">
        <f>'balance_raw_43705660'!$C$12</f>
        <v/>
      </c>
      <c r="D33" s="8">
        <f>'balance_raw_43705660'!$D$12</f>
        <v/>
      </c>
      <c r="E33" s="8">
        <f>'balance_raw_43705660'!$E$12</f>
        <v/>
      </c>
      <c r="F33" t="inlineStr"/>
      <c r="G33" s="9">
        <f>IFERROR(B33/$B$33*100,"")</f>
        <v/>
      </c>
      <c r="H33" s="9">
        <f>IFERROR(C33/$B$33*100,"")</f>
        <v/>
      </c>
      <c r="I33" s="9">
        <f>IFERROR(D33/$B$33*100,"")</f>
        <v/>
      </c>
      <c r="J33" s="9">
        <f>IFERROR(E33/$B$33*100,"")</f>
        <v/>
      </c>
    </row>
    <row r="34" ht="16" customHeight="1">
      <c r="A34" s="4" t="inlineStr">
        <is>
          <t>Varer under fremstilling</t>
        </is>
      </c>
      <c r="B34" s="5">
        <f>'balance_raw_43705660'!$B$13</f>
        <v/>
      </c>
      <c r="C34" s="5">
        <f>'balance_raw_43705660'!$C$13</f>
        <v/>
      </c>
      <c r="D34" s="5">
        <f>'balance_raw_43705660'!$D$13</f>
        <v/>
      </c>
      <c r="E34" s="5">
        <f>'balance_raw_43705660'!$E$13</f>
        <v/>
      </c>
      <c r="F34" t="inlineStr"/>
      <c r="G34" s="6">
        <f>IFERROR(B34/$B$34*100,"")</f>
        <v/>
      </c>
      <c r="H34" s="6">
        <f>IFERROR(C34/$B$34*100,"")</f>
        <v/>
      </c>
      <c r="I34" s="6">
        <f>IFERROR(D34/$B$34*100,"")</f>
        <v/>
      </c>
      <c r="J34" s="6">
        <f>IFERROR(E34/$B$34*100,"")</f>
        <v/>
      </c>
    </row>
    <row r="35" ht="16" customHeight="1">
      <c r="A35" s="7" t="inlineStr">
        <is>
          <t>Færdigvarer og handelsvarer</t>
        </is>
      </c>
      <c r="B35" s="8">
        <f>'balance_raw_43705660'!$B$14</f>
        <v/>
      </c>
      <c r="C35" s="8">
        <f>'balance_raw_43705660'!$C$14</f>
        <v/>
      </c>
      <c r="D35" s="8">
        <f>'balance_raw_43705660'!$D$14</f>
        <v/>
      </c>
      <c r="E35" s="8">
        <f>'balance_raw_43705660'!$E$14</f>
        <v/>
      </c>
      <c r="F35" t="inlineStr"/>
      <c r="G35" s="9">
        <f>IFERROR(B35/$B$35*100,"")</f>
        <v/>
      </c>
      <c r="H35" s="9">
        <f>IFERROR(C35/$B$35*100,"")</f>
        <v/>
      </c>
      <c r="I35" s="9">
        <f>IFERROR(D35/$B$35*100,"")</f>
        <v/>
      </c>
      <c r="J35" s="9">
        <f>IFERROR(E35/$B$35*100,"")</f>
        <v/>
      </c>
    </row>
    <row r="36" ht="16" customHeight="1">
      <c r="A36" s="10" t="inlineStr">
        <is>
          <t>Varebeholdninger</t>
        </is>
      </c>
      <c r="B36" s="11">
        <f>'balance_raw_43705660'!$B$15</f>
        <v/>
      </c>
      <c r="C36" s="11">
        <f>'balance_raw_43705660'!$C$15</f>
        <v/>
      </c>
      <c r="D36" s="11">
        <f>'balance_raw_43705660'!$D$15</f>
        <v/>
      </c>
      <c r="E36" s="11">
        <f>'balance_raw_43705660'!$E$15</f>
        <v/>
      </c>
      <c r="F36" t="inlineStr"/>
      <c r="G36" s="12">
        <f>IFERROR(B36/$B$36*100,"")</f>
        <v/>
      </c>
      <c r="H36" s="12">
        <f>IFERROR(C36/$B$36*100,"")</f>
        <v/>
      </c>
      <c r="I36" s="12">
        <f>IFERROR(D36/$B$36*100,"")</f>
        <v/>
      </c>
      <c r="J36" s="12">
        <f>IFERROR(E36/$B$36*100,"")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'balance_raw_43705660'!$B$16</f>
        <v/>
      </c>
      <c r="C37" s="8">
        <f>'balance_raw_43705660'!$C$16</f>
        <v/>
      </c>
      <c r="D37" s="8">
        <f>'balance_raw_43705660'!$D$16</f>
        <v/>
      </c>
      <c r="E37" s="8">
        <f>'balance_raw_43705660'!$E$16</f>
        <v/>
      </c>
      <c r="F37" t="inlineStr"/>
      <c r="G37" s="9">
        <f>IFERROR(B37/$B$37*100,"")</f>
        <v/>
      </c>
      <c r="H37" s="9">
        <f>IFERROR(C37/$B$37*100,"")</f>
        <v/>
      </c>
      <c r="I37" s="9">
        <f>IFERROR(D37/$B$37*100,"")</f>
        <v/>
      </c>
      <c r="J37" s="9">
        <f>IFERROR(E37/$B$37*100,"")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'balance_raw_43705660'!$B$17</f>
        <v/>
      </c>
      <c r="C38" s="5">
        <f>'balance_raw_43705660'!$C$17</f>
        <v/>
      </c>
      <c r="D38" s="5">
        <f>'balance_raw_43705660'!$D$17</f>
        <v/>
      </c>
      <c r="E38" s="5">
        <f>'balance_raw_43705660'!$E$17</f>
        <v/>
      </c>
      <c r="F38" t="inlineStr"/>
      <c r="G38" s="6">
        <f>IFERROR(B38/$B$38*100,"")</f>
        <v/>
      </c>
      <c r="H38" s="6">
        <f>IFERROR(C38/$B$38*100,"")</f>
        <v/>
      </c>
      <c r="I38" s="6">
        <f>IFERROR(D38/$B$38*100,"")</f>
        <v/>
      </c>
      <c r="J38" s="6">
        <f>IFERROR(E38/$B$38*100,"")</f>
        <v/>
      </c>
    </row>
    <row r="39" ht="16" customHeight="1">
      <c r="A39" s="7" t="inlineStr">
        <is>
          <t>Andre tilgodehavender</t>
        </is>
      </c>
      <c r="B39" s="8">
        <f>'balance_raw_43705660'!$B$18</f>
        <v/>
      </c>
      <c r="C39" s="8">
        <f>'balance_raw_43705660'!$C$18</f>
        <v/>
      </c>
      <c r="D39" s="8">
        <f>'balance_raw_43705660'!$D$18</f>
        <v/>
      </c>
      <c r="E39" s="8">
        <f>'balance_raw_43705660'!$E$18</f>
        <v/>
      </c>
      <c r="F39" t="inlineStr"/>
      <c r="G39" s="9">
        <f>IFERROR(B39/$B$39*100,"")</f>
        <v/>
      </c>
      <c r="H39" s="9">
        <f>IFERROR(C39/$B$39*100,"")</f>
        <v/>
      </c>
      <c r="I39" s="9">
        <f>IFERROR(D39/$B$39*100,"")</f>
        <v/>
      </c>
      <c r="J39" s="9">
        <f>IFERROR(E39/$B$39*100,"")</f>
        <v/>
      </c>
    </row>
    <row r="40" ht="16" customHeight="1">
      <c r="A40" s="4" t="inlineStr">
        <is>
          <t>Periodeafgrænsningsposter (aktiver)</t>
        </is>
      </c>
      <c r="B40" s="5">
        <f>'balance_raw_43705660'!$B$19</f>
        <v/>
      </c>
      <c r="C40" s="5">
        <f>'balance_raw_43705660'!$C$19</f>
        <v/>
      </c>
      <c r="D40" s="5">
        <f>'balance_raw_43705660'!$D$19</f>
        <v/>
      </c>
      <c r="E40" s="5">
        <f>'balance_raw_43705660'!$E$19</f>
        <v/>
      </c>
      <c r="F40" t="inlineStr"/>
      <c r="G40" s="6">
        <f>IFERROR(B40/$B$40*100,"")</f>
        <v/>
      </c>
      <c r="H40" s="6">
        <f>IFERROR(C40/$B$40*100,"")</f>
        <v/>
      </c>
      <c r="I40" s="6">
        <f>IFERROR(D40/$B$40*100,"")</f>
        <v/>
      </c>
      <c r="J40" s="6">
        <f>IFERROR(E40/$B$40*100,"")</f>
        <v/>
      </c>
    </row>
    <row r="41" ht="16" customHeight="1">
      <c r="A41" s="7" t="inlineStr">
        <is>
          <t>Udskudt skatteaktiv</t>
        </is>
      </c>
      <c r="B41" s="8">
        <f>'balance_raw_43705660'!$B$20</f>
        <v/>
      </c>
      <c r="C41" s="8">
        <f>'balance_raw_43705660'!$C$20</f>
        <v/>
      </c>
      <c r="D41" s="8">
        <f>'balance_raw_43705660'!$D$20</f>
        <v/>
      </c>
      <c r="E41" s="8">
        <f>'balance_raw_43705660'!$E$20</f>
        <v/>
      </c>
      <c r="F41" t="inlineStr"/>
      <c r="G41" s="9">
        <f>IFERROR(B41/$B$41*100,"")</f>
        <v/>
      </c>
      <c r="H41" s="9">
        <f>IFERROR(C41/$B$41*100,"")</f>
        <v/>
      </c>
      <c r="I41" s="9">
        <f>IFERROR(D41/$B$41*100,"")</f>
        <v/>
      </c>
      <c r="J41" s="9">
        <f>IFERROR(E41/$B$41*100,"")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'balance_raw_43705660'!$B$21</f>
        <v/>
      </c>
      <c r="C42" s="5">
        <f>'balance_raw_43705660'!$C$21</f>
        <v/>
      </c>
      <c r="D42" s="5">
        <f>'balance_raw_43705660'!$D$21</f>
        <v/>
      </c>
      <c r="E42" s="5">
        <f>'balance_raw_43705660'!$E$21</f>
        <v/>
      </c>
      <c r="F42" t="inlineStr"/>
      <c r="G42" s="6">
        <f>IFERROR(B42/$B$42*100,"")</f>
        <v/>
      </c>
      <c r="H42" s="6">
        <f>IFERROR(C42/$B$42*100,"")</f>
        <v/>
      </c>
      <c r="I42" s="6">
        <f>IFERROR(D42/$B$42*100,"")</f>
        <v/>
      </c>
      <c r="J42" s="6">
        <f>IFERROR(E42/$B$42*100,"")</f>
        <v/>
      </c>
    </row>
    <row r="43" ht="16" customHeight="1">
      <c r="A43" s="7" t="inlineStr">
        <is>
          <t>Kortfristede skattetilgodehavender</t>
        </is>
      </c>
      <c r="B43" s="8">
        <f>'balance_raw_43705660'!$B$22</f>
        <v/>
      </c>
      <c r="C43" s="8">
        <f>'balance_raw_43705660'!$C$22</f>
        <v/>
      </c>
      <c r="D43" s="8">
        <f>'balance_raw_43705660'!$D$22</f>
        <v/>
      </c>
      <c r="E43" s="8">
        <f>'balance_raw_43705660'!$E$22</f>
        <v/>
      </c>
      <c r="F43" t="inlineStr"/>
      <c r="G43" s="9">
        <f>IFERROR(B43/$B$43*100,"")</f>
        <v/>
      </c>
      <c r="H43" s="9">
        <f>IFERROR(C43/$B$43*100,"")</f>
        <v/>
      </c>
      <c r="I43" s="9">
        <f>IFERROR(D43/$B$43*100,"")</f>
        <v/>
      </c>
      <c r="J43" s="9">
        <f>IFERROR(E43/$B$43*100,"")</f>
        <v/>
      </c>
    </row>
    <row r="44" ht="16" customHeight="1">
      <c r="A44" s="10" t="inlineStr">
        <is>
          <t>Tilgodehavender</t>
        </is>
      </c>
      <c r="B44" s="11">
        <f>'balance_raw_43705660'!$B$23</f>
        <v/>
      </c>
      <c r="C44" s="11">
        <f>'balance_raw_43705660'!$C$23</f>
        <v/>
      </c>
      <c r="D44" s="11">
        <f>'balance_raw_43705660'!$D$23</f>
        <v/>
      </c>
      <c r="E44" s="11">
        <f>'balance_raw_43705660'!$E$23</f>
        <v/>
      </c>
      <c r="F44" t="inlineStr"/>
      <c r="G44" s="12">
        <f>IFERROR(B44/$B$44*100,"")</f>
        <v/>
      </c>
      <c r="H44" s="12">
        <f>IFERROR(C44/$B$44*100,"")</f>
        <v/>
      </c>
      <c r="I44" s="12">
        <f>IFERROR(D44/$B$44*100,"")</f>
        <v/>
      </c>
      <c r="J44" s="12">
        <f>IFERROR(E44/$B$44*100,"")</f>
        <v/>
      </c>
    </row>
    <row r="45" ht="16" customHeight="1">
      <c r="A45" s="7" t="inlineStr">
        <is>
          <t>Værdipapirer</t>
        </is>
      </c>
      <c r="B45" s="8">
        <f>'balance_raw_43705660'!$B$24</f>
        <v/>
      </c>
      <c r="C45" s="8">
        <f>'balance_raw_43705660'!$C$24</f>
        <v/>
      </c>
      <c r="D45" s="8">
        <f>'balance_raw_43705660'!$D$24</f>
        <v/>
      </c>
      <c r="E45" s="8">
        <f>'balance_raw_43705660'!$E$24</f>
        <v/>
      </c>
      <c r="F45" t="inlineStr"/>
      <c r="G45" s="9">
        <f>IFERROR(B45/$B$45*100,"")</f>
        <v/>
      </c>
      <c r="H45" s="9">
        <f>IFERROR(C45/$B$45*100,"")</f>
        <v/>
      </c>
      <c r="I45" s="9">
        <f>IFERROR(D45/$B$45*100,"")</f>
        <v/>
      </c>
      <c r="J45" s="9">
        <f>IFERROR(E45/$B$45*100,"")</f>
        <v/>
      </c>
    </row>
    <row r="46" ht="16" customHeight="1">
      <c r="A46" s="4" t="inlineStr">
        <is>
          <t>Likvide beholdninger</t>
        </is>
      </c>
      <c r="B46" s="5">
        <f>'balance_raw_43705660'!$B$25</f>
        <v/>
      </c>
      <c r="C46" s="5">
        <f>'balance_raw_43705660'!$C$25</f>
        <v/>
      </c>
      <c r="D46" s="5">
        <f>'balance_raw_43705660'!$D$25</f>
        <v/>
      </c>
      <c r="E46" s="5">
        <f>'balance_raw_43705660'!$E$25</f>
        <v/>
      </c>
      <c r="F46" t="inlineStr"/>
      <c r="G46" s="6">
        <f>IFERROR(B46/$B$46*100,"")</f>
        <v/>
      </c>
      <c r="H46" s="6">
        <f>IFERROR(C46/$B$46*100,"")</f>
        <v/>
      </c>
      <c r="I46" s="6">
        <f>IFERROR(D46/$B$46*100,"")</f>
        <v/>
      </c>
      <c r="J46" s="6">
        <f>IFERROR(E46/$B$46*100,"")</f>
        <v/>
      </c>
    </row>
    <row r="47" ht="16" customHeight="1">
      <c r="A47" s="10" t="inlineStr">
        <is>
          <t>Omsætningsaktiver</t>
        </is>
      </c>
      <c r="B47" s="11">
        <f>'balance_raw_43705660'!$B$26</f>
        <v/>
      </c>
      <c r="C47" s="11">
        <f>'balance_raw_43705660'!$C$26</f>
        <v/>
      </c>
      <c r="D47" s="11">
        <f>'balance_raw_43705660'!$D$26</f>
        <v/>
      </c>
      <c r="E47" s="11">
        <f>'balance_raw_43705660'!$E$26</f>
        <v/>
      </c>
      <c r="F47" t="inlineStr"/>
      <c r="G47" s="12">
        <f>IFERROR(B47/$B$47*100,"")</f>
        <v/>
      </c>
      <c r="H47" s="12">
        <f>IFERROR(C47/$B$47*100,"")</f>
        <v/>
      </c>
      <c r="I47" s="12">
        <f>IFERROR(D47/$B$47*100,"")</f>
        <v/>
      </c>
      <c r="J47" s="12">
        <f>IFERROR(E47/$B$47*100,"")</f>
        <v/>
      </c>
    </row>
    <row r="48" ht="16" customHeight="1">
      <c r="A48" s="10" t="inlineStr">
        <is>
          <t>Aktiver</t>
        </is>
      </c>
      <c r="B48" s="11">
        <f>'balance_raw_43705660'!$B$27</f>
        <v/>
      </c>
      <c r="C48" s="11">
        <f>'balance_raw_43705660'!$C$27</f>
        <v/>
      </c>
      <c r="D48" s="11">
        <f>'balance_raw_43705660'!$D$27</f>
        <v/>
      </c>
      <c r="E48" s="11">
        <f>'balance_raw_43705660'!$E$27</f>
        <v/>
      </c>
      <c r="F48" t="inlineStr"/>
      <c r="G48" s="12">
        <f>IFERROR(B48/$B$48*100,"")</f>
        <v/>
      </c>
      <c r="H48" s="12">
        <f>IFERROR(C48/$B$48*100,"")</f>
        <v/>
      </c>
      <c r="I48" s="12">
        <f>IFERROR(D48/$B$48*100,"")</f>
        <v/>
      </c>
      <c r="J48" s="12">
        <f>IFERROR(E48/$B$48*100,"")</f>
        <v/>
      </c>
    </row>
    <row r="50" ht="22" customHeight="1">
      <c r="A50" s="3" t="inlineStr">
        <is>
          <t>PASSIVER t.kr.</t>
        </is>
      </c>
      <c r="B50" s="3" t="n">
        <v>2022</v>
      </c>
      <c r="C50" s="3" t="n">
        <v>2023</v>
      </c>
      <c r="D50" s="3" t="n">
        <v>2024</v>
      </c>
      <c r="E50" s="3" t="n">
        <v>2025</v>
      </c>
      <c r="F50" t="inlineStr"/>
      <c r="G50" s="3" t="n">
        <v>2022</v>
      </c>
      <c r="H50" s="3" t="n">
        <v>2023</v>
      </c>
      <c r="I50" s="3" t="n">
        <v>2024</v>
      </c>
      <c r="J50" s="3" t="n">
        <v>2025</v>
      </c>
    </row>
    <row r="51" ht="16" customHeight="1">
      <c r="A51" s="7" t="inlineStr">
        <is>
          <t>Selskabskapital</t>
        </is>
      </c>
      <c r="B51" s="8">
        <f>'balance_raw_43705660'!$B$28</f>
        <v/>
      </c>
      <c r="C51" s="8">
        <f>'balance_raw_43705660'!$C$28</f>
        <v/>
      </c>
      <c r="D51" s="8">
        <f>'balance_raw_43705660'!$D$28</f>
        <v/>
      </c>
      <c r="E51" s="8">
        <f>'balance_raw_43705660'!$E$28</f>
        <v/>
      </c>
      <c r="F51" t="inlineStr"/>
      <c r="G51" s="9">
        <f>IFERROR(B51/$B$51*100,"")</f>
        <v/>
      </c>
      <c r="H51" s="9">
        <f>IFERROR(C51/$B$51*100,"")</f>
        <v/>
      </c>
      <c r="I51" s="9">
        <f>IFERROR(D51/$B$51*100,"")</f>
        <v/>
      </c>
      <c r="J51" s="9">
        <f>IFERROR(E51/$B$51*100,"")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'balance_raw_43705660'!$B$29</f>
        <v/>
      </c>
      <c r="C52" s="5">
        <f>'balance_raw_43705660'!$C$29</f>
        <v/>
      </c>
      <c r="D52" s="5">
        <f>'balance_raw_43705660'!$D$29</f>
        <v/>
      </c>
      <c r="E52" s="5">
        <f>'balance_raw_43705660'!$E$29</f>
        <v/>
      </c>
      <c r="F52" t="inlineStr"/>
      <c r="G52" s="6">
        <f>IFERROR(B52/$B$52*100,"")</f>
        <v/>
      </c>
      <c r="H52" s="6">
        <f>IFERROR(C52/$B$52*100,"")</f>
        <v/>
      </c>
      <c r="I52" s="6">
        <f>IFERROR(D52/$B$52*100,"")</f>
        <v/>
      </c>
      <c r="J52" s="6">
        <f>IFERROR(E52/$B$52*100,"")</f>
        <v/>
      </c>
    </row>
    <row r="53" ht="16" customHeight="1">
      <c r="A53" s="7" t="inlineStr">
        <is>
          <t>Reserve for udviklingsomkostninger</t>
        </is>
      </c>
      <c r="B53" s="8">
        <f>'balance_raw_43705660'!$B$30</f>
        <v/>
      </c>
      <c r="C53" s="8">
        <f>'balance_raw_43705660'!$C$30</f>
        <v/>
      </c>
      <c r="D53" s="8">
        <f>'balance_raw_43705660'!$D$30</f>
        <v/>
      </c>
      <c r="E53" s="8">
        <f>'balance_raw_43705660'!$E$30</f>
        <v/>
      </c>
      <c r="F53" t="inlineStr"/>
      <c r="G53" s="9">
        <f>IFERROR(B53/$B$53*100,"")</f>
        <v/>
      </c>
      <c r="H53" s="9">
        <f>IFERROR(C53/$B$53*100,"")</f>
        <v/>
      </c>
      <c r="I53" s="9">
        <f>IFERROR(D53/$B$53*100,"")</f>
        <v/>
      </c>
      <c r="J53" s="9">
        <f>IFERROR(E53/$B$53*100,"")</f>
        <v/>
      </c>
    </row>
    <row r="54" ht="16" customHeight="1">
      <c r="A54" s="4" t="inlineStr">
        <is>
          <t>Reserve for sikringstransaktioner</t>
        </is>
      </c>
      <c r="B54" s="5">
        <f>'balance_raw_43705660'!$B$31</f>
        <v/>
      </c>
      <c r="C54" s="5">
        <f>'balance_raw_43705660'!$C$31</f>
        <v/>
      </c>
      <c r="D54" s="5">
        <f>'balance_raw_43705660'!$D$31</f>
        <v/>
      </c>
      <c r="E54" s="5">
        <f>'balance_raw_43705660'!$E$31</f>
        <v/>
      </c>
      <c r="F54" t="inlineStr"/>
      <c r="G54" s="6">
        <f>IFERROR(B54/$B$54*100,"")</f>
        <v/>
      </c>
      <c r="H54" s="6">
        <f>IFERROR(C54/$B$54*100,"")</f>
        <v/>
      </c>
      <c r="I54" s="6">
        <f>IFERROR(D54/$B$54*100,"")</f>
        <v/>
      </c>
      <c r="J54" s="6">
        <f>IFERROR(E54/$B$54*100,"")</f>
        <v/>
      </c>
    </row>
    <row r="55" ht="16" customHeight="1">
      <c r="A55" s="7" t="inlineStr">
        <is>
          <t>Andre reserver</t>
        </is>
      </c>
      <c r="B55" s="8">
        <f>'balance_raw_43705660'!$B$32</f>
        <v/>
      </c>
      <c r="C55" s="8">
        <f>'balance_raw_43705660'!$C$32</f>
        <v/>
      </c>
      <c r="D55" s="8">
        <f>'balance_raw_43705660'!$D$32</f>
        <v/>
      </c>
      <c r="E55" s="8">
        <f>'balance_raw_43705660'!$E$32</f>
        <v/>
      </c>
      <c r="F55" t="inlineStr"/>
      <c r="G55" s="9">
        <f>IFERROR(B55/$B$55*100,"")</f>
        <v/>
      </c>
      <c r="H55" s="9">
        <f>IFERROR(C55/$B$55*100,"")</f>
        <v/>
      </c>
      <c r="I55" s="9">
        <f>IFERROR(D55/$B$55*100,"")</f>
        <v/>
      </c>
      <c r="J55" s="9">
        <f>IFERROR(E55/$B$55*100,"")</f>
        <v/>
      </c>
    </row>
    <row r="56" ht="16" customHeight="1">
      <c r="A56" s="4" t="inlineStr">
        <is>
          <t>Overført resultat</t>
        </is>
      </c>
      <c r="B56" s="5">
        <f>'balance_raw_43705660'!$B$33</f>
        <v/>
      </c>
      <c r="C56" s="5">
        <f>'balance_raw_43705660'!$C$33</f>
        <v/>
      </c>
      <c r="D56" s="5">
        <f>'balance_raw_43705660'!$D$33</f>
        <v/>
      </c>
      <c r="E56" s="5">
        <f>'balance_raw_43705660'!$E$33</f>
        <v/>
      </c>
      <c r="F56" t="inlineStr"/>
      <c r="G56" s="6">
        <f>IFERROR(B56/$B$56*100,"")</f>
        <v/>
      </c>
      <c r="H56" s="6">
        <f>IFERROR(C56/$B$56*100,"")</f>
        <v/>
      </c>
      <c r="I56" s="6">
        <f>IFERROR(D56/$B$56*100,"")</f>
        <v/>
      </c>
      <c r="J56" s="6">
        <f>IFERROR(E56/$B$56*100,"")</f>
        <v/>
      </c>
    </row>
    <row r="57" ht="16" customHeight="1">
      <c r="A57" s="10" t="inlineStr">
        <is>
          <t>Egenkapital i alt</t>
        </is>
      </c>
      <c r="B57" s="11">
        <f>'balance_raw_43705660'!$B$34</f>
        <v/>
      </c>
      <c r="C57" s="11">
        <f>'balance_raw_43705660'!$C$34</f>
        <v/>
      </c>
      <c r="D57" s="11">
        <f>'balance_raw_43705660'!$D$34</f>
        <v/>
      </c>
      <c r="E57" s="11">
        <f>'balance_raw_43705660'!$E$34</f>
        <v/>
      </c>
      <c r="F57" t="inlineStr"/>
      <c r="G57" s="12">
        <f>IFERROR(B57/$B$57*100,"")</f>
        <v/>
      </c>
      <c r="H57" s="12">
        <f>IFERROR(C57/$B$57*100,"")</f>
        <v/>
      </c>
      <c r="I57" s="12">
        <f>IFERROR(D57/$B$57*100,"")</f>
        <v/>
      </c>
      <c r="J57" s="12">
        <f>IFERROR(E57/$B$57*100,"")</f>
        <v/>
      </c>
    </row>
    <row r="58" ht="16" customHeight="1">
      <c r="A58" s="4" t="inlineStr">
        <is>
          <t>Hensættelse til udskudt skat</t>
        </is>
      </c>
      <c r="B58" s="5">
        <f>'balance_raw_43705660'!$B$35</f>
        <v/>
      </c>
      <c r="C58" s="5">
        <f>'balance_raw_43705660'!$C$35</f>
        <v/>
      </c>
      <c r="D58" s="5">
        <f>'balance_raw_43705660'!$D$35</f>
        <v/>
      </c>
      <c r="E58" s="5">
        <f>'balance_raw_43705660'!$E$35</f>
        <v/>
      </c>
      <c r="F58" t="inlineStr"/>
      <c r="G58" s="6">
        <f>IFERROR(B58/$B$58*100,"")</f>
        <v/>
      </c>
      <c r="H58" s="6">
        <f>IFERROR(C58/$B$58*100,"")</f>
        <v/>
      </c>
      <c r="I58" s="6">
        <f>IFERROR(D58/$B$58*100,"")</f>
        <v/>
      </c>
      <c r="J58" s="6">
        <f>IFERROR(E58/$B$58*100,"")</f>
        <v/>
      </c>
    </row>
    <row r="59" ht="16" customHeight="1">
      <c r="A59" s="10" t="inlineStr">
        <is>
          <t>Hensatte forpligtelser</t>
        </is>
      </c>
      <c r="B59" s="11">
        <f>'balance_raw_43705660'!$B$36</f>
        <v/>
      </c>
      <c r="C59" s="11">
        <f>'balance_raw_43705660'!$C$36</f>
        <v/>
      </c>
      <c r="D59" s="11">
        <f>'balance_raw_43705660'!$D$36</f>
        <v/>
      </c>
      <c r="E59" s="11">
        <f>'balance_raw_43705660'!$E$36</f>
        <v/>
      </c>
      <c r="F59" t="inlineStr"/>
      <c r="G59" s="12">
        <f>IFERROR(B59/$B$59*100,"")</f>
        <v/>
      </c>
      <c r="H59" s="12">
        <f>IFERROR(C59/$B$59*100,"")</f>
        <v/>
      </c>
      <c r="I59" s="12">
        <f>IFERROR(D59/$B$59*100,"")</f>
        <v/>
      </c>
      <c r="J59" s="12">
        <f>IFERROR(E59/$B$59*100,"")</f>
        <v/>
      </c>
    </row>
    <row r="60" ht="16" customHeight="1">
      <c r="A60" s="4" t="inlineStr">
        <is>
          <t>Ansvarlig lånekapital (langfristet)</t>
        </is>
      </c>
      <c r="B60" s="5">
        <f>'balance_raw_43705660'!$B$37</f>
        <v/>
      </c>
      <c r="C60" s="5">
        <f>'balance_raw_43705660'!$C$37</f>
        <v/>
      </c>
      <c r="D60" s="5">
        <f>'balance_raw_43705660'!$D$37</f>
        <v/>
      </c>
      <c r="E60" s="5">
        <f>'balance_raw_43705660'!$E$37</f>
        <v/>
      </c>
      <c r="F60" t="inlineStr"/>
      <c r="G60" s="6">
        <f>IFERROR(B60/$B$60*100,"")</f>
        <v/>
      </c>
      <c r="H60" s="6">
        <f>IFERROR(C60/$B$60*100,"")</f>
        <v/>
      </c>
      <c r="I60" s="6">
        <f>IFERROR(D60/$B$60*100,"")</f>
        <v/>
      </c>
      <c r="J60" s="6">
        <f>IFERROR(E60/$B$60*100,"")</f>
        <v/>
      </c>
    </row>
    <row r="61" ht="16" customHeight="1">
      <c r="A61" s="7" t="inlineStr">
        <is>
          <t>Langfristede lån</t>
        </is>
      </c>
      <c r="B61" s="8">
        <f>'balance_raw_43705660'!$B$38</f>
        <v/>
      </c>
      <c r="C61" s="8">
        <f>'balance_raw_43705660'!$C$38</f>
        <v/>
      </c>
      <c r="D61" s="8">
        <f>'balance_raw_43705660'!$D$38</f>
        <v/>
      </c>
      <c r="E61" s="8">
        <f>'balance_raw_43705660'!$E$38</f>
        <v/>
      </c>
      <c r="F61" t="inlineStr"/>
      <c r="G61" s="9">
        <f>IFERROR(B61/$B$61*100,"")</f>
        <v/>
      </c>
      <c r="H61" s="9">
        <f>IFERROR(C61/$B$61*100,"")</f>
        <v/>
      </c>
      <c r="I61" s="9">
        <f>IFERROR(D61/$B$61*100,"")</f>
        <v/>
      </c>
      <c r="J61" s="9">
        <f>IFERROR(E61/$B$61*100,"")</f>
        <v/>
      </c>
    </row>
    <row r="62" ht="16" customHeight="1">
      <c r="A62" s="4" t="inlineStr">
        <is>
          <t>Leasingforpligtelser (langfristet)</t>
        </is>
      </c>
      <c r="B62" s="5">
        <f>'balance_raw_43705660'!$B$39</f>
        <v/>
      </c>
      <c r="C62" s="5">
        <f>'balance_raw_43705660'!$C$39</f>
        <v/>
      </c>
      <c r="D62" s="5">
        <f>'balance_raw_43705660'!$D$39</f>
        <v/>
      </c>
      <c r="E62" s="5">
        <f>'balance_raw_43705660'!$E$39</f>
        <v/>
      </c>
      <c r="F62" t="inlineStr"/>
      <c r="G62" s="6">
        <f>IFERROR(B62/$B$62*100,"")</f>
        <v/>
      </c>
      <c r="H62" s="6">
        <f>IFERROR(C62/$B$62*100,"")</f>
        <v/>
      </c>
      <c r="I62" s="6">
        <f>IFERROR(D62/$B$62*100,"")</f>
        <v/>
      </c>
      <c r="J62" s="6">
        <f>IFERROR(E62/$B$62*100,"")</f>
        <v/>
      </c>
    </row>
    <row r="63" ht="16" customHeight="1">
      <c r="A63" s="7" t="inlineStr">
        <is>
          <t>Anden gæld (langfristet)</t>
        </is>
      </c>
      <c r="B63" s="8">
        <f>'balance_raw_43705660'!$B$40</f>
        <v/>
      </c>
      <c r="C63" s="8">
        <f>'balance_raw_43705660'!$C$40</f>
        <v/>
      </c>
      <c r="D63" s="8">
        <f>'balance_raw_43705660'!$D$40</f>
        <v/>
      </c>
      <c r="E63" s="8">
        <f>'balance_raw_43705660'!$E$40</f>
        <v/>
      </c>
      <c r="F63" t="inlineStr"/>
      <c r="G63" s="9">
        <f>IFERROR(B63/$B$63*100,"")</f>
        <v/>
      </c>
      <c r="H63" s="9">
        <f>IFERROR(C63/$B$63*100,"")</f>
        <v/>
      </c>
      <c r="I63" s="9">
        <f>IFERROR(D63/$B$63*100,"")</f>
        <v/>
      </c>
      <c r="J63" s="9">
        <f>IFERROR(E63/$B$63*100,"")</f>
        <v/>
      </c>
    </row>
    <row r="64" ht="16" customHeight="1">
      <c r="A64" s="10" t="inlineStr">
        <is>
          <t>Langfristede gældsforpligtelser</t>
        </is>
      </c>
      <c r="B64" s="11">
        <f>'balance_raw_43705660'!$B$41</f>
        <v/>
      </c>
      <c r="C64" s="11">
        <f>'balance_raw_43705660'!$C$41</f>
        <v/>
      </c>
      <c r="D64" s="11">
        <f>'balance_raw_43705660'!$D$41</f>
        <v/>
      </c>
      <c r="E64" s="11">
        <f>'balance_raw_43705660'!$E$41</f>
        <v/>
      </c>
      <c r="F64" t="inlineStr"/>
      <c r="G64" s="12">
        <f>IFERROR(B64/$B$64*100,"")</f>
        <v/>
      </c>
      <c r="H64" s="12">
        <f>IFERROR(C64/$B$64*100,"")</f>
        <v/>
      </c>
      <c r="I64" s="12">
        <f>IFERROR(D64/$B$64*100,"")</f>
        <v/>
      </c>
      <c r="J64" s="12">
        <f>IFERROR(E64/$B$64*100,"")</f>
        <v/>
      </c>
    </row>
    <row r="65" ht="16" customHeight="1">
      <c r="A65" s="7" t="inlineStr">
        <is>
          <t>Ansvarlig lånekapital (kortfristet)</t>
        </is>
      </c>
      <c r="B65" s="8">
        <f>'balance_raw_43705660'!$B$42</f>
        <v/>
      </c>
      <c r="C65" s="8">
        <f>'balance_raw_43705660'!$C$42</f>
        <v/>
      </c>
      <c r="D65" s="8">
        <f>'balance_raw_43705660'!$D$42</f>
        <v/>
      </c>
      <c r="E65" s="8">
        <f>'balance_raw_43705660'!$E$42</f>
        <v/>
      </c>
      <c r="F65" t="inlineStr"/>
      <c r="G65" s="9">
        <f>IFERROR(B65/$B$65*100,"")</f>
        <v/>
      </c>
      <c r="H65" s="9">
        <f>IFERROR(C65/$B$65*100,"")</f>
        <v/>
      </c>
      <c r="I65" s="9">
        <f>IFERROR(D65/$B$65*100,"")</f>
        <v/>
      </c>
      <c r="J65" s="9">
        <f>IFERROR(E65/$B$65*100,"")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'balance_raw_43705660'!$B$43</f>
        <v/>
      </c>
      <c r="C66" s="5">
        <f>'balance_raw_43705660'!$C$43</f>
        <v/>
      </c>
      <c r="D66" s="5">
        <f>'balance_raw_43705660'!$D$43</f>
        <v/>
      </c>
      <c r="E66" s="5">
        <f>'balance_raw_43705660'!$E$43</f>
        <v/>
      </c>
      <c r="F66" t="inlineStr"/>
      <c r="G66" s="6">
        <f>IFERROR(B66/$B$66*100,"")</f>
        <v/>
      </c>
      <c r="H66" s="6">
        <f>IFERROR(C66/$B$66*100,"")</f>
        <v/>
      </c>
      <c r="I66" s="6">
        <f>IFERROR(D66/$B$66*100,"")</f>
        <v/>
      </c>
      <c r="J66" s="6">
        <f>IFERROR(E66/$B$66*100,"")</f>
        <v/>
      </c>
    </row>
    <row r="67" ht="16" customHeight="1">
      <c r="A67" s="7" t="inlineStr">
        <is>
          <t>Kreditinstitutter</t>
        </is>
      </c>
      <c r="B67" s="8">
        <f>'balance_raw_43705660'!$B$44</f>
        <v/>
      </c>
      <c r="C67" s="8">
        <f>'balance_raw_43705660'!$C$44</f>
        <v/>
      </c>
      <c r="D67" s="8">
        <f>'balance_raw_43705660'!$D$44</f>
        <v/>
      </c>
      <c r="E67" s="8">
        <f>'balance_raw_43705660'!$E$44</f>
        <v/>
      </c>
      <c r="F67" t="inlineStr"/>
      <c r="G67" s="9">
        <f>IFERROR(B67/$B$67*100,"")</f>
        <v/>
      </c>
      <c r="H67" s="9">
        <f>IFERROR(C67/$B$67*100,"")</f>
        <v/>
      </c>
      <c r="I67" s="9">
        <f>IFERROR(D67/$B$67*100,"")</f>
        <v/>
      </c>
      <c r="J67" s="9">
        <f>IFERROR(E67/$B$67*100,"")</f>
        <v/>
      </c>
    </row>
    <row r="68" ht="16" customHeight="1">
      <c r="A68" s="4" t="inlineStr">
        <is>
          <t>Leasingforpligtelser (kortfristet)</t>
        </is>
      </c>
      <c r="B68" s="5">
        <f>'balance_raw_43705660'!$B$45</f>
        <v/>
      </c>
      <c r="C68" s="5">
        <f>'balance_raw_43705660'!$C$45</f>
        <v/>
      </c>
      <c r="D68" s="5">
        <f>'balance_raw_43705660'!$D$45</f>
        <v/>
      </c>
      <c r="E68" s="5">
        <f>'balance_raw_43705660'!$E$45</f>
        <v/>
      </c>
      <c r="F68" t="inlineStr"/>
      <c r="G68" s="6">
        <f>IFERROR(B68/$B$68*100,"")</f>
        <v/>
      </c>
      <c r="H68" s="6">
        <f>IFERROR(C68/$B$68*100,"")</f>
        <v/>
      </c>
      <c r="I68" s="6">
        <f>IFERROR(D68/$B$68*100,"")</f>
        <v/>
      </c>
      <c r="J68" s="6">
        <f>IFERROR(E68/$B$68*100,"")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'balance_raw_43705660'!$B$46</f>
        <v/>
      </c>
      <c r="C69" s="8">
        <f>'balance_raw_43705660'!$C$46</f>
        <v/>
      </c>
      <c r="D69" s="8">
        <f>'balance_raw_43705660'!$D$46</f>
        <v/>
      </c>
      <c r="E69" s="8">
        <f>'balance_raw_43705660'!$E$46</f>
        <v/>
      </c>
      <c r="F69" t="inlineStr"/>
      <c r="G69" s="9">
        <f>IFERROR(B69/$B$69*100,"")</f>
        <v/>
      </c>
      <c r="H69" s="9">
        <f>IFERROR(C69/$B$69*100,"")</f>
        <v/>
      </c>
      <c r="I69" s="9">
        <f>IFERROR(D69/$B$69*100,"")</f>
        <v/>
      </c>
      <c r="J69" s="9">
        <f>IFERROR(E69/$B$69*100,"")</f>
        <v/>
      </c>
    </row>
    <row r="70" ht="16" customHeight="1">
      <c r="A70" s="4" t="inlineStr">
        <is>
          <t>Gæld til tilknyttede virksomheder</t>
        </is>
      </c>
      <c r="B70" s="5">
        <f>'balance_raw_43705660'!$B$47</f>
        <v/>
      </c>
      <c r="C70" s="5">
        <f>'balance_raw_43705660'!$C$47</f>
        <v/>
      </c>
      <c r="D70" s="5">
        <f>'balance_raw_43705660'!$D$47</f>
        <v/>
      </c>
      <c r="E70" s="5">
        <f>'balance_raw_43705660'!$E$47</f>
        <v/>
      </c>
      <c r="F70" t="inlineStr"/>
      <c r="G70" s="6">
        <f>IFERROR(B70/$B$70*100,"")</f>
        <v/>
      </c>
      <c r="H70" s="6">
        <f>IFERROR(C70/$B$70*100,"")</f>
        <v/>
      </c>
      <c r="I70" s="6">
        <f>IFERROR(D70/$B$70*100,"")</f>
        <v/>
      </c>
      <c r="J70" s="6">
        <f>IFERROR(E70/$B$70*100,"")</f>
        <v/>
      </c>
    </row>
    <row r="71" ht="16" customHeight="1">
      <c r="A71" s="7" t="inlineStr">
        <is>
          <t>Gæld til selskabsdeltagere og ledelse</t>
        </is>
      </c>
      <c r="B71" s="8">
        <f>'balance_raw_43705660'!$B$48</f>
        <v/>
      </c>
      <c r="C71" s="8">
        <f>'balance_raw_43705660'!$C$48</f>
        <v/>
      </c>
      <c r="D71" s="8">
        <f>'balance_raw_43705660'!$D$48</f>
        <v/>
      </c>
      <c r="E71" s="8">
        <f>'balance_raw_43705660'!$E$48</f>
        <v/>
      </c>
      <c r="F71" t="inlineStr"/>
      <c r="G71" s="9">
        <f>IFERROR(B71/$B$71*100,"")</f>
        <v/>
      </c>
      <c r="H71" s="9">
        <f>IFERROR(C71/$B$71*100,"")</f>
        <v/>
      </c>
      <c r="I71" s="9">
        <f>IFERROR(D71/$B$71*100,"")</f>
        <v/>
      </c>
      <c r="J71" s="9">
        <f>IFERROR(E71/$B$71*100,"")</f>
        <v/>
      </c>
    </row>
    <row r="72" ht="16" customHeight="1">
      <c r="A72" s="4" t="inlineStr">
        <is>
          <t>Selskabsskat</t>
        </is>
      </c>
      <c r="B72" s="5">
        <f>'balance_raw_43705660'!$B$49</f>
        <v/>
      </c>
      <c r="C72" s="5">
        <f>'balance_raw_43705660'!$C$49</f>
        <v/>
      </c>
      <c r="D72" s="5">
        <f>'balance_raw_43705660'!$D$49</f>
        <v/>
      </c>
      <c r="E72" s="5">
        <f>'balance_raw_43705660'!$E$49</f>
        <v/>
      </c>
      <c r="F72" t="inlineStr"/>
      <c r="G72" s="6">
        <f>IFERROR(B72/$B$72*100,"")</f>
        <v/>
      </c>
      <c r="H72" s="6">
        <f>IFERROR(C72/$B$72*100,"")</f>
        <v/>
      </c>
      <c r="I72" s="6">
        <f>IFERROR(D72/$B$72*100,"")</f>
        <v/>
      </c>
      <c r="J72" s="6">
        <f>IFERROR(E72/$B$72*100,"")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'balance_raw_43705660'!$B$50</f>
        <v/>
      </c>
      <c r="C73" s="8">
        <f>'balance_raw_43705660'!$C$50</f>
        <v/>
      </c>
      <c r="D73" s="8">
        <f>'balance_raw_43705660'!$D$50</f>
        <v/>
      </c>
      <c r="E73" s="8">
        <f>'balance_raw_43705660'!$E$50</f>
        <v/>
      </c>
      <c r="F73" t="inlineStr"/>
      <c r="G73" s="9">
        <f>IFERROR(B73/$B$73*100,"")</f>
        <v/>
      </c>
      <c r="H73" s="9">
        <f>IFERROR(C73/$B$73*100,"")</f>
        <v/>
      </c>
      <c r="I73" s="9">
        <f>IFERROR(D73/$B$73*100,"")</f>
        <v/>
      </c>
      <c r="J73" s="9">
        <f>IFERROR(E73/$B$73*100,"")</f>
        <v/>
      </c>
    </row>
    <row r="74" ht="16" customHeight="1">
      <c r="A74" s="4" t="inlineStr">
        <is>
          <t>Anden gæld (kortfristet)</t>
        </is>
      </c>
      <c r="B74" s="5">
        <f>'balance_raw_43705660'!$B$51</f>
        <v/>
      </c>
      <c r="C74" s="5">
        <f>'balance_raw_43705660'!$C$51</f>
        <v/>
      </c>
      <c r="D74" s="5">
        <f>'balance_raw_43705660'!$D$51</f>
        <v/>
      </c>
      <c r="E74" s="5">
        <f>'balance_raw_43705660'!$E$51</f>
        <v/>
      </c>
      <c r="F74" t="inlineStr"/>
      <c r="G74" s="6">
        <f>IFERROR(B74/$B$74*100,"")</f>
        <v/>
      </c>
      <c r="H74" s="6">
        <f>IFERROR(C74/$B$74*100,"")</f>
        <v/>
      </c>
      <c r="I74" s="6">
        <f>IFERROR(D74/$B$74*100,"")</f>
        <v/>
      </c>
      <c r="J74" s="6">
        <f>IFERROR(E74/$B$74*100,"")</f>
        <v/>
      </c>
    </row>
    <row r="75" ht="16" customHeight="1">
      <c r="A75" s="7" t="inlineStr">
        <is>
          <t>Periodeafgrænsningsposter (passiver)</t>
        </is>
      </c>
      <c r="B75" s="8">
        <f>'balance_raw_43705660'!$B$52</f>
        <v/>
      </c>
      <c r="C75" s="8">
        <f>'balance_raw_43705660'!$C$52</f>
        <v/>
      </c>
      <c r="D75" s="8">
        <f>'balance_raw_43705660'!$D$52</f>
        <v/>
      </c>
      <c r="E75" s="8">
        <f>'balance_raw_43705660'!$E$52</f>
        <v/>
      </c>
      <c r="F75" t="inlineStr"/>
      <c r="G75" s="9">
        <f>IFERROR(B75/$B$75*100,"")</f>
        <v/>
      </c>
      <c r="H75" s="9">
        <f>IFERROR(C75/$B$75*100,"")</f>
        <v/>
      </c>
      <c r="I75" s="9">
        <f>IFERROR(D75/$B$75*100,"")</f>
        <v/>
      </c>
      <c r="J75" s="9">
        <f>IFERROR(E75/$B$75*100,"")</f>
        <v/>
      </c>
    </row>
    <row r="76" ht="16" customHeight="1">
      <c r="A76" s="10" t="inlineStr">
        <is>
          <t>Kortfristede gældsforpligtelser</t>
        </is>
      </c>
      <c r="B76" s="11">
        <f>'balance_raw_43705660'!$B$53</f>
        <v/>
      </c>
      <c r="C76" s="11">
        <f>'balance_raw_43705660'!$C$53</f>
        <v/>
      </c>
      <c r="D76" s="11">
        <f>'balance_raw_43705660'!$D$53</f>
        <v/>
      </c>
      <c r="E76" s="11">
        <f>'balance_raw_43705660'!$E$53</f>
        <v/>
      </c>
      <c r="F76" t="inlineStr"/>
      <c r="G76" s="12">
        <f>IFERROR(B76/$B$76*100,"")</f>
        <v/>
      </c>
      <c r="H76" s="12">
        <f>IFERROR(C76/$B$76*100,"")</f>
        <v/>
      </c>
      <c r="I76" s="12">
        <f>IFERROR(D76/$B$76*100,"")</f>
        <v/>
      </c>
      <c r="J76" s="12">
        <f>IFERROR(E76/$B$76*100,"")</f>
        <v/>
      </c>
    </row>
    <row r="77" ht="16" customHeight="1">
      <c r="A77" s="10" t="inlineStr">
        <is>
          <t>Gældsforpligtelser</t>
        </is>
      </c>
      <c r="B77" s="11">
        <f>'balance_raw_43705660'!$B$54</f>
        <v/>
      </c>
      <c r="C77" s="11">
        <f>'balance_raw_43705660'!$C$54</f>
        <v/>
      </c>
      <c r="D77" s="11">
        <f>'balance_raw_43705660'!$D$54</f>
        <v/>
      </c>
      <c r="E77" s="11">
        <f>'balance_raw_43705660'!$E$54</f>
        <v/>
      </c>
      <c r="F77" t="inlineStr"/>
      <c r="G77" s="12">
        <f>IFERROR(B77/$B$77*100,"")</f>
        <v/>
      </c>
      <c r="H77" s="12">
        <f>IFERROR(C77/$B$77*100,"")</f>
        <v/>
      </c>
      <c r="I77" s="12">
        <f>IFERROR(D77/$B$77*100,"")</f>
        <v/>
      </c>
      <c r="J77" s="12">
        <f>IFERROR(E77/$B$77*100,"")</f>
        <v/>
      </c>
    </row>
    <row r="78" ht="16" customHeight="1">
      <c r="A78" s="10" t="inlineStr">
        <is>
          <t>Passiver</t>
        </is>
      </c>
      <c r="B78" s="11">
        <f>'balance_raw_43705660'!$B$55</f>
        <v/>
      </c>
      <c r="C78" s="11">
        <f>'balance_raw_43705660'!$C$55</f>
        <v/>
      </c>
      <c r="D78" s="11">
        <f>'balance_raw_43705660'!$D$55</f>
        <v/>
      </c>
      <c r="E78" s="11">
        <f>'balance_raw_43705660'!$E$55</f>
        <v/>
      </c>
      <c r="F78" t="inlineStr"/>
      <c r="G78" s="12">
        <f>IFERROR(B78/$B$78*100,"")</f>
        <v/>
      </c>
      <c r="H78" s="12">
        <f>IFERROR(C78/$B$78*100,"")</f>
        <v/>
      </c>
      <c r="I78" s="12">
        <f>IFERROR(D78/$B$78*100,"")</f>
        <v/>
      </c>
      <c r="J78" s="12">
        <f>IFERROR(E78/$B$78*100,"")</f>
        <v/>
      </c>
    </row>
    <row r="80" ht="22" customHeight="1">
      <c r="A80" s="3" t="inlineStr">
        <is>
          <t>NØGLEOPLYSNINGER</t>
        </is>
      </c>
      <c r="B80" s="3" t="n">
        <v>2022</v>
      </c>
      <c r="C80" s="3" t="n">
        <v>2023</v>
      </c>
      <c r="D80" s="3" t="n">
        <v>2024</v>
      </c>
      <c r="E80" s="3" t="n">
        <v>2025</v>
      </c>
    </row>
    <row r="81" ht="16" customHeight="1">
      <c r="A81" s="7" t="inlineStr">
        <is>
          <t>Gns. antal medarbejdere</t>
        </is>
      </c>
      <c r="B81" s="8">
        <f>'res_raw_43705660'!$B$19</f>
        <v/>
      </c>
      <c r="C81" s="8">
        <f>'res_raw_43705660'!$C$19</f>
        <v/>
      </c>
      <c r="D81" s="8">
        <f>'res_raw_43705660'!$D$19</f>
        <v/>
      </c>
      <c r="E81" s="8">
        <f>'res_raw_43705660'!$E$19</f>
        <v/>
      </c>
      <c r="F81" t="inlineStr"/>
      <c r="G81" s="9">
        <f>IFERROR(B81/$B$81*100,"")</f>
        <v/>
      </c>
      <c r="H81" s="9">
        <f>IFERROR(C81/$B$81*100,"")</f>
        <v/>
      </c>
      <c r="I81" s="9">
        <f>IFERROR(D81/$B$81*100,"")</f>
        <v/>
      </c>
      <c r="J81" s="9">
        <f>IFERROR(E81/$B$81*100,"")</f>
        <v/>
      </c>
    </row>
    <row r="82" ht="16" customHeight="1">
      <c r="A82" s="4" t="inlineStr">
        <is>
          <t>Investering i materielle anlægsaktiver</t>
        </is>
      </c>
      <c r="B82" s="5">
        <f>'res_raw_43705660'!$B$20</f>
        <v/>
      </c>
      <c r="C82" s="5">
        <f>'res_raw_43705660'!$C$20</f>
        <v/>
      </c>
      <c r="D82" s="5">
        <f>'res_raw_43705660'!$D$20</f>
        <v/>
      </c>
      <c r="E82" s="5">
        <f>'res_raw_43705660'!$E$20</f>
        <v/>
      </c>
      <c r="F82" t="inlineStr"/>
      <c r="G82" s="6">
        <f>IFERROR(B82/$B$82*100,"")</f>
        <v/>
      </c>
      <c r="H82" s="6">
        <f>IFERROR(C82/$B$82*100,"")</f>
        <v/>
      </c>
      <c r="I82" s="6">
        <f>IFERROR(D82/$B$82*100,"")</f>
        <v/>
      </c>
      <c r="J82" s="6">
        <f>IFERROR(E82/$B$82*100,"")</f>
        <v/>
      </c>
    </row>
    <row r="84" ht="22" customHeight="1">
      <c r="A84" s="3" t="inlineStr">
        <is>
          <t>NØGLETAL</t>
        </is>
      </c>
      <c r="B84" s="3" t="n">
        <v>2022</v>
      </c>
      <c r="C84" s="3" t="n">
        <v>2023</v>
      </c>
      <c r="D84" s="3" t="n">
        <v>2024</v>
      </c>
      <c r="E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</row>
    <row r="86" ht="16" customHeight="1">
      <c r="A86" s="4" t="inlineStr">
        <is>
          <t>Overskudsgrad (af bruttofortjeneste), %</t>
        </is>
      </c>
      <c r="B86" s="14">
        <f>IFERROR(($B$13+$B$15+$B$14)/$B$8*100,"")</f>
        <v/>
      </c>
      <c r="C86" s="14">
        <f>IFERROR(($C$13+$C$15+$C$14)/$C$8*100,"")</f>
        <v/>
      </c>
      <c r="D86" s="14">
        <f>IFERROR(($D$13+$D$15+$D$14)/$D$8*100,"")</f>
        <v/>
      </c>
      <c r="E86" s="14">
        <f>IFERROR(($E$13+$E$15+$E$14)/$E$8*100,"")</f>
        <v/>
      </c>
    </row>
    <row r="87" ht="16" customHeight="1">
      <c r="A87" s="7" t="inlineStr">
        <is>
          <t>Aktivernes omsætningshastighed (af bruttofortjeneste), gange</t>
        </is>
      </c>
      <c r="B87" s="13">
        <f>IFERROR($B$8/$B$48,"")</f>
        <v/>
      </c>
      <c r="C87" s="13">
        <f>IFERROR($C$8/$C$48,"")</f>
        <v/>
      </c>
      <c r="D87" s="13">
        <f>IFERROR($D$8/$D$48,"")</f>
        <v/>
      </c>
      <c r="E87" s="13">
        <f>IFERROR($E$8/$E$48,"")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THURØ BRYGHUS APS (CVR 43705660)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</row>
    <row r="4">
      <c r="A4" s="15" t="inlineStr">
        <is>
          <t>Vareforbrug</t>
        </is>
      </c>
      <c r="B4" s="16" t="n"/>
      <c r="C4" s="16" t="n"/>
      <c r="D4" s="16" t="n"/>
      <c r="E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</row>
    <row r="6">
      <c r="A6" s="17" t="inlineStr">
        <is>
          <t>Bruttoresultat</t>
        </is>
      </c>
      <c r="B6" s="16" t="n"/>
      <c r="C6" s="16" t="n">
        <v>316</v>
      </c>
      <c r="D6" s="16" t="n">
        <v>781</v>
      </c>
      <c r="E6" s="16" t="n">
        <v>858</v>
      </c>
    </row>
    <row r="7">
      <c r="A7" s="15" t="inlineStr">
        <is>
          <t>Personaleomkostninger</t>
        </is>
      </c>
      <c r="B7" s="16" t="n"/>
      <c r="C7" s="16" t="n">
        <v>328</v>
      </c>
      <c r="D7" s="16" t="n">
        <v>414</v>
      </c>
      <c r="E7" s="16" t="n">
        <v>400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78</v>
      </c>
      <c r="D9" s="16" t="n">
        <v>111</v>
      </c>
      <c r="E9" s="16" t="n">
        <v>132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</row>
    <row r="11">
      <c r="A11" s="17" t="inlineStr">
        <is>
          <t>Resultat af primær drift</t>
        </is>
      </c>
      <c r="B11" s="16" t="n"/>
      <c r="C11" s="16" t="n">
        <v>-90</v>
      </c>
      <c r="D11" s="16" t="n">
        <v>256</v>
      </c>
      <c r="E11" s="16" t="n">
        <v>325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0</v>
      </c>
      <c r="E13" s="16" t="n">
        <v>0</v>
      </c>
    </row>
    <row r="14">
      <c r="A14" s="15" t="inlineStr">
        <is>
          <t>Finansielle omkostninger</t>
        </is>
      </c>
      <c r="B14" s="16" t="n"/>
      <c r="C14" s="16" t="n">
        <v>72</v>
      </c>
      <c r="D14" s="16" t="n">
        <v>68</v>
      </c>
      <c r="E14" s="16" t="n">
        <v>72</v>
      </c>
    </row>
    <row r="15">
      <c r="A15" s="17" t="inlineStr">
        <is>
          <t>Finansielle poster, netto</t>
        </is>
      </c>
      <c r="B15" s="16" t="n"/>
      <c r="C15" s="16" t="n">
        <v>-72</v>
      </c>
      <c r="D15" s="16" t="n">
        <v>-68</v>
      </c>
      <c r="E15" s="16" t="n">
        <v>-72</v>
      </c>
    </row>
    <row r="16">
      <c r="A16" s="17" t="inlineStr">
        <is>
          <t>Resultat før skat</t>
        </is>
      </c>
      <c r="B16" s="16" t="n"/>
      <c r="C16" s="16" t="n">
        <v>-162</v>
      </c>
      <c r="D16" s="16" t="n">
        <v>188</v>
      </c>
      <c r="E16" s="16" t="n">
        <v>254</v>
      </c>
    </row>
    <row r="17">
      <c r="A17" s="15" t="inlineStr">
        <is>
          <t>Skat af årets resultat</t>
        </is>
      </c>
      <c r="B17" s="16" t="n"/>
      <c r="C17" s="16" t="n">
        <v>-29</v>
      </c>
      <c r="D17" s="16" t="n">
        <v>43</v>
      </c>
      <c r="E17" s="16" t="n">
        <v>57</v>
      </c>
    </row>
    <row r="18">
      <c r="A18" s="17" t="inlineStr">
        <is>
          <t>Årets resultat</t>
        </is>
      </c>
      <c r="B18" s="16" t="n"/>
      <c r="C18" s="16" t="n">
        <v>-133</v>
      </c>
      <c r="D18" s="16" t="n">
        <v>145</v>
      </c>
      <c r="E18" s="16" t="n">
        <v>197</v>
      </c>
    </row>
    <row r="19">
      <c r="A19" s="15" t="inlineStr">
        <is>
          <t>Gns. antal medarbejdere</t>
        </is>
      </c>
      <c r="B19" s="16" t="n"/>
      <c r="C19" s="16" t="n">
        <v>2</v>
      </c>
      <c r="D19" s="16" t="n">
        <v>2</v>
      </c>
      <c r="E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THURØ BRYGHUS APS (CVR 43705660)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</row>
    <row r="4">
      <c r="A4" s="15" t="inlineStr">
        <is>
          <t>Driftsmateriel og inventar</t>
        </is>
      </c>
      <c r="B4" s="16" t="n"/>
      <c r="C4" s="16" t="n">
        <v>916</v>
      </c>
      <c r="D4" s="16" t="n">
        <v>1146</v>
      </c>
      <c r="E4" s="16" t="n">
        <v>1071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>
        <v>295</v>
      </c>
    </row>
    <row r="7">
      <c r="A7" s="17" t="inlineStr">
        <is>
          <t>Materielle anlægsaktiver</t>
        </is>
      </c>
      <c r="B7" s="16" t="n"/>
      <c r="C7" s="16" t="n">
        <v>916</v>
      </c>
      <c r="D7" s="16" t="n">
        <v>1146</v>
      </c>
      <c r="E7" s="16" t="n">
        <v>1366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</row>
    <row r="9">
      <c r="A9" s="15" t="inlineStr">
        <is>
          <t>Deposita</t>
        </is>
      </c>
      <c r="B9" s="16" t="n"/>
      <c r="C9" s="16" t="n">
        <v>10</v>
      </c>
      <c r="D9" s="16" t="n">
        <v>10</v>
      </c>
      <c r="E9" s="16" t="n">
        <v>10</v>
      </c>
    </row>
    <row r="10">
      <c r="A10" s="17" t="inlineStr">
        <is>
          <t>Finansielle anlægsaktiver</t>
        </is>
      </c>
      <c r="B10" s="16" t="n"/>
      <c r="C10" s="16" t="n">
        <v>10</v>
      </c>
      <c r="D10" s="16" t="n">
        <v>10</v>
      </c>
      <c r="E10" s="16" t="n">
        <v>10</v>
      </c>
    </row>
    <row r="11">
      <c r="A11" s="17" t="inlineStr">
        <is>
          <t>Anlægsaktiver</t>
        </is>
      </c>
      <c r="B11" s="16" t="n"/>
      <c r="C11" s="16" t="n">
        <v>926</v>
      </c>
      <c r="D11" s="16" t="n">
        <v>1156</v>
      </c>
      <c r="E11" s="16" t="n">
        <v>1376</v>
      </c>
    </row>
    <row r="12">
      <c r="A12" s="15" t="inlineStr">
        <is>
          <t>Råvarer og hjælpematerialer</t>
        </is>
      </c>
      <c r="B12" s="16" t="n"/>
      <c r="C12" s="16" t="n">
        <v>79</v>
      </c>
      <c r="D12" s="16" t="n">
        <v>142</v>
      </c>
      <c r="E12" s="16" t="n">
        <v>39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</row>
    <row r="14">
      <c r="A14" s="15" t="inlineStr">
        <is>
          <t>Færdigvarer og handelsvarer</t>
        </is>
      </c>
      <c r="B14" s="16" t="n"/>
      <c r="C14" s="16" t="n">
        <v>259</v>
      </c>
      <c r="D14" s="16" t="n">
        <v>260</v>
      </c>
      <c r="E14" s="16" t="n">
        <v>274</v>
      </c>
    </row>
    <row r="15">
      <c r="A15" s="17" t="inlineStr">
        <is>
          <t>Varebeholdninger</t>
        </is>
      </c>
      <c r="B15" s="16" t="n"/>
      <c r="C15" s="16" t="n">
        <v>338</v>
      </c>
      <c r="D15" s="16" t="n">
        <v>402</v>
      </c>
      <c r="E15" s="16" t="n">
        <v>314</v>
      </c>
    </row>
    <row r="16">
      <c r="A16" s="15" t="inlineStr">
        <is>
          <t>Tilgodehavender fra salg og tjenesteydelser</t>
        </is>
      </c>
      <c r="B16" s="16" t="n"/>
      <c r="C16" s="16" t="n">
        <v>57</v>
      </c>
      <c r="D16" s="16" t="n">
        <v>111</v>
      </c>
      <c r="E16" s="16" t="n">
        <v>97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>
        <v>6</v>
      </c>
    </row>
    <row r="18">
      <c r="A18" s="15" t="inlineStr">
        <is>
          <t>Andre tilgodehavender</t>
        </is>
      </c>
      <c r="B18" s="16" t="n"/>
      <c r="C18" s="16" t="n">
        <v>25</v>
      </c>
      <c r="D18" s="16" t="n">
        <v>22</v>
      </c>
      <c r="E18" s="16" t="n">
        <v>17</v>
      </c>
    </row>
    <row r="19">
      <c r="A19" s="15" t="inlineStr">
        <is>
          <t>Periodeafgrænsningsposter (aktiver)</t>
        </is>
      </c>
      <c r="B19" s="16" t="n"/>
      <c r="C19" s="16" t="n">
        <v>27</v>
      </c>
      <c r="D19" s="16" t="n">
        <v>0</v>
      </c>
      <c r="E19" s="16" t="n"/>
    </row>
    <row r="20">
      <c r="A20" s="15" t="inlineStr">
        <is>
          <t>Udskudt skatteaktiv</t>
        </is>
      </c>
      <c r="B20" s="16" t="n"/>
      <c r="C20" s="16" t="n">
        <v>29</v>
      </c>
      <c r="D20" s="16" t="n">
        <v>0</v>
      </c>
      <c r="E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</row>
    <row r="22">
      <c r="A22" s="15" t="inlineStr">
        <is>
          <t>Kortfristede skattetilgodehavender</t>
        </is>
      </c>
      <c r="B22" s="16" t="n"/>
      <c r="C22" s="16" t="n">
        <v>0</v>
      </c>
      <c r="D22" s="16" t="n">
        <v>0</v>
      </c>
      <c r="E22" s="16" t="n"/>
    </row>
    <row r="23">
      <c r="A23" s="17" t="inlineStr">
        <is>
          <t>Tilgodehavender</t>
        </is>
      </c>
      <c r="B23" s="16" t="n"/>
      <c r="C23" s="16" t="n">
        <v>138</v>
      </c>
      <c r="D23" s="16" t="n">
        <v>133</v>
      </c>
      <c r="E23" s="16" t="n">
        <v>119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</row>
    <row r="25">
      <c r="A25" s="15" t="inlineStr">
        <is>
          <t>Likvide beholdninger</t>
        </is>
      </c>
      <c r="B25" s="16" t="n"/>
      <c r="C25" s="16" t="n">
        <v>16</v>
      </c>
      <c r="D25" s="16" t="n">
        <v>3</v>
      </c>
      <c r="E25" s="16" t="n">
        <v>131</v>
      </c>
    </row>
    <row r="26">
      <c r="A26" s="17" t="inlineStr">
        <is>
          <t>Omsætningsaktiver</t>
        </is>
      </c>
      <c r="B26" s="16" t="n"/>
      <c r="C26" s="16" t="n">
        <v>492</v>
      </c>
      <c r="D26" s="16" t="n">
        <v>538</v>
      </c>
      <c r="E26" s="16" t="n">
        <v>563</v>
      </c>
    </row>
    <row r="27">
      <c r="A27" s="17" t="inlineStr">
        <is>
          <t>Aktiver</t>
        </is>
      </c>
      <c r="B27" s="16" t="n"/>
      <c r="C27" s="16" t="n">
        <v>1418</v>
      </c>
      <c r="D27" s="16" t="n">
        <v>1694</v>
      </c>
      <c r="E27" s="16" t="n">
        <v>1940</v>
      </c>
    </row>
    <row r="28">
      <c r="A28" s="15" t="inlineStr">
        <is>
          <t>Selskabskapital</t>
        </is>
      </c>
      <c r="B28" s="16" t="n"/>
      <c r="C28" s="16" t="n">
        <v>40</v>
      </c>
      <c r="D28" s="16" t="n">
        <v>40</v>
      </c>
      <c r="E28" s="16" t="n">
        <v>40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</row>
    <row r="33">
      <c r="A33" s="15" t="inlineStr">
        <is>
          <t>Overført resultat</t>
        </is>
      </c>
      <c r="B33" s="16" t="n"/>
      <c r="C33" s="16" t="n">
        <v>-132</v>
      </c>
      <c r="D33" s="16" t="n">
        <v>13</v>
      </c>
      <c r="E33" s="16" t="n">
        <v>210</v>
      </c>
    </row>
    <row r="34">
      <c r="A34" s="17" t="inlineStr">
        <is>
          <t>Egenkapital i alt</t>
        </is>
      </c>
      <c r="B34" s="16" t="n">
        <v>40</v>
      </c>
      <c r="C34" s="16" t="n">
        <v>-92</v>
      </c>
      <c r="D34" s="16" t="n">
        <v>53</v>
      </c>
      <c r="E34" s="16" t="n">
        <v>250</v>
      </c>
    </row>
    <row r="35">
      <c r="A35" s="15" t="inlineStr">
        <is>
          <t>Hensættelse til udskudt skat</t>
        </is>
      </c>
      <c r="B35" s="16" t="n"/>
      <c r="C35" s="16" t="n">
        <v>0</v>
      </c>
      <c r="D35" s="16" t="n">
        <v>13</v>
      </c>
      <c r="E35" s="16" t="n">
        <v>70</v>
      </c>
    </row>
    <row r="36">
      <c r="A36" s="17" t="inlineStr">
        <is>
          <t>Hensatte forpligtelser</t>
        </is>
      </c>
      <c r="B36" s="16" t="n"/>
      <c r="C36" s="16" t="n">
        <v>0</v>
      </c>
      <c r="D36" s="16" t="n">
        <v>13</v>
      </c>
      <c r="E36" s="16" t="n">
        <v>70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</row>
    <row r="38">
      <c r="A38" s="15" t="inlineStr">
        <is>
          <t>Langfristede lån</t>
        </is>
      </c>
      <c r="B38" s="16" t="n"/>
      <c r="C38" s="16" t="n">
        <v>662</v>
      </c>
      <c r="D38" s="16" t="n">
        <v>727</v>
      </c>
      <c r="E38" s="16" t="n">
        <v>851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</row>
    <row r="41">
      <c r="A41" s="17" t="inlineStr">
        <is>
          <t>Langfristede gældsforpligtelser</t>
        </is>
      </c>
      <c r="B41" s="16" t="n"/>
      <c r="C41" s="16" t="n">
        <v>662</v>
      </c>
      <c r="D41" s="16" t="n">
        <v>727</v>
      </c>
      <c r="E41" s="16" t="n">
        <v>851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</row>
    <row r="43">
      <c r="A43" s="15" t="inlineStr">
        <is>
          <t>Kortfristet del af langfristede gældsforpligtelser</t>
        </is>
      </c>
      <c r="B43" s="16" t="n"/>
      <c r="C43" s="16" t="n">
        <v>107</v>
      </c>
      <c r="D43" s="16" t="n">
        <v>146</v>
      </c>
      <c r="E43" s="16" t="n">
        <v>176</v>
      </c>
    </row>
    <row r="44">
      <c r="A44" s="15" t="inlineStr">
        <is>
          <t>Kreditinstitutter</t>
        </is>
      </c>
      <c r="B44" s="16" t="n"/>
      <c r="C44" s="16" t="n">
        <v>127</v>
      </c>
      <c r="D44" s="16" t="n">
        <v>65</v>
      </c>
      <c r="E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</row>
    <row r="46">
      <c r="A46" s="15" t="inlineStr">
        <is>
          <t>Leverandører af varer og tjenesteydelser</t>
        </is>
      </c>
      <c r="B46" s="16" t="n"/>
      <c r="C46" s="16" t="n">
        <v>127</v>
      </c>
      <c r="D46" s="16" t="n">
        <v>146</v>
      </c>
      <c r="E46" s="16" t="n">
        <v>140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/>
    </row>
    <row r="48">
      <c r="A48" s="15" t="inlineStr">
        <is>
          <t>Gæld til selskabsdeltagere og ledelse</t>
        </is>
      </c>
      <c r="B48" s="16" t="n"/>
      <c r="C48" s="16" t="n">
        <v>471</v>
      </c>
      <c r="D48" s="16" t="n">
        <v>510</v>
      </c>
      <c r="E48" s="16" t="n">
        <v>208</v>
      </c>
    </row>
    <row r="49">
      <c r="A49" s="15" t="inlineStr">
        <is>
          <t>Selskabsskat</t>
        </is>
      </c>
      <c r="B49" s="16" t="n"/>
      <c r="C49" s="16" t="n"/>
      <c r="D49" s="16" t="n"/>
      <c r="E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</row>
    <row r="51">
      <c r="A51" s="15" t="inlineStr">
        <is>
          <t>Anden gæld (kortfristet)</t>
        </is>
      </c>
      <c r="B51" s="16" t="n"/>
      <c r="C51" s="16" t="n">
        <v>16</v>
      </c>
      <c r="D51" s="16" t="n">
        <v>34</v>
      </c>
      <c r="E51" s="16" t="n">
        <v>244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</row>
    <row r="53">
      <c r="A53" s="17" t="inlineStr">
        <is>
          <t>Kortfristede gældsforpligtelser</t>
        </is>
      </c>
      <c r="B53" s="16" t="n"/>
      <c r="C53" s="16" t="n">
        <v>848</v>
      </c>
      <c r="D53" s="16" t="n">
        <v>901</v>
      </c>
      <c r="E53" s="16" t="n">
        <v>768</v>
      </c>
    </row>
    <row r="54">
      <c r="A54" s="17" t="inlineStr">
        <is>
          <t>Gældsforpligtelser</t>
        </is>
      </c>
      <c r="B54" s="16" t="n"/>
      <c r="C54" s="16" t="n">
        <v>1510</v>
      </c>
      <c r="D54" s="16" t="n">
        <v>1628</v>
      </c>
      <c r="E54" s="16" t="n">
        <v>1620</v>
      </c>
    </row>
    <row r="55">
      <c r="A55" s="17" t="inlineStr">
        <is>
          <t>Passiver</t>
        </is>
      </c>
      <c r="B55" s="16" t="n"/>
      <c r="C55" s="16" t="n">
        <v>1418</v>
      </c>
      <c r="D55" s="16" t="n">
        <v>1694</v>
      </c>
      <c r="E55" s="16" t="n">
        <v>1940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THURØ BRYGHUS APS (CVR 43705660) — Regnskabs- og nøgletal (CVR: 43705660)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'res_raw_43705660'!$E$2</f>
        <v/>
      </c>
      <c r="C5" s="24">
        <f>'res_raw_43705660'!$D$2</f>
        <v/>
      </c>
      <c r="D5" s="24">
        <f>'res_raw_43705660'!$C$2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'res_raw_43705660'!$E$3</f>
        <v/>
      </c>
      <c r="C6" s="24">
        <f>'res_raw_43705660'!$D$3</f>
        <v/>
      </c>
      <c r="D6" s="24">
        <f>'res_raw_43705660'!$C$3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-'res_raw_43705660'!$E$4</f>
        <v/>
      </c>
      <c r="C7" s="24">
        <f>-'res_raw_43705660'!$D$4</f>
        <v/>
      </c>
      <c r="D7" s="24">
        <f>-'res_raw_43705660'!$C$4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-'res_raw_43705660'!$E$5</f>
        <v/>
      </c>
      <c r="C8" s="24">
        <f>-'res_raw_43705660'!$D$5</f>
        <v/>
      </c>
      <c r="D8" s="24">
        <f>-'res_raw_43705660'!$C$5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IF(ABS((SUM(B5:B8))-'res_raw_43705660'!$E$6)&lt;=2,SUM(B5:B8),'res_raw_43705660'!$E$6)</f>
        <v/>
      </c>
      <c r="C9" s="27">
        <f>IF(ABS((SUM(C5:C8))-'res_raw_43705660'!$D$6)&lt;=2,SUM(C5:C8),'res_raw_43705660'!$D$6)</f>
        <v/>
      </c>
      <c r="D9" s="27">
        <f>IF(ABS((SUM(D5:D8))-'res_raw_43705660'!$C$6)&lt;=2,SUM(D5:D8),'res_raw_43705660'!$C$6)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-'res_raw_43705660'!$E$7</f>
        <v/>
      </c>
      <c r="C10" s="24">
        <f>-'res_raw_43705660'!$D$7</f>
        <v/>
      </c>
      <c r="D10" s="24">
        <f>-'res_raw_43705660'!$C$7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-'res_raw_43705660'!$E$9</f>
        <v/>
      </c>
      <c r="C11" s="24">
        <f>-'res_raw_43705660'!$D$9</f>
        <v/>
      </c>
      <c r="D11" s="24">
        <f>-'res_raw_43705660'!$C$9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-'res_raw_43705660'!$E$10</f>
        <v/>
      </c>
      <c r="C12" s="24">
        <f>-'res_raw_43705660'!$D$10</f>
        <v/>
      </c>
      <c r="D12" s="24">
        <f>-'res_raw_43705660'!$C$10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IF(ABS((SUM(B9:B12))-'res_raw_43705660'!$E$11)&lt;=2,SUM(B9:B12),'res_raw_43705660'!$E$11)</f>
        <v/>
      </c>
      <c r="C13" s="27">
        <f>IF(ABS((SUM(C9:C12))-'res_raw_43705660'!$D$11)&lt;=2,SUM(C9:C12),'res_raw_43705660'!$D$11)</f>
        <v/>
      </c>
      <c r="D13" s="27">
        <f>IF(ABS((SUM(D9:D12))-'res_raw_43705660'!$C$11)&lt;=2,SUM(D9:D12),'res_raw_43705660'!$C$11)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N('res_raw_43705660'!$E$12)+N('res_raw_43705660'!$E$13)</f>
        <v/>
      </c>
      <c r="C14" s="24">
        <f>N('res_raw_43705660'!$D$12)+N('res_raw_43705660'!$D$13)</f>
        <v/>
      </c>
      <c r="D14" s="24">
        <f>N('res_raw_43705660'!$C$12)+N('res_raw_43705660'!$C$13)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-'res_raw_43705660'!$E$14</f>
        <v/>
      </c>
      <c r="C15" s="24">
        <f>-'res_raw_43705660'!$D$14</f>
        <v/>
      </c>
      <c r="D15" s="24">
        <f>-'res_raw_43705660'!$C$14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IF(ABS((SUM(B13:B15))-'res_raw_43705660'!$E$16)&lt;=2,SUM(B13:B15),'res_raw_43705660'!$E$16)</f>
        <v/>
      </c>
      <c r="C16" s="27">
        <f>IF(ABS((SUM(C13:C15))-'res_raw_43705660'!$D$16)&lt;=2,SUM(C13:C15),'res_raw_43705660'!$D$16)</f>
        <v/>
      </c>
      <c r="D16" s="27">
        <f>IF(ABS((SUM(D13:D15))-'res_raw_43705660'!$C$16)&lt;=2,SUM(D13:D15),'res_raw_43705660'!$C$16)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'balance_raw_43705660'!$E$11</f>
        <v/>
      </c>
      <c r="C19" s="24">
        <f>'balance_raw_43705660'!$D$11</f>
        <v/>
      </c>
      <c r="D19" s="24">
        <f>'balance_raw_43705660'!$C$11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'balance_raw_43705660'!$E$26</f>
        <v/>
      </c>
      <c r="C20" s="24">
        <f>'balance_raw_43705660'!$D$26</f>
        <v/>
      </c>
      <c r="D20" s="24">
        <f>'balance_raw_43705660'!$C$26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'balance_raw_43705660'!$E$34</f>
        <v/>
      </c>
      <c r="C23" s="24">
        <f>'balance_raw_43705660'!$D$34</f>
        <v/>
      </c>
      <c r="D23" s="24">
        <f>'balance_raw_43705660'!$C$34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'balance_raw_43705660'!$E$55-'balance_raw_43705660'!$E$34</f>
        <v/>
      </c>
      <c r="C24" s="24">
        <f>'balance_raw_43705660'!$D$55-'balance_raw_43705660'!$D$34</f>
        <v/>
      </c>
      <c r="D24" s="24">
        <f>'balance_raw_43705660'!$C$55-'balance_raw_43705660'!$C$34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'balance_raw_43705660'!$E$15</f>
        <v/>
      </c>
      <c r="C28" s="24">
        <f>'balance_raw_43705660'!$D$15</f>
        <v/>
      </c>
      <c r="D28" s="24">
        <f>'balance_raw_43705660'!$C$15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'balance_raw_43705660'!$E$16</f>
        <v/>
      </c>
      <c r="C29" s="24">
        <f>'balance_raw_43705660'!$D$16</f>
        <v/>
      </c>
      <c r="D29" s="24">
        <f>'balance_raw_43705660'!$C$16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'balance_raw_43705660'!$E$53</f>
        <v/>
      </c>
      <c r="C30" s="24">
        <f>'balance_raw_43705660'!$D$53</f>
        <v/>
      </c>
      <c r="D30" s="24">
        <f>'balance_raw_43705660'!$C$53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IF('balance_raw_43705660'!$E$27="","—",IF(ABS(B21-'balance_raw_43705660'!$E$27)&lt;=1,"✓ OK","❌ "&amp;TEXT(B21-'balance_raw_43705660'!$E$27,"+#,##0;-#,##0")&amp;" t.kr."))</f>
        <v/>
      </c>
      <c r="C61" s="29">
        <f>IF('balance_raw_43705660'!$D$27="","—",IF(ABS(C21-'balance_raw_43705660'!$D$27)&lt;=1,"✓ OK","❌ "&amp;TEXT(C21-'balance_raw_43705660'!$D$27,"+#,##0;-#,##0")&amp;" t.kr."))</f>
        <v/>
      </c>
      <c r="D61" s="29">
        <f>IF('balance_raw_43705660'!$C$27="","—",IF(ABS(D21-'balance_raw_43705660'!$C$27)&lt;=1,"✓ OK","❌ "&amp;TEXT(D21-'balance_raw_43705660'!$C$27,"+#,##0;-#,##0")&amp;"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IF('balance_raw_43705660'!$E$55="","—",IF(ABS(B25-'balance_raw_43705660'!$E$55)&lt;=1,"✓ OK","❌ "&amp;TEXT(B25-'balance_raw_43705660'!$E$55,"+#,##0;-#,##0")&amp;" t.kr."))</f>
        <v/>
      </c>
      <c r="C62" s="29">
        <f>IF('balance_raw_43705660'!$D$55="","—",IF(ABS(C25-'balance_raw_43705660'!$D$55)&lt;=1,"✓ OK","❌ "&amp;TEXT(C25-'balance_raw_43705660'!$D$55,"+#,##0;-#,##0")&amp;" t.kr."))</f>
        <v/>
      </c>
      <c r="D62" s="29">
        <f>IF('balance_raw_43705660'!$C$55="","—",IF(ABS(D25-'balance_raw_43705660'!$C$55)&lt;=1,"✓ OK","❌ "&amp;TEXT(D25-'balance_raw_43705660'!$C$55,"+#,##0;-#,##0")&amp;"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IF('res_raw_43705660'!$E$6="","—",IF(ABS(B9-'res_raw_43705660'!$E$6)&lt;=1,"✓ OK","❌ "&amp;TEXT(B9-'res_raw_43705660'!$E$6,"+#,##0;-#,##0")&amp;" t.kr."))</f>
        <v/>
      </c>
      <c r="C64" s="29">
        <f>IF('res_raw_43705660'!$D$6="","—",IF(ABS(C9-'res_raw_43705660'!$D$6)&lt;=1,"✓ OK","❌ "&amp;TEXT(C9-'res_raw_43705660'!$D$6,"+#,##0;-#,##0")&amp;" t.kr."))</f>
        <v/>
      </c>
      <c r="D64" s="29">
        <f>IF('res_raw_43705660'!$C$6="","—",IF(ABS(D9-'res_raw_43705660'!$C$6)&lt;=1,"✓ OK","❌ "&amp;TEXT(D9-'res_raw_43705660'!$C$6,"+#,##0;-#,##0")&amp;"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IF('res_raw_43705660'!$E$11="","—",IF(ABS(B13-'res_raw_43705660'!$E$11)&lt;=1,"✓ OK","❌ "&amp;TEXT(B13-'res_raw_43705660'!$E$11,"+#,##0;-#,##0")&amp;" t.kr."))</f>
        <v/>
      </c>
      <c r="C65" s="29">
        <f>IF('res_raw_43705660'!$D$11="","—",IF(ABS(C13-'res_raw_43705660'!$D$11)&lt;=1,"✓ OK","❌ "&amp;TEXT(C13-'res_raw_43705660'!$D$11,"+#,##0;-#,##0")&amp;" t.kr."))</f>
        <v/>
      </c>
      <c r="D65" s="29">
        <f>IF('res_raw_43705660'!$C$11="","—",IF(ABS(D13-'res_raw_43705660'!$C$11)&lt;=1,"✓ OK","❌ "&amp;TEXT(D13-'res_raw_43705660'!$C$11,"+#,##0;-#,##0")&amp;"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IF('res_raw_43705660'!$E$16="","—",IF(ABS(B16-'res_raw_43705660'!$E$16)&lt;=1,"✓ OK","❌ "&amp;TEXT(B16-'res_raw_43705660'!$E$16,"+#,##0;-#,##0")&amp;" t.kr."))</f>
        <v/>
      </c>
      <c r="C66" s="29">
        <f>IF('res_raw_43705660'!$D$16="","—",IF(ABS(C16-'res_raw_43705660'!$D$16)&lt;=1,"✓ OK","❌ "&amp;TEXT(C16-'res_raw_43705660'!$D$16,"+#,##0;-#,##0")&amp;" t.kr."))</f>
        <v/>
      </c>
      <c r="D66" s="29">
        <f>IF('res_raw_43705660'!$C$16="","—",IF(ABS(D16-'res_raw_43705660'!$C$16)&lt;=1,"✓ OK","❌ "&amp;TEXT(D16-'res_raw_43705660'!$C$16,"+#,##0;-#,##0")&amp;"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8" customHeight="1">
      <c r="A1" s="33" t="inlineStr">
        <is>
          <t>THURØ BRYGHUS APS (CVR 43705660)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fsa:IncreaseDecreaseOfEquityThroughChangesInAccountingPolicies</t>
        </is>
      </c>
      <c r="C3" s="34" t="inlineStr">
        <is>
          <t>fsa:IncreaseDecreaseOfEquityThroughChangesInAccountingPolicies</t>
        </is>
      </c>
      <c r="D3" s="35" t="n"/>
      <c r="E3" s="35" t="n"/>
      <c r="F3" s="35" t="n">
        <v>32</v>
      </c>
      <c r="G3" s="35" t="n"/>
      <c r="H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2026-10-01T22:19:48Z</dcterms:created>
  <dcterms:modified xmlns:dcterms="http://purl.org/dc/terms/" xmlns:xsi="http://www.w3.org/2001/XMLSchema-instance" xsi:type="dcterms:W3CDTF">2026-10-01T22:19:48Z</dcterms:modified>
</cp:coreProperties>
</file>