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449746" sheetId="1" state="visible" r:id="rId1"/>
    <sheet xmlns:r="http://schemas.openxmlformats.org/officeDocument/2006/relationships" name="res_raw_25449746" sheetId="2" state="visible" r:id="rId2"/>
    <sheet xmlns:r="http://schemas.openxmlformats.org/officeDocument/2006/relationships" name="balance_raw_25449746" sheetId="3" state="visible" r:id="rId3"/>
    <sheet xmlns:r="http://schemas.openxmlformats.org/officeDocument/2006/relationships" name="pengestrom_raw_2544974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Aarhus Airport A/S (CVR 25449746)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'res_raw_25449746'!$B$2</f>
        <v/>
      </c>
      <c r="C4" s="5">
        <f>'res_raw_25449746'!$C$2</f>
        <v/>
      </c>
      <c r="D4" s="5">
        <f>'res_raw_25449746'!$D$2</f>
        <v/>
      </c>
      <c r="E4" s="5">
        <f>'res_raw_25449746'!$E$2</f>
        <v/>
      </c>
      <c r="F4" s="5">
        <f>'res_raw_25449746'!$F$2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'res_raw_25449746'!$B$3</f>
        <v/>
      </c>
      <c r="C5" s="8">
        <f>'res_raw_25449746'!$C$3</f>
        <v/>
      </c>
      <c r="D5" s="8">
        <f>'res_raw_25449746'!$D$3</f>
        <v/>
      </c>
      <c r="E5" s="8">
        <f>'res_raw_25449746'!$E$3</f>
        <v/>
      </c>
      <c r="F5" s="8">
        <f>'res_raw_25449746'!$F$3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'res_raw_25449746'!$B$4</f>
        <v/>
      </c>
      <c r="C6" s="5">
        <f>'res_raw_25449746'!$C$4</f>
        <v/>
      </c>
      <c r="D6" s="5">
        <f>'res_raw_25449746'!$D$4</f>
        <v/>
      </c>
      <c r="E6" s="5">
        <f>'res_raw_25449746'!$E$4</f>
        <v/>
      </c>
      <c r="F6" s="5">
        <f>'res_raw_25449746'!$F$4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'res_raw_25449746'!$B$5</f>
        <v/>
      </c>
      <c r="C7" s="8">
        <f>'res_raw_25449746'!$C$5</f>
        <v/>
      </c>
      <c r="D7" s="8">
        <f>'res_raw_25449746'!$D$5</f>
        <v/>
      </c>
      <c r="E7" s="8">
        <f>'res_raw_25449746'!$E$5</f>
        <v/>
      </c>
      <c r="F7" s="8">
        <f>'res_raw_25449746'!$F$5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'res_raw_25449746'!$B$6</f>
        <v/>
      </c>
      <c r="C8" s="11">
        <f>'res_raw_25449746'!$C$6</f>
        <v/>
      </c>
      <c r="D8" s="11">
        <f>'res_raw_25449746'!$D$6</f>
        <v/>
      </c>
      <c r="E8" s="11">
        <f>'res_raw_25449746'!$E$6</f>
        <v/>
      </c>
      <c r="F8" s="11">
        <f>'res_raw_25449746'!$F$6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'res_raw_25449746'!$B$7</f>
        <v/>
      </c>
      <c r="C9" s="8">
        <f>'res_raw_25449746'!$C$7</f>
        <v/>
      </c>
      <c r="D9" s="8">
        <f>'res_raw_25449746'!$D$7</f>
        <v/>
      </c>
      <c r="E9" s="8">
        <f>'res_raw_25449746'!$E$7</f>
        <v/>
      </c>
      <c r="F9" s="8">
        <f>'res_raw_25449746'!$F$7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'res_raw_25449746'!$B$9</f>
        <v/>
      </c>
      <c r="C11" s="8">
        <f>'res_raw_25449746'!$C$9</f>
        <v/>
      </c>
      <c r="D11" s="8">
        <f>'res_raw_25449746'!$D$9</f>
        <v/>
      </c>
      <c r="E11" s="8">
        <f>'res_raw_25449746'!$E$9</f>
        <v/>
      </c>
      <c r="F11" s="8">
        <f>'res_raw_25449746'!$F$9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'res_raw_25449746'!$B$10</f>
        <v/>
      </c>
      <c r="C12" s="5">
        <f>'res_raw_25449746'!$C$10</f>
        <v/>
      </c>
      <c r="D12" s="5">
        <f>'res_raw_25449746'!$D$10</f>
        <v/>
      </c>
      <c r="E12" s="5">
        <f>'res_raw_25449746'!$E$10</f>
        <v/>
      </c>
      <c r="F12" s="5">
        <f>'res_raw_25449746'!$F$10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'res_raw_25449746'!$B$11</f>
        <v/>
      </c>
      <c r="C13" s="11">
        <f>'res_raw_25449746'!$C$11</f>
        <v/>
      </c>
      <c r="D13" s="11">
        <f>'res_raw_25449746'!$D$11</f>
        <v/>
      </c>
      <c r="E13" s="11">
        <f>'res_raw_25449746'!$E$11</f>
        <v/>
      </c>
      <c r="F13" s="11">
        <f>'res_raw_25449746'!$F$11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'res_raw_25449746'!$B$12</f>
        <v/>
      </c>
      <c r="C14" s="5">
        <f>'res_raw_25449746'!$C$12</f>
        <v/>
      </c>
      <c r="D14" s="5">
        <f>'res_raw_25449746'!$D$12</f>
        <v/>
      </c>
      <c r="E14" s="5">
        <f>'res_raw_25449746'!$E$12</f>
        <v/>
      </c>
      <c r="F14" s="5">
        <f>'res_raw_25449746'!$F$12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'res_raw_25449746'!$B$13</f>
        <v/>
      </c>
      <c r="C15" s="8">
        <f>'res_raw_25449746'!$C$13</f>
        <v/>
      </c>
      <c r="D15" s="8">
        <f>'res_raw_25449746'!$D$13</f>
        <v/>
      </c>
      <c r="E15" s="8">
        <f>'res_raw_25449746'!$E$13</f>
        <v/>
      </c>
      <c r="F15" s="8">
        <f>'res_raw_25449746'!$F$13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'res_raw_25449746'!$B$14</f>
        <v/>
      </c>
      <c r="C16" s="5">
        <f>'res_raw_25449746'!$C$14</f>
        <v/>
      </c>
      <c r="D16" s="5">
        <f>'res_raw_25449746'!$D$14</f>
        <v/>
      </c>
      <c r="E16" s="5">
        <f>'res_raw_25449746'!$E$14</f>
        <v/>
      </c>
      <c r="F16" s="5">
        <f>'res_raw_25449746'!$F$14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'res_raw_25449746'!$B$15</f>
        <v/>
      </c>
      <c r="C17" s="11">
        <f>'res_raw_25449746'!$C$15</f>
        <v/>
      </c>
      <c r="D17" s="11">
        <f>'res_raw_25449746'!$D$15</f>
        <v/>
      </c>
      <c r="E17" s="11">
        <f>'res_raw_25449746'!$E$15</f>
        <v/>
      </c>
      <c r="F17" s="11">
        <f>'res_raw_25449746'!$F$15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'res_raw_25449746'!$B$16</f>
        <v/>
      </c>
      <c r="C18" s="11">
        <f>'res_raw_25449746'!$C$16</f>
        <v/>
      </c>
      <c r="D18" s="11">
        <f>'res_raw_25449746'!$D$16</f>
        <v/>
      </c>
      <c r="E18" s="11">
        <f>'res_raw_25449746'!$E$16</f>
        <v/>
      </c>
      <c r="F18" s="11">
        <f>'res_raw_25449746'!$F$16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'res_raw_25449746'!$B$17</f>
        <v/>
      </c>
      <c r="C19" s="8">
        <f>'res_raw_25449746'!$C$17</f>
        <v/>
      </c>
      <c r="D19" s="8">
        <f>'res_raw_25449746'!$D$17</f>
        <v/>
      </c>
      <c r="E19" s="8">
        <f>'res_raw_25449746'!$E$17</f>
        <v/>
      </c>
      <c r="F19" s="8">
        <f>'res_raw_25449746'!$F$17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'res_raw_25449746'!$B$18</f>
        <v/>
      </c>
      <c r="C20" s="11">
        <f>'res_raw_25449746'!$C$18</f>
        <v/>
      </c>
      <c r="D20" s="11">
        <f>'res_raw_25449746'!$D$18</f>
        <v/>
      </c>
      <c r="E20" s="11">
        <f>'res_raw_25449746'!$E$18</f>
        <v/>
      </c>
      <c r="F20" s="11">
        <f>'res_raw_25449746'!$F$18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'balance_raw_25449746'!$B$2</f>
        <v/>
      </c>
      <c r="C23" s="8">
        <f>'balance_raw_25449746'!$C$2</f>
        <v/>
      </c>
      <c r="D23" s="8">
        <f>'balance_raw_25449746'!$D$2</f>
        <v/>
      </c>
      <c r="E23" s="8">
        <f>'balance_raw_25449746'!$E$2</f>
        <v/>
      </c>
      <c r="F23" s="8">
        <f>'balance_raw_25449746'!$F$2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'balance_raw_25449746'!$B$3</f>
        <v/>
      </c>
      <c r="C24" s="5">
        <f>'balance_raw_25449746'!$C$3</f>
        <v/>
      </c>
      <c r="D24" s="5">
        <f>'balance_raw_25449746'!$D$3</f>
        <v/>
      </c>
      <c r="E24" s="5">
        <f>'balance_raw_25449746'!$E$3</f>
        <v/>
      </c>
      <c r="F24" s="5">
        <f>'balance_raw_25449746'!$F$3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'balance_raw_25449746'!$B$4</f>
        <v/>
      </c>
      <c r="C25" s="8">
        <f>'balance_raw_25449746'!$C$4</f>
        <v/>
      </c>
      <c r="D25" s="8">
        <f>'balance_raw_25449746'!$D$4</f>
        <v/>
      </c>
      <c r="E25" s="8">
        <f>'balance_raw_25449746'!$E$4</f>
        <v/>
      </c>
      <c r="F25" s="8">
        <f>'balance_raw_25449746'!$F$4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'balance_raw_25449746'!$B$5</f>
        <v/>
      </c>
      <c r="C26" s="5">
        <f>'balance_raw_25449746'!$C$5</f>
        <v/>
      </c>
      <c r="D26" s="5">
        <f>'balance_raw_25449746'!$D$5</f>
        <v/>
      </c>
      <c r="E26" s="5">
        <f>'balance_raw_25449746'!$E$5</f>
        <v/>
      </c>
      <c r="F26" s="5">
        <f>'balance_raw_25449746'!$F$5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'balance_raw_25449746'!$B$6</f>
        <v/>
      </c>
      <c r="C27" s="8">
        <f>'balance_raw_25449746'!$C$6</f>
        <v/>
      </c>
      <c r="D27" s="8">
        <f>'balance_raw_25449746'!$D$6</f>
        <v/>
      </c>
      <c r="E27" s="8">
        <f>'balance_raw_25449746'!$E$6</f>
        <v/>
      </c>
      <c r="F27" s="8">
        <f>'balance_raw_25449746'!$F$6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'balance_raw_25449746'!$B$7</f>
        <v/>
      </c>
      <c r="C28" s="11">
        <f>'balance_raw_25449746'!$C$7</f>
        <v/>
      </c>
      <c r="D28" s="11">
        <f>'balance_raw_25449746'!$D$7</f>
        <v/>
      </c>
      <c r="E28" s="11">
        <f>'balance_raw_25449746'!$E$7</f>
        <v/>
      </c>
      <c r="F28" s="11">
        <f>'balance_raw_25449746'!$F$7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'balance_raw_25449746'!$B$8</f>
        <v/>
      </c>
      <c r="C29" s="8">
        <f>'balance_raw_25449746'!$C$8</f>
        <v/>
      </c>
      <c r="D29" s="8">
        <f>'balance_raw_25449746'!$D$8</f>
        <v/>
      </c>
      <c r="E29" s="8">
        <f>'balance_raw_25449746'!$E$8</f>
        <v/>
      </c>
      <c r="F29" s="8">
        <f>'balance_raw_25449746'!$F$8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'balance_raw_25449746'!$B$9</f>
        <v/>
      </c>
      <c r="C30" s="5">
        <f>'balance_raw_25449746'!$C$9</f>
        <v/>
      </c>
      <c r="D30" s="5">
        <f>'balance_raw_25449746'!$D$9</f>
        <v/>
      </c>
      <c r="E30" s="5">
        <f>'balance_raw_25449746'!$E$9</f>
        <v/>
      </c>
      <c r="F30" s="5">
        <f>'balance_raw_25449746'!$F$9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'balance_raw_25449746'!$B$10</f>
        <v/>
      </c>
      <c r="C31" s="11">
        <f>'balance_raw_25449746'!$C$10</f>
        <v/>
      </c>
      <c r="D31" s="11">
        <f>'balance_raw_25449746'!$D$10</f>
        <v/>
      </c>
      <c r="E31" s="11">
        <f>'balance_raw_25449746'!$E$10</f>
        <v/>
      </c>
      <c r="F31" s="11">
        <f>'balance_raw_25449746'!$F$10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'balance_raw_25449746'!$B$11</f>
        <v/>
      </c>
      <c r="C32" s="11">
        <f>'balance_raw_25449746'!$C$11</f>
        <v/>
      </c>
      <c r="D32" s="11">
        <f>'balance_raw_25449746'!$D$11</f>
        <v/>
      </c>
      <c r="E32" s="11">
        <f>'balance_raw_25449746'!$E$11</f>
        <v/>
      </c>
      <c r="F32" s="11">
        <f>'balance_raw_25449746'!$F$11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'balance_raw_25449746'!$B$12</f>
        <v/>
      </c>
      <c r="C33" s="8">
        <f>'balance_raw_25449746'!$C$12</f>
        <v/>
      </c>
      <c r="D33" s="8">
        <f>'balance_raw_25449746'!$D$12</f>
        <v/>
      </c>
      <c r="E33" s="8">
        <f>'balance_raw_25449746'!$E$12</f>
        <v/>
      </c>
      <c r="F33" s="8">
        <f>'balance_raw_25449746'!$F$12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'balance_raw_25449746'!$B$13</f>
        <v/>
      </c>
      <c r="C34" s="5">
        <f>'balance_raw_25449746'!$C$13</f>
        <v/>
      </c>
      <c r="D34" s="5">
        <f>'balance_raw_25449746'!$D$13</f>
        <v/>
      </c>
      <c r="E34" s="5">
        <f>'balance_raw_25449746'!$E$13</f>
        <v/>
      </c>
      <c r="F34" s="5">
        <f>'balance_raw_25449746'!$F$13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'balance_raw_25449746'!$B$14</f>
        <v/>
      </c>
      <c r="C35" s="8">
        <f>'balance_raw_25449746'!$C$14</f>
        <v/>
      </c>
      <c r="D35" s="8">
        <f>'balance_raw_25449746'!$D$14</f>
        <v/>
      </c>
      <c r="E35" s="8">
        <f>'balance_raw_25449746'!$E$14</f>
        <v/>
      </c>
      <c r="F35" s="8">
        <f>'balance_raw_25449746'!$F$14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'balance_raw_25449746'!$B$15</f>
        <v/>
      </c>
      <c r="C36" s="11">
        <f>'balance_raw_25449746'!$C$15</f>
        <v/>
      </c>
      <c r="D36" s="11">
        <f>'balance_raw_25449746'!$D$15</f>
        <v/>
      </c>
      <c r="E36" s="11">
        <f>'balance_raw_25449746'!$E$15</f>
        <v/>
      </c>
      <c r="F36" s="11">
        <f>'balance_raw_25449746'!$F$15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'balance_raw_25449746'!$B$16</f>
        <v/>
      </c>
      <c r="C37" s="8">
        <f>'balance_raw_25449746'!$C$16</f>
        <v/>
      </c>
      <c r="D37" s="8">
        <f>'balance_raw_25449746'!$D$16</f>
        <v/>
      </c>
      <c r="E37" s="8">
        <f>'balance_raw_25449746'!$E$16</f>
        <v/>
      </c>
      <c r="F37" s="8">
        <f>'balance_raw_25449746'!$F$16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'balance_raw_25449746'!$B$17</f>
        <v/>
      </c>
      <c r="C38" s="5">
        <f>'balance_raw_25449746'!$C$17</f>
        <v/>
      </c>
      <c r="D38" s="5">
        <f>'balance_raw_25449746'!$D$17</f>
        <v/>
      </c>
      <c r="E38" s="5">
        <f>'balance_raw_25449746'!$E$17</f>
        <v/>
      </c>
      <c r="F38" s="5">
        <f>'balance_raw_25449746'!$F$17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'balance_raw_25449746'!$B$18</f>
        <v/>
      </c>
      <c r="C39" s="8">
        <f>'balance_raw_25449746'!$C$18</f>
        <v/>
      </c>
      <c r="D39" s="8">
        <f>'balance_raw_25449746'!$D$18</f>
        <v/>
      </c>
      <c r="E39" s="8">
        <f>'balance_raw_25449746'!$E$18</f>
        <v/>
      </c>
      <c r="F39" s="8">
        <f>'balance_raw_25449746'!$F$18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'balance_raw_25449746'!$B$19</f>
        <v/>
      </c>
      <c r="C40" s="5">
        <f>'balance_raw_25449746'!$C$19</f>
        <v/>
      </c>
      <c r="D40" s="5">
        <f>'balance_raw_25449746'!$D$19</f>
        <v/>
      </c>
      <c r="E40" s="5">
        <f>'balance_raw_25449746'!$E$19</f>
        <v/>
      </c>
      <c r="F40" s="5">
        <f>'balance_raw_25449746'!$F$19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'balance_raw_25449746'!$B$20</f>
        <v/>
      </c>
      <c r="C41" s="8">
        <f>'balance_raw_25449746'!$C$20</f>
        <v/>
      </c>
      <c r="D41" s="8">
        <f>'balance_raw_25449746'!$D$20</f>
        <v/>
      </c>
      <c r="E41" s="8">
        <f>'balance_raw_25449746'!$E$20</f>
        <v/>
      </c>
      <c r="F41" s="8">
        <f>'balance_raw_25449746'!$F$20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'balance_raw_25449746'!$B$21</f>
        <v/>
      </c>
      <c r="C42" s="5">
        <f>'balance_raw_25449746'!$C$21</f>
        <v/>
      </c>
      <c r="D42" s="5">
        <f>'balance_raw_25449746'!$D$21</f>
        <v/>
      </c>
      <c r="E42" s="5">
        <f>'balance_raw_25449746'!$E$21</f>
        <v/>
      </c>
      <c r="F42" s="5">
        <f>'balance_raw_25449746'!$F$21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'balance_raw_25449746'!$B$22</f>
        <v/>
      </c>
      <c r="C43" s="8">
        <f>'balance_raw_25449746'!$C$22</f>
        <v/>
      </c>
      <c r="D43" s="8">
        <f>'balance_raw_25449746'!$D$22</f>
        <v/>
      </c>
      <c r="E43" s="8">
        <f>'balance_raw_25449746'!$E$22</f>
        <v/>
      </c>
      <c r="F43" s="8">
        <f>'balance_raw_25449746'!$F$22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'balance_raw_25449746'!$B$23</f>
        <v/>
      </c>
      <c r="C44" s="11">
        <f>'balance_raw_25449746'!$C$23</f>
        <v/>
      </c>
      <c r="D44" s="11">
        <f>'balance_raw_25449746'!$D$23</f>
        <v/>
      </c>
      <c r="E44" s="11">
        <f>'balance_raw_25449746'!$E$23</f>
        <v/>
      </c>
      <c r="F44" s="11">
        <f>'balance_raw_25449746'!$F$23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'balance_raw_25449746'!$B$24</f>
        <v/>
      </c>
      <c r="C45" s="8">
        <f>'balance_raw_25449746'!$C$24</f>
        <v/>
      </c>
      <c r="D45" s="8">
        <f>'balance_raw_25449746'!$D$24</f>
        <v/>
      </c>
      <c r="E45" s="8">
        <f>'balance_raw_25449746'!$E$24</f>
        <v/>
      </c>
      <c r="F45" s="8">
        <f>'balance_raw_25449746'!$F$24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'balance_raw_25449746'!$B$25</f>
        <v/>
      </c>
      <c r="C46" s="5">
        <f>'balance_raw_25449746'!$C$25</f>
        <v/>
      </c>
      <c r="D46" s="5">
        <f>'balance_raw_25449746'!$D$25</f>
        <v/>
      </c>
      <c r="E46" s="5">
        <f>'balance_raw_25449746'!$E$25</f>
        <v/>
      </c>
      <c r="F46" s="5">
        <f>'balance_raw_25449746'!$F$25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'balance_raw_25449746'!$B$26</f>
        <v/>
      </c>
      <c r="C47" s="11">
        <f>'balance_raw_25449746'!$C$26</f>
        <v/>
      </c>
      <c r="D47" s="11">
        <f>'balance_raw_25449746'!$D$26</f>
        <v/>
      </c>
      <c r="E47" s="11">
        <f>'balance_raw_25449746'!$E$26</f>
        <v/>
      </c>
      <c r="F47" s="11">
        <f>'balance_raw_25449746'!$F$26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'balance_raw_25449746'!$B$27</f>
        <v/>
      </c>
      <c r="C48" s="11">
        <f>'balance_raw_25449746'!$C$27</f>
        <v/>
      </c>
      <c r="D48" s="11">
        <f>'balance_raw_25449746'!$D$27</f>
        <v/>
      </c>
      <c r="E48" s="11">
        <f>'balance_raw_25449746'!$E$27</f>
        <v/>
      </c>
      <c r="F48" s="11">
        <f>'balance_raw_25449746'!$F$27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'balance_raw_25449746'!$B$28</f>
        <v/>
      </c>
      <c r="C51" s="8">
        <f>'balance_raw_25449746'!$C$28</f>
        <v/>
      </c>
      <c r="D51" s="8">
        <f>'balance_raw_25449746'!$D$28</f>
        <v/>
      </c>
      <c r="E51" s="8">
        <f>'balance_raw_25449746'!$E$28</f>
        <v/>
      </c>
      <c r="F51" s="8">
        <f>'balance_raw_25449746'!$F$28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'balance_raw_25449746'!$B$29</f>
        <v/>
      </c>
      <c r="C52" s="5">
        <f>'balance_raw_25449746'!$C$29</f>
        <v/>
      </c>
      <c r="D52" s="5">
        <f>'balance_raw_25449746'!$D$29</f>
        <v/>
      </c>
      <c r="E52" s="5">
        <f>'balance_raw_25449746'!$E$29</f>
        <v/>
      </c>
      <c r="F52" s="5">
        <f>'balance_raw_25449746'!$F$29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'balance_raw_25449746'!$B$30</f>
        <v/>
      </c>
      <c r="C53" s="8">
        <f>'balance_raw_25449746'!$C$30</f>
        <v/>
      </c>
      <c r="D53" s="8">
        <f>'balance_raw_25449746'!$D$30</f>
        <v/>
      </c>
      <c r="E53" s="8">
        <f>'balance_raw_25449746'!$E$30</f>
        <v/>
      </c>
      <c r="F53" s="8">
        <f>'balance_raw_25449746'!$F$30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'balance_raw_25449746'!$B$31</f>
        <v/>
      </c>
      <c r="C54" s="5">
        <f>'balance_raw_25449746'!$C$31</f>
        <v/>
      </c>
      <c r="D54" s="5">
        <f>'balance_raw_25449746'!$D$31</f>
        <v/>
      </c>
      <c r="E54" s="5">
        <f>'balance_raw_25449746'!$E$31</f>
        <v/>
      </c>
      <c r="F54" s="5">
        <f>'balance_raw_25449746'!$F$31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'balance_raw_25449746'!$B$32</f>
        <v/>
      </c>
      <c r="C55" s="8">
        <f>'balance_raw_25449746'!$C$32</f>
        <v/>
      </c>
      <c r="D55" s="8">
        <f>'balance_raw_25449746'!$D$32</f>
        <v/>
      </c>
      <c r="E55" s="8">
        <f>'balance_raw_25449746'!$E$32</f>
        <v/>
      </c>
      <c r="F55" s="8">
        <f>'balance_raw_25449746'!$F$32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'balance_raw_25449746'!$B$33</f>
        <v/>
      </c>
      <c r="C56" s="5">
        <f>'balance_raw_25449746'!$C$33</f>
        <v/>
      </c>
      <c r="D56" s="5">
        <f>'balance_raw_25449746'!$D$33</f>
        <v/>
      </c>
      <c r="E56" s="5">
        <f>'balance_raw_25449746'!$E$33</f>
        <v/>
      </c>
      <c r="F56" s="5">
        <f>'balance_raw_25449746'!$F$33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'balance_raw_25449746'!$B$34</f>
        <v/>
      </c>
      <c r="C57" s="11">
        <f>'balance_raw_25449746'!$C$34</f>
        <v/>
      </c>
      <c r="D57" s="11">
        <f>'balance_raw_25449746'!$D$34</f>
        <v/>
      </c>
      <c r="E57" s="11">
        <f>'balance_raw_25449746'!$E$34</f>
        <v/>
      </c>
      <c r="F57" s="11">
        <f>'balance_raw_25449746'!$F$34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'balance_raw_25449746'!$B$35</f>
        <v/>
      </c>
      <c r="C58" s="5">
        <f>'balance_raw_25449746'!$C$35</f>
        <v/>
      </c>
      <c r="D58" s="5">
        <f>'balance_raw_25449746'!$D$35</f>
        <v/>
      </c>
      <c r="E58" s="5">
        <f>'balance_raw_25449746'!$E$35</f>
        <v/>
      </c>
      <c r="F58" s="5">
        <f>'balance_raw_25449746'!$F$35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'balance_raw_25449746'!$B$36</f>
        <v/>
      </c>
      <c r="C59" s="8">
        <f>'balance_raw_25449746'!$C$36</f>
        <v/>
      </c>
      <c r="D59" s="8">
        <f>'balance_raw_25449746'!$D$36</f>
        <v/>
      </c>
      <c r="E59" s="8">
        <f>'balance_raw_25449746'!$E$36</f>
        <v/>
      </c>
      <c r="F59" s="8">
        <f>'balance_raw_25449746'!$F$36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'balance_raw_25449746'!$B$37</f>
        <v/>
      </c>
      <c r="C60" s="5">
        <f>'balance_raw_25449746'!$C$37</f>
        <v/>
      </c>
      <c r="D60" s="5">
        <f>'balance_raw_25449746'!$D$37</f>
        <v/>
      </c>
      <c r="E60" s="5">
        <f>'balance_raw_25449746'!$E$37</f>
        <v/>
      </c>
      <c r="F60" s="5">
        <f>'balance_raw_25449746'!$F$37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'balance_raw_25449746'!$B$38</f>
        <v/>
      </c>
      <c r="C61" s="8">
        <f>'balance_raw_25449746'!$C$38</f>
        <v/>
      </c>
      <c r="D61" s="8">
        <f>'balance_raw_25449746'!$D$38</f>
        <v/>
      </c>
      <c r="E61" s="8">
        <f>'balance_raw_25449746'!$E$38</f>
        <v/>
      </c>
      <c r="F61" s="8">
        <f>'balance_raw_25449746'!$F$38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'balance_raw_25449746'!$B$39</f>
        <v/>
      </c>
      <c r="C62" s="11">
        <f>'balance_raw_25449746'!$C$39</f>
        <v/>
      </c>
      <c r="D62" s="11">
        <f>'balance_raw_25449746'!$D$39</f>
        <v/>
      </c>
      <c r="E62" s="11">
        <f>'balance_raw_25449746'!$E$39</f>
        <v/>
      </c>
      <c r="F62" s="11">
        <f>'balance_raw_25449746'!$F$39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'balance_raw_25449746'!$B$40</f>
        <v/>
      </c>
      <c r="C63" s="8">
        <f>'balance_raw_25449746'!$C$40</f>
        <v/>
      </c>
      <c r="D63" s="8">
        <f>'balance_raw_25449746'!$D$40</f>
        <v/>
      </c>
      <c r="E63" s="8">
        <f>'balance_raw_25449746'!$E$40</f>
        <v/>
      </c>
      <c r="F63" s="8">
        <f>'balance_raw_25449746'!$F$40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'balance_raw_25449746'!$B$41</f>
        <v/>
      </c>
      <c r="C64" s="5">
        <f>'balance_raw_25449746'!$C$41</f>
        <v/>
      </c>
      <c r="D64" s="5">
        <f>'balance_raw_25449746'!$D$41</f>
        <v/>
      </c>
      <c r="E64" s="5">
        <f>'balance_raw_25449746'!$E$41</f>
        <v/>
      </c>
      <c r="F64" s="5">
        <f>'balance_raw_25449746'!$F$41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'balance_raw_25449746'!$B$42</f>
        <v/>
      </c>
      <c r="C65" s="8">
        <f>'balance_raw_25449746'!$C$42</f>
        <v/>
      </c>
      <c r="D65" s="8">
        <f>'balance_raw_25449746'!$D$42</f>
        <v/>
      </c>
      <c r="E65" s="8">
        <f>'balance_raw_25449746'!$E$42</f>
        <v/>
      </c>
      <c r="F65" s="8">
        <f>'balance_raw_25449746'!$F$42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'balance_raw_25449746'!$B$43</f>
        <v/>
      </c>
      <c r="C66" s="5">
        <f>'balance_raw_25449746'!$C$43</f>
        <v/>
      </c>
      <c r="D66" s="5">
        <f>'balance_raw_25449746'!$D$43</f>
        <v/>
      </c>
      <c r="E66" s="5">
        <f>'balance_raw_25449746'!$E$43</f>
        <v/>
      </c>
      <c r="F66" s="5">
        <f>'balance_raw_25449746'!$F$43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'balance_raw_25449746'!$B$44</f>
        <v/>
      </c>
      <c r="C67" s="8">
        <f>'balance_raw_25449746'!$C$44</f>
        <v/>
      </c>
      <c r="D67" s="8">
        <f>'balance_raw_25449746'!$D$44</f>
        <v/>
      </c>
      <c r="E67" s="8">
        <f>'balance_raw_25449746'!$E$44</f>
        <v/>
      </c>
      <c r="F67" s="8">
        <f>'balance_raw_25449746'!$F$44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'balance_raw_25449746'!$B$45</f>
        <v/>
      </c>
      <c r="C68" s="5">
        <f>'balance_raw_25449746'!$C$45</f>
        <v/>
      </c>
      <c r="D68" s="5">
        <f>'balance_raw_25449746'!$D$45</f>
        <v/>
      </c>
      <c r="E68" s="5">
        <f>'balance_raw_25449746'!$E$45</f>
        <v/>
      </c>
      <c r="F68" s="5">
        <f>'balance_raw_25449746'!$F$45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'balance_raw_25449746'!$B$46</f>
        <v/>
      </c>
      <c r="C69" s="8">
        <f>'balance_raw_25449746'!$C$46</f>
        <v/>
      </c>
      <c r="D69" s="8">
        <f>'balance_raw_25449746'!$D$46</f>
        <v/>
      </c>
      <c r="E69" s="8">
        <f>'balance_raw_25449746'!$E$46</f>
        <v/>
      </c>
      <c r="F69" s="8">
        <f>'balance_raw_25449746'!$F$46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'balance_raw_25449746'!$B$47</f>
        <v/>
      </c>
      <c r="C70" s="5">
        <f>'balance_raw_25449746'!$C$47</f>
        <v/>
      </c>
      <c r="D70" s="5">
        <f>'balance_raw_25449746'!$D$47</f>
        <v/>
      </c>
      <c r="E70" s="5">
        <f>'balance_raw_25449746'!$E$47</f>
        <v/>
      </c>
      <c r="F70" s="5">
        <f>'balance_raw_25449746'!$F$47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'balance_raw_25449746'!$B$48</f>
        <v/>
      </c>
      <c r="C71" s="8">
        <f>'balance_raw_25449746'!$C$48</f>
        <v/>
      </c>
      <c r="D71" s="8">
        <f>'balance_raw_25449746'!$D$48</f>
        <v/>
      </c>
      <c r="E71" s="8">
        <f>'balance_raw_25449746'!$E$48</f>
        <v/>
      </c>
      <c r="F71" s="8">
        <f>'balance_raw_25449746'!$F$48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'balance_raw_25449746'!$B$49</f>
        <v/>
      </c>
      <c r="C72" s="5">
        <f>'balance_raw_25449746'!$C$49</f>
        <v/>
      </c>
      <c r="D72" s="5">
        <f>'balance_raw_25449746'!$D$49</f>
        <v/>
      </c>
      <c r="E72" s="5">
        <f>'balance_raw_25449746'!$E$49</f>
        <v/>
      </c>
      <c r="F72" s="5">
        <f>'balance_raw_25449746'!$F$49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'balance_raw_25449746'!$B$50</f>
        <v/>
      </c>
      <c r="C73" s="8">
        <f>'balance_raw_25449746'!$C$50</f>
        <v/>
      </c>
      <c r="D73" s="8">
        <f>'balance_raw_25449746'!$D$50</f>
        <v/>
      </c>
      <c r="E73" s="8">
        <f>'balance_raw_25449746'!$E$50</f>
        <v/>
      </c>
      <c r="F73" s="8">
        <f>'balance_raw_25449746'!$F$50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'balance_raw_25449746'!$B$51</f>
        <v/>
      </c>
      <c r="C74" s="11">
        <f>'balance_raw_25449746'!$C$51</f>
        <v/>
      </c>
      <c r="D74" s="11">
        <f>'balance_raw_25449746'!$D$51</f>
        <v/>
      </c>
      <c r="E74" s="11">
        <f>'balance_raw_25449746'!$E$51</f>
        <v/>
      </c>
      <c r="F74" s="11">
        <f>'balance_raw_25449746'!$F$51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'balance_raw_25449746'!$B$52</f>
        <v/>
      </c>
      <c r="C75" s="11">
        <f>'balance_raw_25449746'!$C$52</f>
        <v/>
      </c>
      <c r="D75" s="11">
        <f>'balance_raw_25449746'!$D$52</f>
        <v/>
      </c>
      <c r="E75" s="11">
        <f>'balance_raw_25449746'!$E$52</f>
        <v/>
      </c>
      <c r="F75" s="11">
        <f>'balance_raw_25449746'!$F$52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'balance_raw_25449746'!$B$53</f>
        <v/>
      </c>
      <c r="C76" s="11">
        <f>'balance_raw_25449746'!$C$53</f>
        <v/>
      </c>
      <c r="D76" s="11">
        <f>'balance_raw_25449746'!$D$53</f>
        <v/>
      </c>
      <c r="E76" s="11">
        <f>'balance_raw_25449746'!$E$53</f>
        <v/>
      </c>
      <c r="F76" s="11">
        <f>'balance_raw_25449746'!$F$53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'res_raw_25449746'!$B$19</f>
        <v/>
      </c>
      <c r="C79" s="8">
        <f>'res_raw_25449746'!$C$19</f>
        <v/>
      </c>
      <c r="D79" s="8">
        <f>'res_raw_25449746'!$D$19</f>
        <v/>
      </c>
      <c r="E79" s="8">
        <f>'res_raw_25449746'!$E$19</f>
        <v/>
      </c>
      <c r="F79" s="8">
        <f>'res_raw_25449746'!$F$19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'res_raw_25449746'!$B$20</f>
        <v/>
      </c>
      <c r="C80" s="5">
        <f>'res_raw_25449746'!$C$20</f>
        <v/>
      </c>
      <c r="D80" s="5">
        <f>'res_raw_25449746'!$D$20</f>
        <v/>
      </c>
      <c r="E80" s="5">
        <f>'res_raw_25449746'!$E$20</f>
        <v/>
      </c>
      <c r="F80" s="5">
        <f>'res_raw_25449746'!$F$20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 (af bruttofortjeneste), %</t>
        </is>
      </c>
      <c r="B84" s="14">
        <f>IFERROR(($B$13+$B$15+$B$14)/$B$8*100,"")</f>
        <v/>
      </c>
      <c r="C84" s="14">
        <f>IFERROR(($C$13+$C$15+$C$14)/$C$8*100,"")</f>
        <v/>
      </c>
      <c r="D84" s="14">
        <f>IFERROR(($D$13+$D$15+$D$14)/$D$8*100,"")</f>
        <v/>
      </c>
      <c r="E84" s="14">
        <f>IFERROR(($E$13+$E$15+$E$14)/$E$8*100,"")</f>
        <v/>
      </c>
      <c r="F84" s="14">
        <f>IFERROR(($F$13+$F$15+$F$14)/$F$8*100,"")</f>
        <v/>
      </c>
    </row>
    <row r="85" ht="16" customHeight="1">
      <c r="A85" s="7" t="inlineStr">
        <is>
          <t>Aktivernes omsætningshastighed (af bruttofortjeneste), gange</t>
        </is>
      </c>
      <c r="B85" s="13">
        <f>IFERROR($B$8/$B$48,"")</f>
        <v/>
      </c>
      <c r="C85" s="13">
        <f>IFERROR($C$8/$C$48,"")</f>
        <v/>
      </c>
      <c r="D85" s="13">
        <f>IFERROR($D$8/$D$48,"")</f>
        <v/>
      </c>
      <c r="E85" s="13">
        <f>IFERROR($E$8/$E$48,"")</f>
        <v/>
      </c>
      <c r="F85" s="13">
        <f>IFERROR($F$8/$F$48,"")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'pengestrom_raw_25449746'!$B$2</f>
        <v/>
      </c>
      <c r="C96" s="17">
        <f>'pengestrom_raw_25449746'!$C$2</f>
        <v/>
      </c>
      <c r="D96" s="17">
        <f>'pengestrom_raw_25449746'!$D$2</f>
        <v/>
      </c>
      <c r="E96" s="17">
        <f>'pengestrom_raw_25449746'!$E$2</f>
        <v/>
      </c>
      <c r="F96" s="17">
        <f>'pengestrom_raw_25449746'!$F$2</f>
        <v/>
      </c>
    </row>
    <row r="97">
      <c r="A97" s="16" t="inlineStr">
        <is>
          <t>Pengestrømme fra investeringsaktivitet</t>
        </is>
      </c>
      <c r="B97" s="17">
        <f>'pengestrom_raw_25449746'!$B$3</f>
        <v/>
      </c>
      <c r="C97" s="17">
        <f>'pengestrom_raw_25449746'!$C$3</f>
        <v/>
      </c>
      <c r="D97" s="17">
        <f>'pengestrom_raw_25449746'!$D$3</f>
        <v/>
      </c>
      <c r="E97" s="17">
        <f>'pengestrom_raw_25449746'!$E$3</f>
        <v/>
      </c>
      <c r="F97" s="17">
        <f>'pengestrom_raw_25449746'!$F$3</f>
        <v/>
      </c>
    </row>
    <row r="98">
      <c r="A98" s="16" t="inlineStr">
        <is>
          <t>Pengestrømme fra finansieringsaktivitet</t>
        </is>
      </c>
      <c r="B98" s="17">
        <f>'pengestrom_raw_25449746'!$B$4</f>
        <v/>
      </c>
      <c r="C98" s="17">
        <f>'pengestrom_raw_25449746'!$C$4</f>
        <v/>
      </c>
      <c r="D98" s="17">
        <f>'pengestrom_raw_25449746'!$D$4</f>
        <v/>
      </c>
      <c r="E98" s="17">
        <f>'pengestrom_raw_25449746'!$E$4</f>
        <v/>
      </c>
      <c r="F98" s="17">
        <f>'pengestrom_raw_25449746'!$F$4</f>
        <v/>
      </c>
    </row>
    <row r="99">
      <c r="A99" s="16" t="inlineStr">
        <is>
          <t>Årets pengestrøm (rapporteret)</t>
        </is>
      </c>
      <c r="B99" s="17">
        <f>'pengestrom_raw_25449746'!$B$5</f>
        <v/>
      </c>
      <c r="C99" s="17">
        <f>'pengestrom_raw_25449746'!$C$5</f>
        <v/>
      </c>
      <c r="D99" s="17">
        <f>'pengestrom_raw_25449746'!$D$5</f>
        <v/>
      </c>
      <c r="E99" s="17">
        <f>'pengestrom_raw_25449746'!$E$5</f>
        <v/>
      </c>
      <c r="F99" s="17">
        <f>'pengestrom_raw_25449746'!$F$5</f>
        <v/>
      </c>
    </row>
    <row r="100">
      <c r="A100" s="16" t="inlineStr">
        <is>
          <t>Krydstjek: drift + inv. + fin. = årets pengestrøm</t>
        </is>
      </c>
      <c r="B100">
        <f>IF(ABS(('pengestrom_raw_25449746'!$B$2+'pengestrom_raw_25449746'!$B$3+'pengestrom_raw_25449746'!$B$4)-'pengestrom_raw_25449746'!$B$5)&lt;=2,"✓","⚠ "&amp;TEXT(('pengestrom_raw_25449746'!$B$2+'pengestrom_raw_25449746'!$B$3+'pengestrom_raw_25449746'!$B$4)-'pengestrom_raw_25449746'!$B$5,"+#,##0;-#,##0"))</f>
        <v/>
      </c>
      <c r="C100">
        <f>IF(ABS(('pengestrom_raw_25449746'!$C$2+'pengestrom_raw_25449746'!$C$3+'pengestrom_raw_25449746'!$C$4)-'pengestrom_raw_25449746'!$C$5)&lt;=2,"✓","⚠ "&amp;TEXT(('pengestrom_raw_25449746'!$C$2+'pengestrom_raw_25449746'!$C$3+'pengestrom_raw_25449746'!$C$4)-'pengestrom_raw_25449746'!$C$5,"+#,##0;-#,##0"))</f>
        <v/>
      </c>
      <c r="D100">
        <f>IF(ABS(('pengestrom_raw_25449746'!$D$2+'pengestrom_raw_25449746'!$D$3+'pengestrom_raw_25449746'!$D$4)-'pengestrom_raw_25449746'!$D$5)&lt;=2,"✓","⚠ "&amp;TEXT(('pengestrom_raw_25449746'!$D$2+'pengestrom_raw_25449746'!$D$3+'pengestrom_raw_25449746'!$D$4)-'pengestrom_raw_25449746'!$D$5,"+#,##0;-#,##0"))</f>
        <v/>
      </c>
      <c r="E100">
        <f>IF(ABS(('pengestrom_raw_25449746'!$E$2+'pengestrom_raw_25449746'!$E$3+'pengestrom_raw_25449746'!$E$4)-'pengestrom_raw_25449746'!$E$5)&lt;=2,"✓","⚠ "&amp;TEXT(('pengestrom_raw_25449746'!$E$2+'pengestrom_raw_25449746'!$E$3+'pengestrom_raw_25449746'!$E$4)-'pengestrom_raw_25449746'!$E$5,"+#,##0;-#,##0"))</f>
        <v/>
      </c>
      <c r="F100">
        <f>IF(ABS(('pengestrom_raw_25449746'!$F$2+'pengestrom_raw_25449746'!$F$3+'pengestrom_raw_25449746'!$F$4)-'pengestrom_raw_25449746'!$F$5)&lt;=2,"✓","⚠ "&amp;TEXT(('pengestrom_raw_25449746'!$F$2+'pengestrom_raw_25449746'!$F$3+'pengestrom_raw_25449746'!$F$4)-'pengestrom_raw_25449746'!$F$5,"+#,##0;-#,##0"))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-12</v>
      </c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13510</v>
      </c>
      <c r="C6" s="17" t="n">
        <v>4064</v>
      </c>
      <c r="D6" s="17" t="n">
        <v>15193</v>
      </c>
      <c r="E6" s="17" t="n">
        <v>25751</v>
      </c>
      <c r="F6" s="17" t="n">
        <v>72273</v>
      </c>
    </row>
    <row r="7">
      <c r="A7" s="16" t="inlineStr">
        <is>
          <t>Personaleomkostninger</t>
        </is>
      </c>
      <c r="B7" s="17" t="n">
        <v>45559</v>
      </c>
      <c r="C7" s="17" t="n">
        <v>60033</v>
      </c>
      <c r="D7" s="17" t="n">
        <v>65746</v>
      </c>
      <c r="E7" s="17" t="n">
        <v>68637</v>
      </c>
      <c r="F7" s="17" t="n">
        <v>73369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11049</v>
      </c>
      <c r="C9" s="17" t="n">
        <v>13783</v>
      </c>
      <c r="D9" s="17" t="n">
        <v>16423</v>
      </c>
      <c r="E9" s="17" t="n">
        <v>17519</v>
      </c>
      <c r="F9" s="17" t="n">
        <v>18268</v>
      </c>
    </row>
    <row r="10">
      <c r="A10" s="16" t="inlineStr">
        <is>
          <t>Andre driftsomkostninger</t>
        </is>
      </c>
      <c r="B10" s="17" t="n"/>
      <c r="C10" s="17" t="n">
        <v>51</v>
      </c>
      <c r="D10" s="17" t="n">
        <v>0</v>
      </c>
      <c r="E10" s="17" t="n">
        <v>6274</v>
      </c>
      <c r="F10" s="17" t="n">
        <v>0</v>
      </c>
    </row>
    <row r="11">
      <c r="A11" s="15" t="inlineStr">
        <is>
          <t>Resultat af primær drift</t>
        </is>
      </c>
      <c r="B11" s="17" t="n">
        <v>-43098</v>
      </c>
      <c r="C11" s="17" t="n">
        <v>-69803</v>
      </c>
      <c r="D11" s="17" t="n">
        <v>-66977</v>
      </c>
      <c r="E11" s="17" t="n">
        <v>-66679</v>
      </c>
      <c r="F11" s="17" t="n">
        <v>-19365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1102</v>
      </c>
      <c r="C13" s="17" t="n">
        <v>113</v>
      </c>
      <c r="D13" s="17" t="n">
        <v>1439</v>
      </c>
      <c r="E13" s="17" t="n">
        <v>509</v>
      </c>
      <c r="F13" s="17" t="n">
        <v>10</v>
      </c>
    </row>
    <row r="14">
      <c r="A14" s="16" t="inlineStr">
        <is>
          <t>Finansielle omkostninger</t>
        </is>
      </c>
      <c r="B14" s="17" t="n">
        <v>5193</v>
      </c>
      <c r="C14" s="17" t="n">
        <v>16666</v>
      </c>
      <c r="D14" s="17" t="n">
        <v>16008</v>
      </c>
      <c r="E14" s="17" t="n">
        <v>16151</v>
      </c>
      <c r="F14" s="17" t="n">
        <v>17566</v>
      </c>
    </row>
    <row r="15">
      <c r="A15" s="15" t="inlineStr">
        <is>
          <t>Finansielle poster, netto</t>
        </is>
      </c>
      <c r="B15" s="17" t="n">
        <v>-4091</v>
      </c>
      <c r="C15" s="17" t="n">
        <v>-16553</v>
      </c>
      <c r="D15" s="17" t="n">
        <v>-14568</v>
      </c>
      <c r="E15" s="17" t="n">
        <v>-15642</v>
      </c>
      <c r="F15" s="17" t="n">
        <v>-17556</v>
      </c>
    </row>
    <row r="16">
      <c r="A16" s="15" t="inlineStr">
        <is>
          <t>Resultat før skat</t>
        </is>
      </c>
      <c r="B16" s="17" t="n">
        <v>-47189</v>
      </c>
      <c r="C16" s="17" t="n">
        <v>-86356</v>
      </c>
      <c r="D16" s="17" t="n">
        <v>-83184</v>
      </c>
      <c r="E16" s="17" t="n">
        <v>-82321</v>
      </c>
      <c r="F16" s="17" t="n">
        <v>-36921</v>
      </c>
    </row>
    <row r="17">
      <c r="A17" s="16" t="inlineStr">
        <is>
          <t>Skat af årets resultat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-47189</v>
      </c>
      <c r="C18" s="17" t="n">
        <v>-86356</v>
      </c>
      <c r="D18" s="17" t="n">
        <v>-83184</v>
      </c>
      <c r="E18" s="17" t="n">
        <v>-82321</v>
      </c>
      <c r="F18" s="17" t="n">
        <v>-36921</v>
      </c>
    </row>
    <row r="19">
      <c r="A19" s="16" t="inlineStr">
        <is>
          <t>Gns. antal medarbejdere</t>
        </is>
      </c>
      <c r="B19" s="17" t="n">
        <v>97</v>
      </c>
      <c r="C19" s="17" t="n">
        <v>117</v>
      </c>
      <c r="D19" s="17" t="n">
        <v>121</v>
      </c>
      <c r="E19" s="17" t="n">
        <v>125</v>
      </c>
      <c r="F19" s="17" t="n">
        <v>129</v>
      </c>
    </row>
    <row r="20">
      <c r="A20" s="16" t="inlineStr">
        <is>
          <t>Investering i materielle anlægsaktiver</t>
        </is>
      </c>
      <c r="B20" s="17" t="n">
        <v>102731</v>
      </c>
      <c r="C20" s="17" t="n">
        <v>79567</v>
      </c>
      <c r="D20" s="17" t="n">
        <v>40699</v>
      </c>
      <c r="E20" s="17" t="n">
        <v>15554</v>
      </c>
      <c r="F20" s="17" t="n">
        <v>2865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84923</v>
      </c>
      <c r="C2" s="17" t="n">
        <v>211084</v>
      </c>
      <c r="D2" s="17" t="n">
        <v>216594</v>
      </c>
      <c r="E2" s="17" t="n">
        <v>213285</v>
      </c>
      <c r="F2" s="17" t="n">
        <v>195801</v>
      </c>
    </row>
    <row r="3">
      <c r="A3" s="16" t="inlineStr">
        <is>
          <t>Produktionsanlæg og maskiner</t>
        </is>
      </c>
      <c r="B3" s="17" t="n">
        <v>28109</v>
      </c>
      <c r="C3" s="17" t="n">
        <v>31457</v>
      </c>
      <c r="D3" s="17" t="n">
        <v>30817</v>
      </c>
      <c r="E3" s="17" t="n">
        <v>27841</v>
      </c>
      <c r="F3" s="17" t="n">
        <v>17416</v>
      </c>
    </row>
    <row r="4">
      <c r="A4" s="16" t="inlineStr">
        <is>
          <t>Driftsmateriel og inventar</t>
        </is>
      </c>
      <c r="B4" s="17" t="n">
        <v>30482</v>
      </c>
      <c r="C4" s="17" t="n">
        <v>34302</v>
      </c>
      <c r="D4" s="17" t="n">
        <v>36164</v>
      </c>
      <c r="E4" s="17" t="n">
        <v>40767</v>
      </c>
      <c r="F4" s="17" t="n">
        <v>36105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66740</v>
      </c>
      <c r="C6" s="17" t="n">
        <v>0</v>
      </c>
      <c r="D6" s="17" t="n">
        <v>12644</v>
      </c>
      <c r="E6" s="17" t="n">
        <v>12768</v>
      </c>
      <c r="F6" s="17" t="n">
        <v>13418</v>
      </c>
    </row>
    <row r="7">
      <c r="A7" s="15" t="inlineStr">
        <is>
          <t>Materielle anlægsaktiver</t>
        </is>
      </c>
      <c r="B7" s="17" t="n">
        <v>232842</v>
      </c>
      <c r="C7" s="17" t="n">
        <v>298472</v>
      </c>
      <c r="D7" s="17" t="n">
        <v>322748</v>
      </c>
      <c r="E7" s="17" t="n">
        <v>320657</v>
      </c>
      <c r="F7" s="17" t="n">
        <v>262740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161</v>
      </c>
      <c r="C9" s="17" t="n">
        <v>80</v>
      </c>
      <c r="D9" s="17" t="n">
        <v>80</v>
      </c>
      <c r="E9" s="17" t="n">
        <v>95</v>
      </c>
      <c r="F9" s="17" t="n">
        <v>65</v>
      </c>
    </row>
    <row r="10">
      <c r="A10" s="15" t="inlineStr">
        <is>
          <t>Finansielle anlægsaktiver</t>
        </is>
      </c>
      <c r="B10" s="17" t="n">
        <v>183</v>
      </c>
      <c r="C10" s="17" t="n">
        <v>104</v>
      </c>
      <c r="D10" s="17" t="n">
        <v>105</v>
      </c>
      <c r="E10" s="17" t="n">
        <v>121</v>
      </c>
      <c r="F10" s="17" t="n">
        <v>91</v>
      </c>
    </row>
    <row r="11">
      <c r="A11" s="15" t="inlineStr">
        <is>
          <t>Anlægsaktiver</t>
        </is>
      </c>
      <c r="B11" s="17" t="n">
        <v>233025</v>
      </c>
      <c r="C11" s="17" t="n">
        <v>298576</v>
      </c>
      <c r="D11" s="17" t="n">
        <v>322853</v>
      </c>
      <c r="E11" s="17" t="n">
        <v>320778</v>
      </c>
      <c r="F11" s="17" t="n">
        <v>262831</v>
      </c>
    </row>
    <row r="12">
      <c r="A12" s="16" t="inlineStr">
        <is>
          <t>Råvarer og hjælpematerialer</t>
        </is>
      </c>
      <c r="B12" s="17" t="n">
        <v>336</v>
      </c>
      <c r="C12" s="17" t="n">
        <v>604</v>
      </c>
      <c r="D12" s="17" t="n">
        <v>541</v>
      </c>
      <c r="E12" s="17" t="n">
        <v>54</v>
      </c>
      <c r="F12" s="17" t="n">
        <v>90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3624</v>
      </c>
      <c r="C14" s="17" t="n">
        <v>4411</v>
      </c>
      <c r="D14" s="17" t="n">
        <v>5887</v>
      </c>
      <c r="E14" s="17" t="n">
        <v>4843</v>
      </c>
      <c r="F14" s="17" t="n">
        <v>3941</v>
      </c>
    </row>
    <row r="15">
      <c r="A15" s="15" t="inlineStr">
        <is>
          <t>Varebeholdninger</t>
        </is>
      </c>
      <c r="B15" s="17" t="n">
        <v>3960</v>
      </c>
      <c r="C15" s="17" t="n">
        <v>5016</v>
      </c>
      <c r="D15" s="17" t="n">
        <v>6428</v>
      </c>
      <c r="E15" s="17" t="n">
        <v>4897</v>
      </c>
      <c r="F15" s="17" t="n">
        <v>4031</v>
      </c>
    </row>
    <row r="16">
      <c r="A16" s="16" t="inlineStr">
        <is>
          <t>Tilgodehavender fra salg og tjenesteydelser</t>
        </is>
      </c>
      <c r="B16" s="17" t="n">
        <v>1641</v>
      </c>
      <c r="C16" s="17" t="n">
        <v>1690</v>
      </c>
      <c r="D16" s="17" t="n">
        <v>2776</v>
      </c>
      <c r="E16" s="17" t="n">
        <v>3306</v>
      </c>
      <c r="F16" s="17" t="n">
        <v>3057</v>
      </c>
    </row>
    <row r="17">
      <c r="A17" s="16" t="inlineStr">
        <is>
          <t>Tilgodehavender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Andre tilgodehavender</t>
        </is>
      </c>
      <c r="B18" s="17" t="n">
        <v>14783</v>
      </c>
      <c r="C18" s="17" t="n">
        <v>8137</v>
      </c>
      <c r="D18" s="17" t="n">
        <v>5970</v>
      </c>
      <c r="E18" s="17" t="n">
        <v>3383</v>
      </c>
      <c r="F18" s="17" t="n">
        <v>3194</v>
      </c>
    </row>
    <row r="19">
      <c r="A19" s="16" t="inlineStr">
        <is>
          <t>Periodeafgrænsningsposter (aktiver)</t>
        </is>
      </c>
      <c r="B19" s="17" t="n">
        <v>5843</v>
      </c>
      <c r="C19" s="17" t="n">
        <v>6330</v>
      </c>
      <c r="D19" s="17" t="n">
        <v>5544</v>
      </c>
      <c r="E19" s="17" t="n">
        <v>3225</v>
      </c>
      <c r="F19" s="17" t="n">
        <v>4616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22267</v>
      </c>
      <c r="C23" s="17" t="n">
        <v>16157</v>
      </c>
      <c r="D23" s="17" t="n">
        <v>14290</v>
      </c>
      <c r="E23" s="17" t="n">
        <v>9914</v>
      </c>
      <c r="F23" s="17" t="n">
        <v>10867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92845</v>
      </c>
      <c r="C25" s="17" t="n">
        <v>153564</v>
      </c>
      <c r="D25" s="17" t="n">
        <v>60010</v>
      </c>
      <c r="E25" s="17" t="n">
        <v>466</v>
      </c>
      <c r="F25" s="17" t="n">
        <v>70089</v>
      </c>
    </row>
    <row r="26">
      <c r="A26" s="15" t="inlineStr">
        <is>
          <t>Omsætningsaktiver</t>
        </is>
      </c>
      <c r="B26" s="17" t="n">
        <v>119072</v>
      </c>
      <c r="C26" s="17" t="n">
        <v>174737</v>
      </c>
      <c r="D26" s="17" t="n">
        <v>80728</v>
      </c>
      <c r="E26" s="17" t="n">
        <v>15277</v>
      </c>
      <c r="F26" s="17" t="n">
        <v>84987</v>
      </c>
    </row>
    <row r="27">
      <c r="A27" s="15" t="inlineStr">
        <is>
          <t>Aktiver</t>
        </is>
      </c>
      <c r="B27" s="17" t="n">
        <v>352098</v>
      </c>
      <c r="C27" s="17" t="n">
        <v>473313</v>
      </c>
      <c r="D27" s="17" t="n">
        <v>403581</v>
      </c>
      <c r="E27" s="17" t="n">
        <v>336055</v>
      </c>
      <c r="F27" s="17" t="n">
        <v>347818</v>
      </c>
    </row>
    <row r="28">
      <c r="A28" s="16" t="inlineStr">
        <is>
          <t>Selskabskapital</t>
        </is>
      </c>
      <c r="B28" s="17" t="n">
        <v>162101</v>
      </c>
      <c r="C28" s="17" t="n">
        <v>200400</v>
      </c>
      <c r="D28" s="17" t="n">
        <v>200400</v>
      </c>
      <c r="E28" s="17" t="n">
        <v>200400</v>
      </c>
      <c r="F28" s="17" t="n">
        <v>200400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-52747</v>
      </c>
      <c r="C33" s="17" t="n">
        <v>22598</v>
      </c>
      <c r="D33" s="17" t="n">
        <v>-60586</v>
      </c>
      <c r="E33" s="17" t="n">
        <v>-142907</v>
      </c>
      <c r="F33" s="17" t="n">
        <v>-179828</v>
      </c>
    </row>
    <row r="34">
      <c r="A34" s="15" t="inlineStr">
        <is>
          <t>Egenkapital i alt</t>
        </is>
      </c>
      <c r="B34" s="17" t="n">
        <v>109354</v>
      </c>
      <c r="C34" s="17" t="n">
        <v>222998</v>
      </c>
      <c r="D34" s="17" t="n">
        <v>139814</v>
      </c>
      <c r="E34" s="17" t="n">
        <v>57493</v>
      </c>
      <c r="F34" s="17" t="n">
        <v>20572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4780</v>
      </c>
      <c r="C36" s="17" t="n">
        <v>3580</v>
      </c>
      <c r="D36" s="17" t="n">
        <v>2380</v>
      </c>
      <c r="E36" s="17" t="n">
        <v>1180</v>
      </c>
      <c r="F36" s="17" t="n">
        <v>0</v>
      </c>
    </row>
    <row r="37">
      <c r="A37" s="16" t="inlineStr">
        <is>
          <t>Leasingforpligtelser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Anden gæld (langfristet)</t>
        </is>
      </c>
      <c r="B38" s="17" t="n">
        <v>204499</v>
      </c>
      <c r="C38" s="17" t="n">
        <v>204545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209279</v>
      </c>
      <c r="C39" s="17" t="n">
        <v>208125</v>
      </c>
      <c r="D39" s="17" t="n">
        <v>207050</v>
      </c>
      <c r="E39" s="17" t="n">
        <v>205808</v>
      </c>
      <c r="F39" s="17" t="n">
        <v>204747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1275</v>
      </c>
      <c r="C41" s="17" t="n">
        <v>1268</v>
      </c>
      <c r="D41" s="17" t="n">
        <v>1254</v>
      </c>
      <c r="E41" s="17" t="n">
        <v>1394</v>
      </c>
      <c r="F41" s="17" t="n">
        <v>1253</v>
      </c>
    </row>
    <row r="42">
      <c r="A42" s="16" t="inlineStr">
        <is>
          <t>Kreditinstitutter</t>
        </is>
      </c>
      <c r="B42" s="17" t="n"/>
      <c r="C42" s="17" t="n"/>
      <c r="D42" s="17" t="n"/>
      <c r="E42" s="17" t="n">
        <v>3911</v>
      </c>
      <c r="F42" s="17" t="n">
        <v>38793</v>
      </c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21951</v>
      </c>
      <c r="C44" s="17" t="n">
        <v>14359</v>
      </c>
      <c r="D44" s="17" t="n">
        <v>10695</v>
      </c>
      <c r="E44" s="17" t="n">
        <v>8406</v>
      </c>
      <c r="F44" s="17" t="n">
        <v>8741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10239</v>
      </c>
      <c r="C49" s="17" t="n">
        <v>26563</v>
      </c>
      <c r="D49" s="17" t="n">
        <v>44753</v>
      </c>
      <c r="E49" s="17" t="n">
        <v>59043</v>
      </c>
      <c r="F49" s="17" t="n">
        <v>73713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16</v>
      </c>
      <c r="E50" s="17" t="n">
        <v>0</v>
      </c>
      <c r="F50" s="17" t="n"/>
    </row>
    <row r="51">
      <c r="A51" s="15" t="inlineStr">
        <is>
          <t>Kortfristede gældsforpligtelser</t>
        </is>
      </c>
      <c r="B51" s="17" t="n">
        <v>33465</v>
      </c>
      <c r="C51" s="17" t="n">
        <v>42190</v>
      </c>
      <c r="D51" s="17" t="n">
        <v>56717</v>
      </c>
      <c r="E51" s="17" t="n">
        <v>72754</v>
      </c>
      <c r="F51" s="17" t="n">
        <v>122499</v>
      </c>
    </row>
    <row r="52">
      <c r="A52" s="15" t="inlineStr">
        <is>
          <t>Gældsforpligtelser</t>
        </is>
      </c>
      <c r="B52" s="17" t="n">
        <v>242744</v>
      </c>
      <c r="C52" s="17" t="n">
        <v>250315</v>
      </c>
      <c r="D52" s="17" t="n">
        <v>263767</v>
      </c>
      <c r="E52" s="17" t="n">
        <v>278562</v>
      </c>
      <c r="F52" s="17" t="n">
        <v>327246</v>
      </c>
    </row>
    <row r="53">
      <c r="A53" s="15" t="inlineStr">
        <is>
          <t>Passiver</t>
        </is>
      </c>
      <c r="B53" s="17" t="n">
        <v>352098</v>
      </c>
      <c r="C53" s="17" t="n">
        <v>473313</v>
      </c>
      <c r="D53" s="17" t="n">
        <v>403581</v>
      </c>
      <c r="E53" s="17" t="n">
        <v>336055</v>
      </c>
      <c r="F53" s="17" t="n">
        <v>347818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-36743</v>
      </c>
      <c r="C2" s="17" t="n">
        <v>-58659</v>
      </c>
      <c r="D2" s="17" t="n">
        <v>-51952</v>
      </c>
      <c r="E2" s="17" t="n">
        <v>-46836</v>
      </c>
      <c r="F2" s="17" t="n">
        <v>-30954</v>
      </c>
    </row>
    <row r="3">
      <c r="A3" s="16" t="inlineStr">
        <is>
          <t>Pengestrømme fra investeringsaktivitet</t>
        </is>
      </c>
      <c r="B3" s="17" t="n">
        <v>-81929</v>
      </c>
      <c r="C3" s="17" t="n">
        <v>-79462</v>
      </c>
      <c r="D3" s="17" t="n">
        <v>-40514</v>
      </c>
      <c r="E3" s="17" t="n">
        <v>-15518</v>
      </c>
      <c r="F3" s="17" t="n">
        <v>66899</v>
      </c>
    </row>
    <row r="4">
      <c r="A4" s="16" t="inlineStr">
        <is>
          <t>Pengestrømme fra finansieringsaktivitet</t>
        </is>
      </c>
      <c r="B4" s="17" t="n">
        <v>198713</v>
      </c>
      <c r="C4" s="17" t="n">
        <v>198840</v>
      </c>
      <c r="D4" s="17" t="n">
        <v>-1089</v>
      </c>
      <c r="E4" s="17" t="n">
        <v>2809</v>
      </c>
      <c r="F4" s="17" t="n">
        <v>33679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Aarhus Airport A/S (CVR 25449746) — Regnskabs- og nøgletal (CVR: 25449746)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'res_raw_25449746'!$F$2</f>
        <v/>
      </c>
      <c r="C5" s="24">
        <f>'res_raw_25449746'!$E$2</f>
        <v/>
      </c>
      <c r="D5" s="24">
        <f>'res_raw_25449746'!$D$2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'res_raw_25449746'!$F$3</f>
        <v/>
      </c>
      <c r="C6" s="24">
        <f>'res_raw_25449746'!$E$3</f>
        <v/>
      </c>
      <c r="D6" s="24">
        <f>'res_raw_25449746'!$D$3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-'res_raw_25449746'!$F$4</f>
        <v/>
      </c>
      <c r="C7" s="24">
        <f>-'res_raw_25449746'!$E$4</f>
        <v/>
      </c>
      <c r="D7" s="24">
        <f>-'res_raw_25449746'!$D$4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-'res_raw_25449746'!$F$5</f>
        <v/>
      </c>
      <c r="C8" s="24">
        <f>-'res_raw_25449746'!$E$5</f>
        <v/>
      </c>
      <c r="D8" s="24">
        <f>-'res_raw_25449746'!$D$5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IF(ABS((SUM(B5:B8))-'res_raw_25449746'!$F$6)&lt;=2,SUM(B5:B8),'res_raw_25449746'!$F$6)</f>
        <v/>
      </c>
      <c r="C9" s="27">
        <f>IF(ABS((SUM(C5:C8))-'res_raw_25449746'!$E$6)&lt;=2,SUM(C5:C8),'res_raw_25449746'!$E$6)</f>
        <v/>
      </c>
      <c r="D9" s="27">
        <f>IF(ABS((SUM(D5:D8))-'res_raw_25449746'!$D$6)&lt;=2,SUM(D5:D8),'res_raw_25449746'!$D$6)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-'res_raw_25449746'!$F$7</f>
        <v/>
      </c>
      <c r="C10" s="24">
        <f>-'res_raw_25449746'!$E$7</f>
        <v/>
      </c>
      <c r="D10" s="24">
        <f>-'res_raw_25449746'!$D$7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-'res_raw_25449746'!$F$9</f>
        <v/>
      </c>
      <c r="C11" s="24">
        <f>-'res_raw_25449746'!$E$9</f>
        <v/>
      </c>
      <c r="D11" s="24">
        <f>-'res_raw_25449746'!$D$9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-'res_raw_25449746'!$F$10</f>
        <v/>
      </c>
      <c r="C12" s="24">
        <f>-'res_raw_25449746'!$E$10</f>
        <v/>
      </c>
      <c r="D12" s="24">
        <f>-'res_raw_25449746'!$D$10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IF(ABS((SUM(B9:B12))-'res_raw_25449746'!$F$11)&lt;=2,SUM(B9:B12),'res_raw_25449746'!$F$11)</f>
        <v/>
      </c>
      <c r="C13" s="27">
        <f>IF(ABS((SUM(C9:C12))-'res_raw_25449746'!$E$11)&lt;=2,SUM(C9:C12),'res_raw_25449746'!$E$11)</f>
        <v/>
      </c>
      <c r="D13" s="27">
        <f>IF(ABS((SUM(D9:D12))-'res_raw_25449746'!$D$11)&lt;=2,SUM(D9:D12),'res_raw_25449746'!$D$11)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N('res_raw_25449746'!$F$12)+N('res_raw_25449746'!$F$13)</f>
        <v/>
      </c>
      <c r="C14" s="24">
        <f>N('res_raw_25449746'!$E$12)+N('res_raw_25449746'!$E$13)</f>
        <v/>
      </c>
      <c r="D14" s="24">
        <f>N('res_raw_25449746'!$D$12)+N('res_raw_25449746'!$D$13)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-'res_raw_25449746'!$F$14</f>
        <v/>
      </c>
      <c r="C15" s="24">
        <f>-'res_raw_25449746'!$E$14</f>
        <v/>
      </c>
      <c r="D15" s="24">
        <f>-'res_raw_25449746'!$D$14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IF(ABS((SUM(B13:B15))-'res_raw_25449746'!$F$16)&lt;=2,SUM(B13:B15),'res_raw_25449746'!$F$16)</f>
        <v/>
      </c>
      <c r="C16" s="27">
        <f>IF(ABS((SUM(C13:C15))-'res_raw_25449746'!$E$16)&lt;=2,SUM(C13:C15),'res_raw_25449746'!$E$16)</f>
        <v/>
      </c>
      <c r="D16" s="27">
        <f>IF(ABS((SUM(D13:D15))-'res_raw_25449746'!$D$16)&lt;=2,SUM(D13:D15),'res_raw_25449746'!$D$16)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'balance_raw_25449746'!$F$11</f>
        <v/>
      </c>
      <c r="C19" s="24">
        <f>'balance_raw_25449746'!$E$11</f>
        <v/>
      </c>
      <c r="D19" s="24">
        <f>'balance_raw_25449746'!$D$11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'balance_raw_25449746'!$F$26</f>
        <v/>
      </c>
      <c r="C20" s="24">
        <f>'balance_raw_25449746'!$E$26</f>
        <v/>
      </c>
      <c r="D20" s="24">
        <f>'balance_raw_25449746'!$D$26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'balance_raw_25449746'!$F$34</f>
        <v/>
      </c>
      <c r="C23" s="24">
        <f>'balance_raw_25449746'!$E$34</f>
        <v/>
      </c>
      <c r="D23" s="24">
        <f>'balance_raw_25449746'!$D$34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'balance_raw_25449746'!$F$53-'balance_raw_25449746'!$F$34</f>
        <v/>
      </c>
      <c r="C24" s="24">
        <f>'balance_raw_25449746'!$E$53-'balance_raw_25449746'!$E$34</f>
        <v/>
      </c>
      <c r="D24" s="24">
        <f>'balance_raw_25449746'!$D$53-'balance_raw_25449746'!$D$34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'balance_raw_25449746'!$F$15</f>
        <v/>
      </c>
      <c r="C28" s="24">
        <f>'balance_raw_25449746'!$E$15</f>
        <v/>
      </c>
      <c r="D28" s="24">
        <f>'balance_raw_25449746'!$D$15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'balance_raw_25449746'!$F$16</f>
        <v/>
      </c>
      <c r="C29" s="24">
        <f>'balance_raw_25449746'!$E$16</f>
        <v/>
      </c>
      <c r="D29" s="24">
        <f>'balance_raw_25449746'!$D$16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'balance_raw_25449746'!$F$51</f>
        <v/>
      </c>
      <c r="C30" s="24">
        <f>'balance_raw_25449746'!$E$51</f>
        <v/>
      </c>
      <c r="D30" s="24">
        <f>'balance_raw_25449746'!$D$51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IF('balance_raw_25449746'!$F$27="","—",IF(ABS(B21-'balance_raw_25449746'!$F$27)&lt;=1,"✓ OK","❌ "&amp;TEXT(B21-'balance_raw_25449746'!$F$27,"+#,##0;-#,##0")&amp;" t.kr."))</f>
        <v/>
      </c>
      <c r="C61" s="29">
        <f>IF('balance_raw_25449746'!$E$27="","—",IF(ABS(C21-'balance_raw_25449746'!$E$27)&lt;=1,"✓ OK","❌ "&amp;TEXT(C21-'balance_raw_25449746'!$E$27,"+#,##0;-#,##0")&amp;" t.kr."))</f>
        <v/>
      </c>
      <c r="D61" s="29">
        <f>IF('balance_raw_25449746'!$D$27="","—",IF(ABS(D21-'balance_raw_25449746'!$D$27)&lt;=1,"✓ OK","❌ "&amp;TEXT(D21-'balance_raw_25449746'!$D$27,"+#,##0;-#,##0")&amp;"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IF('balance_raw_25449746'!$F$53="","—",IF(ABS(B25-'balance_raw_25449746'!$F$53)&lt;=1,"✓ OK","❌ "&amp;TEXT(B25-'balance_raw_25449746'!$F$53,"+#,##0;-#,##0")&amp;" t.kr."))</f>
        <v/>
      </c>
      <c r="C62" s="29">
        <f>IF('balance_raw_25449746'!$E$53="","—",IF(ABS(C25-'balance_raw_25449746'!$E$53)&lt;=1,"✓ OK","❌ "&amp;TEXT(C25-'balance_raw_25449746'!$E$53,"+#,##0;-#,##0")&amp;" t.kr."))</f>
        <v/>
      </c>
      <c r="D62" s="29">
        <f>IF('balance_raw_25449746'!$D$53="","—",IF(ABS(D25-'balance_raw_25449746'!$D$53)&lt;=1,"✓ OK","❌ "&amp;TEXT(D25-'balance_raw_25449746'!$D$53,"+#,##0;-#,##0")&amp;"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IF('res_raw_25449746'!$F$6="","—",IF(ABS(B9-'res_raw_25449746'!$F$6)&lt;=1,"✓ OK","❌ "&amp;TEXT(B9-'res_raw_25449746'!$F$6,"+#,##0;-#,##0")&amp;" t.kr."))</f>
        <v/>
      </c>
      <c r="C64" s="29">
        <f>IF('res_raw_25449746'!$E$6="","—",IF(ABS(C9-'res_raw_25449746'!$E$6)&lt;=1,"✓ OK","❌ "&amp;TEXT(C9-'res_raw_25449746'!$E$6,"+#,##0;-#,##0")&amp;" t.kr."))</f>
        <v/>
      </c>
      <c r="D64" s="29">
        <f>IF('res_raw_25449746'!$D$6="","—",IF(ABS(D9-'res_raw_25449746'!$D$6)&lt;=1,"✓ OK","❌ "&amp;TEXT(D9-'res_raw_25449746'!$D$6,"+#,##0;-#,##0")&amp;"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IF('res_raw_25449746'!$F$11="","—",IF(ABS(B13-'res_raw_25449746'!$F$11)&lt;=1,"✓ OK","❌ "&amp;TEXT(B13-'res_raw_25449746'!$F$11,"+#,##0;-#,##0")&amp;" t.kr."))</f>
        <v/>
      </c>
      <c r="C65" s="29">
        <f>IF('res_raw_25449746'!$E$11="","—",IF(ABS(C13-'res_raw_25449746'!$E$11)&lt;=1,"✓ OK","❌ "&amp;TEXT(C13-'res_raw_25449746'!$E$11,"+#,##0;-#,##0")&amp;" t.kr."))</f>
        <v/>
      </c>
      <c r="D65" s="29">
        <f>IF('res_raw_25449746'!$D$11="","—",IF(ABS(D13-'res_raw_25449746'!$D$11)&lt;=1,"✓ OK","❌ "&amp;TEXT(D13-'res_raw_25449746'!$D$11,"+#,##0;-#,##0")&amp;"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IF('res_raw_25449746'!$F$16="","—",IF(ABS(B16-'res_raw_25449746'!$F$16)&lt;=1,"✓ OK","❌ "&amp;TEXT(B16-'res_raw_25449746'!$F$16,"+#,##0;-#,##0")&amp;" t.kr."))</f>
        <v/>
      </c>
      <c r="C66" s="29">
        <f>IF('res_raw_25449746'!$E$16="","—",IF(ABS(C16-'res_raw_25449746'!$E$16)&lt;=1,"✓ OK","❌ "&amp;TEXT(C16-'res_raw_25449746'!$E$16,"+#,##0;-#,##0")&amp;" t.kr."))</f>
        <v/>
      </c>
      <c r="D66" s="29">
        <f>IF('res_raw_25449746'!$D$16="","—",IF(ABS(D16-'res_raw_25449746'!$D$16)&lt;=1,"✓ OK","❌ "&amp;TEXT(D16-'res_raw_25449746'!$D$16,"+#,##0;-#,##0")&amp;"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Aarhus Airport A/S (CVR 25449746)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>
        <v>200000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fsa:Planes</t>
        </is>
      </c>
      <c r="C4" s="37" t="inlineStr">
        <is>
          <t>fsa:Planes</t>
        </is>
      </c>
      <c r="D4" s="38" t="n">
        <v>22589</v>
      </c>
      <c r="E4" s="38" t="n">
        <v>21629</v>
      </c>
      <c r="F4" s="38" t="n">
        <v>26528</v>
      </c>
      <c r="G4" s="38" t="n">
        <v>25996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>
        <v>200000</v>
      </c>
      <c r="E5" s="35" t="n">
        <v>94</v>
      </c>
      <c r="F5" s="35" t="n">
        <v>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2026-10-01T22:16:27Z</dcterms:created>
  <dcterms:modified xmlns:dcterms="http://purl.org/dc/terms/" xmlns:xsi="http://www.w3.org/2001/XMLSchema-instance" xsi:type="dcterms:W3CDTF">2026-10-01T22:16:27Z</dcterms:modified>
</cp:coreProperties>
</file>