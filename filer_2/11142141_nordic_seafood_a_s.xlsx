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1142141" sheetId="1" state="visible" r:id="rId1"/>
    <sheet xmlns:r="http://schemas.openxmlformats.org/officeDocument/2006/relationships" name="res_raw_11142141" sheetId="2" state="visible" r:id="rId2"/>
    <sheet xmlns:r="http://schemas.openxmlformats.org/officeDocument/2006/relationships" name="balance_raw_11142141" sheetId="3" state="visible" r:id="rId3"/>
    <sheet xmlns:r="http://schemas.openxmlformats.org/officeDocument/2006/relationships" name="pengestrom_raw_11142141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Nordic Seafood A/S (CVR 11142141)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'res_raw_11142141'!$B$2</f>
        <v/>
      </c>
      <c r="C4" s="5">
        <f>'res_raw_11142141'!$C$2</f>
        <v/>
      </c>
      <c r="D4" s="5">
        <f>'res_raw_11142141'!$D$2</f>
        <v/>
      </c>
      <c r="E4" s="5">
        <f>'res_raw_11142141'!$E$2</f>
        <v/>
      </c>
      <c r="F4" s="5">
        <f>'res_raw_11142141'!$F$2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'res_raw_11142141'!$B$3</f>
        <v/>
      </c>
      <c r="C5" s="8">
        <f>'res_raw_11142141'!$C$3</f>
        <v/>
      </c>
      <c r="D5" s="8">
        <f>'res_raw_11142141'!$D$3</f>
        <v/>
      </c>
      <c r="E5" s="8">
        <f>'res_raw_11142141'!$E$3</f>
        <v/>
      </c>
      <c r="F5" s="8">
        <f>'res_raw_11142141'!$F$3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'res_raw_11142141'!$B$4</f>
        <v/>
      </c>
      <c r="C6" s="5">
        <f>'res_raw_11142141'!$C$4</f>
        <v/>
      </c>
      <c r="D6" s="5">
        <f>'res_raw_11142141'!$D$4</f>
        <v/>
      </c>
      <c r="E6" s="5">
        <f>'res_raw_11142141'!$E$4</f>
        <v/>
      </c>
      <c r="F6" s="5">
        <f>'res_raw_11142141'!$F$4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'res_raw_11142141'!$B$5</f>
        <v/>
      </c>
      <c r="C7" s="8">
        <f>'res_raw_11142141'!$C$5</f>
        <v/>
      </c>
      <c r="D7" s="8">
        <f>'res_raw_11142141'!$D$5</f>
        <v/>
      </c>
      <c r="E7" s="8">
        <f>'res_raw_11142141'!$E$5</f>
        <v/>
      </c>
      <c r="F7" s="8">
        <f>'res_raw_11142141'!$F$5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'res_raw_11142141'!$B$6</f>
        <v/>
      </c>
      <c r="C8" s="11">
        <f>'res_raw_11142141'!$C$6</f>
        <v/>
      </c>
      <c r="D8" s="11">
        <f>'res_raw_11142141'!$D$6</f>
        <v/>
      </c>
      <c r="E8" s="11">
        <f>'res_raw_11142141'!$E$6</f>
        <v/>
      </c>
      <c r="F8" s="11">
        <f>'res_raw_11142141'!$F$6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'res_raw_11142141'!$B$7</f>
        <v/>
      </c>
      <c r="C9" s="8">
        <f>'res_raw_11142141'!$C$7</f>
        <v/>
      </c>
      <c r="D9" s="8">
        <f>'res_raw_11142141'!$D$7</f>
        <v/>
      </c>
      <c r="E9" s="8">
        <f>'res_raw_11142141'!$E$7</f>
        <v/>
      </c>
      <c r="F9" s="8">
        <f>'res_raw_11142141'!$F$7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'res_raw_11142141'!$B$9</f>
        <v/>
      </c>
      <c r="C11" s="8">
        <f>'res_raw_11142141'!$C$9</f>
        <v/>
      </c>
      <c r="D11" s="8">
        <f>'res_raw_11142141'!$D$9</f>
        <v/>
      </c>
      <c r="E11" s="8">
        <f>'res_raw_11142141'!$E$9</f>
        <v/>
      </c>
      <c r="F11" s="8">
        <f>'res_raw_11142141'!$F$9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'res_raw_11142141'!$B$10</f>
        <v/>
      </c>
      <c r="C12" s="5">
        <f>'res_raw_11142141'!$C$10</f>
        <v/>
      </c>
      <c r="D12" s="5">
        <f>'res_raw_11142141'!$D$10</f>
        <v/>
      </c>
      <c r="E12" s="5">
        <f>'res_raw_11142141'!$E$10</f>
        <v/>
      </c>
      <c r="F12" s="5">
        <f>'res_raw_11142141'!$F$10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'res_raw_11142141'!$B$11</f>
        <v/>
      </c>
      <c r="C13" s="11">
        <f>'res_raw_11142141'!$C$11</f>
        <v/>
      </c>
      <c r="D13" s="11">
        <f>'res_raw_11142141'!$D$11</f>
        <v/>
      </c>
      <c r="E13" s="11">
        <f>'res_raw_11142141'!$E$11</f>
        <v/>
      </c>
      <c r="F13" s="11">
        <f>'res_raw_11142141'!$F$11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'res_raw_11142141'!$B$12</f>
        <v/>
      </c>
      <c r="C14" s="5">
        <f>'res_raw_11142141'!$C$12</f>
        <v/>
      </c>
      <c r="D14" s="5">
        <f>'res_raw_11142141'!$D$12</f>
        <v/>
      </c>
      <c r="E14" s="5">
        <f>'res_raw_11142141'!$E$12</f>
        <v/>
      </c>
      <c r="F14" s="5">
        <f>'res_raw_11142141'!$F$12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'res_raw_11142141'!$B$13</f>
        <v/>
      </c>
      <c r="C15" s="8">
        <f>'res_raw_11142141'!$C$13</f>
        <v/>
      </c>
      <c r="D15" s="8">
        <f>'res_raw_11142141'!$D$13</f>
        <v/>
      </c>
      <c r="E15" s="8">
        <f>'res_raw_11142141'!$E$13</f>
        <v/>
      </c>
      <c r="F15" s="8">
        <f>'res_raw_11142141'!$F$13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'res_raw_11142141'!$B$14</f>
        <v/>
      </c>
      <c r="C16" s="5">
        <f>'res_raw_11142141'!$C$14</f>
        <v/>
      </c>
      <c r="D16" s="5">
        <f>'res_raw_11142141'!$D$14</f>
        <v/>
      </c>
      <c r="E16" s="5">
        <f>'res_raw_11142141'!$E$14</f>
        <v/>
      </c>
      <c r="F16" s="5">
        <f>'res_raw_11142141'!$F$14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'res_raw_11142141'!$B$15</f>
        <v/>
      </c>
      <c r="C17" s="11">
        <f>'res_raw_11142141'!$C$15</f>
        <v/>
      </c>
      <c r="D17" s="11">
        <f>'res_raw_11142141'!$D$15</f>
        <v/>
      </c>
      <c r="E17" s="11">
        <f>'res_raw_11142141'!$E$15</f>
        <v/>
      </c>
      <c r="F17" s="11">
        <f>'res_raw_11142141'!$F$15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'res_raw_11142141'!$B$16</f>
        <v/>
      </c>
      <c r="C18" s="11">
        <f>'res_raw_11142141'!$C$16</f>
        <v/>
      </c>
      <c r="D18" s="11">
        <f>'res_raw_11142141'!$D$16</f>
        <v/>
      </c>
      <c r="E18" s="11">
        <f>'res_raw_11142141'!$E$16</f>
        <v/>
      </c>
      <c r="F18" s="11">
        <f>'res_raw_11142141'!$F$16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'res_raw_11142141'!$B$17</f>
        <v/>
      </c>
      <c r="C19" s="8">
        <f>'res_raw_11142141'!$C$17</f>
        <v/>
      </c>
      <c r="D19" s="8">
        <f>'res_raw_11142141'!$D$17</f>
        <v/>
      </c>
      <c r="E19" s="8">
        <f>'res_raw_11142141'!$E$17</f>
        <v/>
      </c>
      <c r="F19" s="8">
        <f>'res_raw_11142141'!$F$17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'res_raw_11142141'!$B$18</f>
        <v/>
      </c>
      <c r="C20" s="11">
        <f>'res_raw_11142141'!$C$18</f>
        <v/>
      </c>
      <c r="D20" s="11">
        <f>'res_raw_11142141'!$D$18</f>
        <v/>
      </c>
      <c r="E20" s="11">
        <f>'res_raw_11142141'!$E$18</f>
        <v/>
      </c>
      <c r="F20" s="11">
        <f>'res_raw_11142141'!$F$18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'balance_raw_11142141'!$B$2</f>
        <v/>
      </c>
      <c r="C23" s="8">
        <f>'balance_raw_11142141'!$C$2</f>
        <v/>
      </c>
      <c r="D23" s="8">
        <f>'balance_raw_11142141'!$D$2</f>
        <v/>
      </c>
      <c r="E23" s="8">
        <f>'balance_raw_11142141'!$E$2</f>
        <v/>
      </c>
      <c r="F23" s="8">
        <f>'balance_raw_11142141'!$F$2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'balance_raw_11142141'!$B$3</f>
        <v/>
      </c>
      <c r="C24" s="5">
        <f>'balance_raw_11142141'!$C$3</f>
        <v/>
      </c>
      <c r="D24" s="5">
        <f>'balance_raw_11142141'!$D$3</f>
        <v/>
      </c>
      <c r="E24" s="5">
        <f>'balance_raw_11142141'!$E$3</f>
        <v/>
      </c>
      <c r="F24" s="5">
        <f>'balance_raw_11142141'!$F$3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'balance_raw_11142141'!$B$4</f>
        <v/>
      </c>
      <c r="C25" s="8">
        <f>'balance_raw_11142141'!$C$4</f>
        <v/>
      </c>
      <c r="D25" s="8">
        <f>'balance_raw_11142141'!$D$4</f>
        <v/>
      </c>
      <c r="E25" s="8">
        <f>'balance_raw_11142141'!$E$4</f>
        <v/>
      </c>
      <c r="F25" s="8">
        <f>'balance_raw_11142141'!$F$4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'balance_raw_11142141'!$B$5</f>
        <v/>
      </c>
      <c r="C26" s="11">
        <f>'balance_raw_11142141'!$C$5</f>
        <v/>
      </c>
      <c r="D26" s="11">
        <f>'balance_raw_11142141'!$D$5</f>
        <v/>
      </c>
      <c r="E26" s="11">
        <f>'balance_raw_11142141'!$E$5</f>
        <v/>
      </c>
      <c r="F26" s="11">
        <f>'balance_raw_11142141'!$F$5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'balance_raw_11142141'!$B$6</f>
        <v/>
      </c>
      <c r="C27" s="8">
        <f>'balance_raw_11142141'!$C$6</f>
        <v/>
      </c>
      <c r="D27" s="8">
        <f>'balance_raw_11142141'!$D$6</f>
        <v/>
      </c>
      <c r="E27" s="8">
        <f>'balance_raw_11142141'!$E$6</f>
        <v/>
      </c>
      <c r="F27" s="8">
        <f>'balance_raw_11142141'!$F$6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'balance_raw_11142141'!$B$7</f>
        <v/>
      </c>
      <c r="C28" s="5">
        <f>'balance_raw_11142141'!$C$7</f>
        <v/>
      </c>
      <c r="D28" s="5">
        <f>'balance_raw_11142141'!$D$7</f>
        <v/>
      </c>
      <c r="E28" s="5">
        <f>'balance_raw_11142141'!$E$7</f>
        <v/>
      </c>
      <c r="F28" s="5">
        <f>'balance_raw_11142141'!$F$7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'balance_raw_11142141'!$B$8</f>
        <v/>
      </c>
      <c r="C29" s="8">
        <f>'balance_raw_11142141'!$C$8</f>
        <v/>
      </c>
      <c r="D29" s="8">
        <f>'balance_raw_11142141'!$D$8</f>
        <v/>
      </c>
      <c r="E29" s="8">
        <f>'balance_raw_11142141'!$E$8</f>
        <v/>
      </c>
      <c r="F29" s="8">
        <f>'balance_raw_11142141'!$F$8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'balance_raw_11142141'!$B$9</f>
        <v/>
      </c>
      <c r="C30" s="5">
        <f>'balance_raw_11142141'!$C$9</f>
        <v/>
      </c>
      <c r="D30" s="5">
        <f>'balance_raw_11142141'!$D$9</f>
        <v/>
      </c>
      <c r="E30" s="5">
        <f>'balance_raw_11142141'!$E$9</f>
        <v/>
      </c>
      <c r="F30" s="5">
        <f>'balance_raw_11142141'!$F$9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'balance_raw_11142141'!$B$10</f>
        <v/>
      </c>
      <c r="C31" s="8">
        <f>'balance_raw_11142141'!$C$10</f>
        <v/>
      </c>
      <c r="D31" s="8">
        <f>'balance_raw_11142141'!$D$10</f>
        <v/>
      </c>
      <c r="E31" s="8">
        <f>'balance_raw_11142141'!$E$10</f>
        <v/>
      </c>
      <c r="F31" s="8">
        <f>'balance_raw_11142141'!$F$10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'balance_raw_11142141'!$B$11</f>
        <v/>
      </c>
      <c r="C32" s="11">
        <f>'balance_raw_11142141'!$C$11</f>
        <v/>
      </c>
      <c r="D32" s="11">
        <f>'balance_raw_11142141'!$D$11</f>
        <v/>
      </c>
      <c r="E32" s="11">
        <f>'balance_raw_11142141'!$E$11</f>
        <v/>
      </c>
      <c r="F32" s="11">
        <f>'balance_raw_11142141'!$F$11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Finansielle anlægsaktiver</t>
        </is>
      </c>
      <c r="B33" s="11">
        <f>'balance_raw_11142141'!$B$12</f>
        <v/>
      </c>
      <c r="C33" s="11">
        <f>'balance_raw_11142141'!$C$12</f>
        <v/>
      </c>
      <c r="D33" s="11">
        <f>'balance_raw_11142141'!$D$12</f>
        <v/>
      </c>
      <c r="E33" s="11">
        <f>'balance_raw_11142141'!$E$12</f>
        <v/>
      </c>
      <c r="F33" s="11">
        <f>'balance_raw_11142141'!$F$12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10" t="inlineStr">
        <is>
          <t>Anlægsaktiver</t>
        </is>
      </c>
      <c r="B34" s="11">
        <f>'balance_raw_11142141'!$B$13</f>
        <v/>
      </c>
      <c r="C34" s="11">
        <f>'balance_raw_11142141'!$C$13</f>
        <v/>
      </c>
      <c r="D34" s="11">
        <f>'balance_raw_11142141'!$D$13</f>
        <v/>
      </c>
      <c r="E34" s="11">
        <f>'balance_raw_11142141'!$E$13</f>
        <v/>
      </c>
      <c r="F34" s="11">
        <f>'balance_raw_11142141'!$F$13</f>
        <v/>
      </c>
      <c r="G34" t="inlineStr"/>
      <c r="H34" s="12">
        <f>IFERROR(B34/$B$34*100,"")</f>
        <v/>
      </c>
      <c r="I34" s="12">
        <f>IFERROR(C34/$B$34*100,"")</f>
        <v/>
      </c>
      <c r="J34" s="12">
        <f>IFERROR(D34/$B$34*100,"")</f>
        <v/>
      </c>
      <c r="K34" s="12">
        <f>IFERROR(E34/$B$34*100,"")</f>
        <v/>
      </c>
      <c r="L34" s="12">
        <f>IFERROR(F34/$B$34*100,"")</f>
        <v/>
      </c>
    </row>
    <row r="35" ht="16" customHeight="1">
      <c r="A35" s="7" t="inlineStr">
        <is>
          <t>Råvarer og hjælpematerialer</t>
        </is>
      </c>
      <c r="B35" s="8">
        <f>'balance_raw_11142141'!$B$14</f>
        <v/>
      </c>
      <c r="C35" s="8">
        <f>'balance_raw_11142141'!$C$14</f>
        <v/>
      </c>
      <c r="D35" s="8">
        <f>'balance_raw_11142141'!$D$14</f>
        <v/>
      </c>
      <c r="E35" s="8">
        <f>'balance_raw_11142141'!$E$14</f>
        <v/>
      </c>
      <c r="F35" s="8">
        <f>'balance_raw_11142141'!$F$14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Varer under fremstilling</t>
        </is>
      </c>
      <c r="B36" s="5">
        <f>'balance_raw_11142141'!$B$15</f>
        <v/>
      </c>
      <c r="C36" s="5">
        <f>'balance_raw_11142141'!$C$15</f>
        <v/>
      </c>
      <c r="D36" s="5">
        <f>'balance_raw_11142141'!$D$15</f>
        <v/>
      </c>
      <c r="E36" s="5">
        <f>'balance_raw_11142141'!$E$15</f>
        <v/>
      </c>
      <c r="F36" s="5">
        <f>'balance_raw_11142141'!$F$15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Færdigvarer og handelsvarer</t>
        </is>
      </c>
      <c r="B37" s="8">
        <f>'balance_raw_11142141'!$B$16</f>
        <v/>
      </c>
      <c r="C37" s="8">
        <f>'balance_raw_11142141'!$C$16</f>
        <v/>
      </c>
      <c r="D37" s="8">
        <f>'balance_raw_11142141'!$D$16</f>
        <v/>
      </c>
      <c r="E37" s="8">
        <f>'balance_raw_11142141'!$E$16</f>
        <v/>
      </c>
      <c r="F37" s="8">
        <f>'balance_raw_11142141'!$F$16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10" t="inlineStr">
        <is>
          <t>Varebeholdninger</t>
        </is>
      </c>
      <c r="B38" s="11">
        <f>'balance_raw_11142141'!$B$17</f>
        <v/>
      </c>
      <c r="C38" s="11">
        <f>'balance_raw_11142141'!$C$17</f>
        <v/>
      </c>
      <c r="D38" s="11">
        <f>'balance_raw_11142141'!$D$17</f>
        <v/>
      </c>
      <c r="E38" s="11">
        <f>'balance_raw_11142141'!$E$17</f>
        <v/>
      </c>
      <c r="F38" s="11">
        <f>'balance_raw_11142141'!$F$17</f>
        <v/>
      </c>
      <c r="G38" t="inlineStr"/>
      <c r="H38" s="12">
        <f>IFERROR(B38/$B$38*100,"")</f>
        <v/>
      </c>
      <c r="I38" s="12">
        <f>IFERROR(C38/$B$38*100,"")</f>
        <v/>
      </c>
      <c r="J38" s="12">
        <f>IFERROR(D38/$B$38*100,"")</f>
        <v/>
      </c>
      <c r="K38" s="12">
        <f>IFERROR(E38/$B$38*100,"")</f>
        <v/>
      </c>
      <c r="L38" s="12">
        <f>IFERROR(F38/$B$38*100,"")</f>
        <v/>
      </c>
    </row>
    <row r="39" ht="16" customHeight="1">
      <c r="A39" s="7" t="inlineStr">
        <is>
          <t>Tilgodehavender fra salg og tjenesteydelser</t>
        </is>
      </c>
      <c r="B39" s="8">
        <f>'balance_raw_11142141'!$B$18</f>
        <v/>
      </c>
      <c r="C39" s="8">
        <f>'balance_raw_11142141'!$C$18</f>
        <v/>
      </c>
      <c r="D39" s="8">
        <f>'balance_raw_11142141'!$D$18</f>
        <v/>
      </c>
      <c r="E39" s="8">
        <f>'balance_raw_11142141'!$E$18</f>
        <v/>
      </c>
      <c r="F39" s="8">
        <f>'balance_raw_11142141'!$F$18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'balance_raw_11142141'!$B$19</f>
        <v/>
      </c>
      <c r="C40" s="5">
        <f>'balance_raw_11142141'!$C$19</f>
        <v/>
      </c>
      <c r="D40" s="5">
        <f>'balance_raw_11142141'!$D$19</f>
        <v/>
      </c>
      <c r="E40" s="5">
        <f>'balance_raw_11142141'!$E$19</f>
        <v/>
      </c>
      <c r="F40" s="5">
        <f>'balance_raw_11142141'!$F$19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Andre tilgodehavender</t>
        </is>
      </c>
      <c r="B41" s="8">
        <f>'balance_raw_11142141'!$B$20</f>
        <v/>
      </c>
      <c r="C41" s="8">
        <f>'balance_raw_11142141'!$C$20</f>
        <v/>
      </c>
      <c r="D41" s="8">
        <f>'balance_raw_11142141'!$D$20</f>
        <v/>
      </c>
      <c r="E41" s="8">
        <f>'balance_raw_11142141'!$E$20</f>
        <v/>
      </c>
      <c r="F41" s="8">
        <f>'balance_raw_11142141'!$F$20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'balance_raw_11142141'!$B$21</f>
        <v/>
      </c>
      <c r="C42" s="5">
        <f>'balance_raw_11142141'!$C$21</f>
        <v/>
      </c>
      <c r="D42" s="5">
        <f>'balance_raw_11142141'!$D$21</f>
        <v/>
      </c>
      <c r="E42" s="5">
        <f>'balance_raw_11142141'!$E$21</f>
        <v/>
      </c>
      <c r="F42" s="5">
        <f>'balance_raw_11142141'!$F$21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Udskudt skatteaktiv</t>
        </is>
      </c>
      <c r="B43" s="8">
        <f>'balance_raw_11142141'!$B$22</f>
        <v/>
      </c>
      <c r="C43" s="8">
        <f>'balance_raw_11142141'!$C$22</f>
        <v/>
      </c>
      <c r="D43" s="8">
        <f>'balance_raw_11142141'!$D$22</f>
        <v/>
      </c>
      <c r="E43" s="8">
        <f>'balance_raw_11142141'!$E$22</f>
        <v/>
      </c>
      <c r="F43" s="8">
        <f>'balance_raw_11142141'!$F$22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'balance_raw_11142141'!$B$23</f>
        <v/>
      </c>
      <c r="C44" s="5">
        <f>'balance_raw_11142141'!$C$23</f>
        <v/>
      </c>
      <c r="D44" s="5">
        <f>'balance_raw_11142141'!$D$23</f>
        <v/>
      </c>
      <c r="E44" s="5">
        <f>'balance_raw_11142141'!$E$23</f>
        <v/>
      </c>
      <c r="F44" s="5">
        <f>'balance_raw_11142141'!$F$23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Kortfristede skattetilgodehavender</t>
        </is>
      </c>
      <c r="B45" s="8">
        <f>'balance_raw_11142141'!$B$24</f>
        <v/>
      </c>
      <c r="C45" s="8">
        <f>'balance_raw_11142141'!$C$24</f>
        <v/>
      </c>
      <c r="D45" s="8">
        <f>'balance_raw_11142141'!$D$24</f>
        <v/>
      </c>
      <c r="E45" s="8">
        <f>'balance_raw_11142141'!$E$24</f>
        <v/>
      </c>
      <c r="F45" s="8">
        <f>'balance_raw_11142141'!$F$24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10" t="inlineStr">
        <is>
          <t>Tilgodehavender</t>
        </is>
      </c>
      <c r="B46" s="11">
        <f>'balance_raw_11142141'!$B$25</f>
        <v/>
      </c>
      <c r="C46" s="11">
        <f>'balance_raw_11142141'!$C$25</f>
        <v/>
      </c>
      <c r="D46" s="11">
        <f>'balance_raw_11142141'!$D$25</f>
        <v/>
      </c>
      <c r="E46" s="11">
        <f>'balance_raw_11142141'!$E$25</f>
        <v/>
      </c>
      <c r="F46" s="11">
        <f>'balance_raw_11142141'!$F$25</f>
        <v/>
      </c>
      <c r="G46" t="inlineStr"/>
      <c r="H46" s="12">
        <f>IFERROR(B46/$B$46*100,"")</f>
        <v/>
      </c>
      <c r="I46" s="12">
        <f>IFERROR(C46/$B$46*100,"")</f>
        <v/>
      </c>
      <c r="J46" s="12">
        <f>IFERROR(D46/$B$46*100,"")</f>
        <v/>
      </c>
      <c r="K46" s="12">
        <f>IFERROR(E46/$B$46*100,"")</f>
        <v/>
      </c>
      <c r="L46" s="12">
        <f>IFERROR(F46/$B$46*100,"")</f>
        <v/>
      </c>
    </row>
    <row r="47" ht="16" customHeight="1">
      <c r="A47" s="7" t="inlineStr">
        <is>
          <t>Værdipapirer</t>
        </is>
      </c>
      <c r="B47" s="8">
        <f>'balance_raw_11142141'!$B$26</f>
        <v/>
      </c>
      <c r="C47" s="8">
        <f>'balance_raw_11142141'!$C$26</f>
        <v/>
      </c>
      <c r="D47" s="8">
        <f>'balance_raw_11142141'!$D$26</f>
        <v/>
      </c>
      <c r="E47" s="8">
        <f>'balance_raw_11142141'!$E$26</f>
        <v/>
      </c>
      <c r="F47" s="8">
        <f>'balance_raw_11142141'!$F$26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'balance_raw_11142141'!$B$27</f>
        <v/>
      </c>
      <c r="C48" s="5">
        <f>'balance_raw_11142141'!$C$27</f>
        <v/>
      </c>
      <c r="D48" s="5">
        <f>'balance_raw_11142141'!$D$27</f>
        <v/>
      </c>
      <c r="E48" s="5">
        <f>'balance_raw_11142141'!$E$27</f>
        <v/>
      </c>
      <c r="F48" s="5">
        <f>'balance_raw_11142141'!$F$27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Omsætningsaktiver</t>
        </is>
      </c>
      <c r="B49" s="11">
        <f>'balance_raw_11142141'!$B$28</f>
        <v/>
      </c>
      <c r="C49" s="11">
        <f>'balance_raw_11142141'!$C$28</f>
        <v/>
      </c>
      <c r="D49" s="11">
        <f>'balance_raw_11142141'!$D$28</f>
        <v/>
      </c>
      <c r="E49" s="11">
        <f>'balance_raw_11142141'!$E$28</f>
        <v/>
      </c>
      <c r="F49" s="11">
        <f>'balance_raw_11142141'!$F$28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10" t="inlineStr">
        <is>
          <t>Aktiver</t>
        </is>
      </c>
      <c r="B50" s="11">
        <f>'balance_raw_11142141'!$B$29</f>
        <v/>
      </c>
      <c r="C50" s="11">
        <f>'balance_raw_11142141'!$C$29</f>
        <v/>
      </c>
      <c r="D50" s="11">
        <f>'balance_raw_11142141'!$D$29</f>
        <v/>
      </c>
      <c r="E50" s="11">
        <f>'balance_raw_11142141'!$E$29</f>
        <v/>
      </c>
      <c r="F50" s="11">
        <f>'balance_raw_11142141'!$F$29</f>
        <v/>
      </c>
      <c r="G50" t="inlineStr"/>
      <c r="H50" s="12">
        <f>IFERROR(B50/$B$50*100,"")</f>
        <v/>
      </c>
      <c r="I50" s="12">
        <f>IFERROR(C50/$B$50*100,"")</f>
        <v/>
      </c>
      <c r="J50" s="12">
        <f>IFERROR(D50/$B$50*100,"")</f>
        <v/>
      </c>
      <c r="K50" s="12">
        <f>IFERROR(E50/$B$50*100,"")</f>
        <v/>
      </c>
      <c r="L50" s="12">
        <f>IFERROR(F50/$B$50*100,"")</f>
        <v/>
      </c>
    </row>
    <row r="52" ht="22" customHeight="1">
      <c r="A52" s="3" t="inlineStr">
        <is>
          <t>PASSIVER t.kr.</t>
        </is>
      </c>
      <c r="B52" s="3" t="n">
        <v>2021</v>
      </c>
      <c r="C52" s="3" t="n">
        <v>2022</v>
      </c>
      <c r="D52" s="3" t="n">
        <v>2023</v>
      </c>
      <c r="E52" s="3" t="n">
        <v>2024</v>
      </c>
      <c r="F52" s="3" t="n">
        <v>2025</v>
      </c>
      <c r="G52" t="inlineStr"/>
      <c r="H52" s="3" t="n">
        <v>2021</v>
      </c>
      <c r="I52" s="3" t="n">
        <v>2022</v>
      </c>
      <c r="J52" s="3" t="n">
        <v>2023</v>
      </c>
      <c r="K52" s="3" t="n">
        <v>2024</v>
      </c>
      <c r="L52" s="3" t="n">
        <v>2025</v>
      </c>
    </row>
    <row r="53" ht="16" customHeight="1">
      <c r="A53" s="7" t="inlineStr">
        <is>
          <t>Selskabskapital</t>
        </is>
      </c>
      <c r="B53" s="8">
        <f>'balance_raw_11142141'!$B$30</f>
        <v/>
      </c>
      <c r="C53" s="8">
        <f>'balance_raw_11142141'!$C$30</f>
        <v/>
      </c>
      <c r="D53" s="8">
        <f>'balance_raw_11142141'!$D$30</f>
        <v/>
      </c>
      <c r="E53" s="8">
        <f>'balance_raw_11142141'!$E$30</f>
        <v/>
      </c>
      <c r="F53" s="8">
        <f>'balance_raw_11142141'!$F$30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'balance_raw_11142141'!$B$31</f>
        <v/>
      </c>
      <c r="C54" s="5">
        <f>'balance_raw_11142141'!$C$31</f>
        <v/>
      </c>
      <c r="D54" s="5">
        <f>'balance_raw_11142141'!$D$31</f>
        <v/>
      </c>
      <c r="E54" s="5">
        <f>'balance_raw_11142141'!$E$31</f>
        <v/>
      </c>
      <c r="F54" s="5">
        <f>'balance_raw_11142141'!$F$31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udviklingsomkostninger</t>
        </is>
      </c>
      <c r="B55" s="8">
        <f>'balance_raw_11142141'!$B$32</f>
        <v/>
      </c>
      <c r="C55" s="8">
        <f>'balance_raw_11142141'!$C$32</f>
        <v/>
      </c>
      <c r="D55" s="8">
        <f>'balance_raw_11142141'!$D$32</f>
        <v/>
      </c>
      <c r="E55" s="8">
        <f>'balance_raw_11142141'!$E$32</f>
        <v/>
      </c>
      <c r="F55" s="8">
        <f>'balance_raw_11142141'!$F$32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'balance_raw_11142141'!$B$33</f>
        <v/>
      </c>
      <c r="C56" s="5">
        <f>'balance_raw_11142141'!$C$33</f>
        <v/>
      </c>
      <c r="D56" s="5">
        <f>'balance_raw_11142141'!$D$33</f>
        <v/>
      </c>
      <c r="E56" s="5">
        <f>'balance_raw_11142141'!$E$33</f>
        <v/>
      </c>
      <c r="F56" s="5">
        <f>'balance_raw_11142141'!$F$33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Andre reserver</t>
        </is>
      </c>
      <c r="B57" s="8">
        <f>'balance_raw_11142141'!$B$34</f>
        <v/>
      </c>
      <c r="C57" s="8">
        <f>'balance_raw_11142141'!$C$34</f>
        <v/>
      </c>
      <c r="D57" s="8">
        <f>'balance_raw_11142141'!$D$34</f>
        <v/>
      </c>
      <c r="E57" s="8">
        <f>'balance_raw_11142141'!$E$34</f>
        <v/>
      </c>
      <c r="F57" s="8">
        <f>'balance_raw_11142141'!$F$34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'balance_raw_11142141'!$B$35</f>
        <v/>
      </c>
      <c r="C58" s="5">
        <f>'balance_raw_11142141'!$C$35</f>
        <v/>
      </c>
      <c r="D58" s="5">
        <f>'balance_raw_11142141'!$D$35</f>
        <v/>
      </c>
      <c r="E58" s="5">
        <f>'balance_raw_11142141'!$E$35</f>
        <v/>
      </c>
      <c r="F58" s="5">
        <f>'balance_raw_11142141'!$F$35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Egenkapital i alt</t>
        </is>
      </c>
      <c r="B59" s="11">
        <f>'balance_raw_11142141'!$B$36</f>
        <v/>
      </c>
      <c r="C59" s="11">
        <f>'balance_raw_11142141'!$C$36</f>
        <v/>
      </c>
      <c r="D59" s="11">
        <f>'balance_raw_11142141'!$D$36</f>
        <v/>
      </c>
      <c r="E59" s="11">
        <f>'balance_raw_11142141'!$E$36</f>
        <v/>
      </c>
      <c r="F59" s="11">
        <f>'balance_raw_11142141'!$F$36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Hensættelse til udskudt skat</t>
        </is>
      </c>
      <c r="B60" s="5">
        <f>'balance_raw_11142141'!$B$37</f>
        <v/>
      </c>
      <c r="C60" s="5">
        <f>'balance_raw_11142141'!$C$37</f>
        <v/>
      </c>
      <c r="D60" s="5">
        <f>'balance_raw_11142141'!$D$37</f>
        <v/>
      </c>
      <c r="E60" s="5">
        <f>'balance_raw_11142141'!$E$37</f>
        <v/>
      </c>
      <c r="F60" s="5">
        <f>'balance_raw_11142141'!$F$37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Hensatte forpligtelser</t>
        </is>
      </c>
      <c r="B61" s="11">
        <f>'balance_raw_11142141'!$B$38</f>
        <v/>
      </c>
      <c r="C61" s="11">
        <f>'balance_raw_11142141'!$C$38</f>
        <v/>
      </c>
      <c r="D61" s="11">
        <f>'balance_raw_11142141'!$D$38</f>
        <v/>
      </c>
      <c r="E61" s="11">
        <f>'balance_raw_11142141'!$E$38</f>
        <v/>
      </c>
      <c r="F61" s="11">
        <f>'balance_raw_11142141'!$F$38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'balance_raw_11142141'!$B$39</f>
        <v/>
      </c>
      <c r="C62" s="5">
        <f>'balance_raw_11142141'!$C$39</f>
        <v/>
      </c>
      <c r="D62" s="5">
        <f>'balance_raw_11142141'!$D$39</f>
        <v/>
      </c>
      <c r="E62" s="5">
        <f>'balance_raw_11142141'!$E$39</f>
        <v/>
      </c>
      <c r="F62" s="5">
        <f>'balance_raw_11142141'!$F$39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lån</t>
        </is>
      </c>
      <c r="B63" s="8">
        <f>'balance_raw_11142141'!$B$40</f>
        <v/>
      </c>
      <c r="C63" s="8">
        <f>'balance_raw_11142141'!$C$40</f>
        <v/>
      </c>
      <c r="D63" s="8">
        <f>'balance_raw_11142141'!$D$40</f>
        <v/>
      </c>
      <c r="E63" s="8">
        <f>'balance_raw_11142141'!$E$40</f>
        <v/>
      </c>
      <c r="F63" s="8">
        <f>'balance_raw_11142141'!$F$40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'balance_raw_11142141'!$B$41</f>
        <v/>
      </c>
      <c r="C64" s="5">
        <f>'balance_raw_11142141'!$C$41</f>
        <v/>
      </c>
      <c r="D64" s="5">
        <f>'balance_raw_11142141'!$D$41</f>
        <v/>
      </c>
      <c r="E64" s="5">
        <f>'balance_raw_11142141'!$E$41</f>
        <v/>
      </c>
      <c r="F64" s="5">
        <f>'balance_raw_11142141'!$F$41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Anden gæld (langfristet)</t>
        </is>
      </c>
      <c r="B65" s="8">
        <f>'balance_raw_11142141'!$B$42</f>
        <v/>
      </c>
      <c r="C65" s="8">
        <f>'balance_raw_11142141'!$C$42</f>
        <v/>
      </c>
      <c r="D65" s="8">
        <f>'balance_raw_11142141'!$D$42</f>
        <v/>
      </c>
      <c r="E65" s="8">
        <f>'balance_raw_11142141'!$E$42</f>
        <v/>
      </c>
      <c r="F65" s="8">
        <f>'balance_raw_11142141'!$F$42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Langfristede gældsforpligtelser</t>
        </is>
      </c>
      <c r="B66" s="11">
        <f>'balance_raw_11142141'!$B$43</f>
        <v/>
      </c>
      <c r="C66" s="11">
        <f>'balance_raw_11142141'!$C$43</f>
        <v/>
      </c>
      <c r="D66" s="11">
        <f>'balance_raw_11142141'!$D$43</f>
        <v/>
      </c>
      <c r="E66" s="11">
        <f>'balance_raw_11142141'!$E$43</f>
        <v/>
      </c>
      <c r="F66" s="11">
        <f>'balance_raw_11142141'!$F$43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7" t="inlineStr">
        <is>
          <t>Ansvarlig lånekapital (kortfristet)</t>
        </is>
      </c>
      <c r="B67" s="8">
        <f>'balance_raw_11142141'!$B$44</f>
        <v/>
      </c>
      <c r="C67" s="8">
        <f>'balance_raw_11142141'!$C$44</f>
        <v/>
      </c>
      <c r="D67" s="8">
        <f>'balance_raw_11142141'!$D$44</f>
        <v/>
      </c>
      <c r="E67" s="8">
        <f>'balance_raw_11142141'!$E$44</f>
        <v/>
      </c>
      <c r="F67" s="8">
        <f>'balance_raw_11142141'!$F$44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'balance_raw_11142141'!$B$45</f>
        <v/>
      </c>
      <c r="C68" s="5">
        <f>'balance_raw_11142141'!$C$45</f>
        <v/>
      </c>
      <c r="D68" s="5">
        <f>'balance_raw_11142141'!$D$45</f>
        <v/>
      </c>
      <c r="E68" s="5">
        <f>'balance_raw_11142141'!$E$45</f>
        <v/>
      </c>
      <c r="F68" s="5">
        <f>'balance_raw_11142141'!$F$45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Kreditinstitutter</t>
        </is>
      </c>
      <c r="B69" s="8">
        <f>'balance_raw_11142141'!$B$46</f>
        <v/>
      </c>
      <c r="C69" s="8">
        <f>'balance_raw_11142141'!$C$46</f>
        <v/>
      </c>
      <c r="D69" s="8">
        <f>'balance_raw_11142141'!$D$46</f>
        <v/>
      </c>
      <c r="E69" s="8">
        <f>'balance_raw_11142141'!$E$46</f>
        <v/>
      </c>
      <c r="F69" s="8">
        <f>'balance_raw_11142141'!$F$46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'balance_raw_11142141'!$B$47</f>
        <v/>
      </c>
      <c r="C70" s="5">
        <f>'balance_raw_11142141'!$C$47</f>
        <v/>
      </c>
      <c r="D70" s="5">
        <f>'balance_raw_11142141'!$D$47</f>
        <v/>
      </c>
      <c r="E70" s="5">
        <f>'balance_raw_11142141'!$E$47</f>
        <v/>
      </c>
      <c r="F70" s="5">
        <f>'balance_raw_11142141'!$F$47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Leverandører af varer og tjenesteydelser</t>
        </is>
      </c>
      <c r="B71" s="8">
        <f>'balance_raw_11142141'!$B$48</f>
        <v/>
      </c>
      <c r="C71" s="8">
        <f>'balance_raw_11142141'!$C$48</f>
        <v/>
      </c>
      <c r="D71" s="8">
        <f>'balance_raw_11142141'!$D$48</f>
        <v/>
      </c>
      <c r="E71" s="8">
        <f>'balance_raw_11142141'!$E$48</f>
        <v/>
      </c>
      <c r="F71" s="8">
        <f>'balance_raw_11142141'!$F$48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'balance_raw_11142141'!$B$49</f>
        <v/>
      </c>
      <c r="C72" s="5">
        <f>'balance_raw_11142141'!$C$49</f>
        <v/>
      </c>
      <c r="D72" s="5">
        <f>'balance_raw_11142141'!$D$49</f>
        <v/>
      </c>
      <c r="E72" s="5">
        <f>'balance_raw_11142141'!$E$49</f>
        <v/>
      </c>
      <c r="F72" s="5">
        <f>'balance_raw_11142141'!$F$49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selskabsdeltagere og ledelse</t>
        </is>
      </c>
      <c r="B73" s="8">
        <f>'balance_raw_11142141'!$B$50</f>
        <v/>
      </c>
      <c r="C73" s="8">
        <f>'balance_raw_11142141'!$C$50</f>
        <v/>
      </c>
      <c r="D73" s="8">
        <f>'balance_raw_11142141'!$D$50</f>
        <v/>
      </c>
      <c r="E73" s="8">
        <f>'balance_raw_11142141'!$E$50</f>
        <v/>
      </c>
      <c r="F73" s="8">
        <f>'balance_raw_11142141'!$F$50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Selskabsskat</t>
        </is>
      </c>
      <c r="B74" s="5">
        <f>'balance_raw_11142141'!$B$51</f>
        <v/>
      </c>
      <c r="C74" s="5">
        <f>'balance_raw_11142141'!$C$51</f>
        <v/>
      </c>
      <c r="D74" s="5">
        <f>'balance_raw_11142141'!$D$51</f>
        <v/>
      </c>
      <c r="E74" s="5">
        <f>'balance_raw_11142141'!$E$51</f>
        <v/>
      </c>
      <c r="F74" s="5">
        <f>'balance_raw_11142141'!$F$51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tilknyttede virksomheder vedr. selskabsskat</t>
        </is>
      </c>
      <c r="B75" s="8">
        <f>'balance_raw_11142141'!$B$52</f>
        <v/>
      </c>
      <c r="C75" s="8">
        <f>'balance_raw_11142141'!$C$52</f>
        <v/>
      </c>
      <c r="D75" s="8">
        <f>'balance_raw_11142141'!$D$52</f>
        <v/>
      </c>
      <c r="E75" s="8">
        <f>'balance_raw_11142141'!$E$52</f>
        <v/>
      </c>
      <c r="F75" s="8">
        <f>'balance_raw_11142141'!$F$52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'balance_raw_11142141'!$B$53</f>
        <v/>
      </c>
      <c r="C76" s="5">
        <f>'balance_raw_11142141'!$C$53</f>
        <v/>
      </c>
      <c r="D76" s="5">
        <f>'balance_raw_11142141'!$D$53</f>
        <v/>
      </c>
      <c r="E76" s="5">
        <f>'balance_raw_11142141'!$E$53</f>
        <v/>
      </c>
      <c r="F76" s="5">
        <f>'balance_raw_11142141'!$F$53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Periodeafgrænsningsposter (passiver)</t>
        </is>
      </c>
      <c r="B77" s="8">
        <f>'balance_raw_11142141'!$B$54</f>
        <v/>
      </c>
      <c r="C77" s="8">
        <f>'balance_raw_11142141'!$C$54</f>
        <v/>
      </c>
      <c r="D77" s="8">
        <f>'balance_raw_11142141'!$D$54</f>
        <v/>
      </c>
      <c r="E77" s="8">
        <f>'balance_raw_11142141'!$E$54</f>
        <v/>
      </c>
      <c r="F77" s="8">
        <f>'balance_raw_11142141'!$F$54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10" t="inlineStr">
        <is>
          <t>Kortfristede gældsforpligtelser</t>
        </is>
      </c>
      <c r="B78" s="11">
        <f>'balance_raw_11142141'!$B$55</f>
        <v/>
      </c>
      <c r="C78" s="11">
        <f>'balance_raw_11142141'!$C$55</f>
        <v/>
      </c>
      <c r="D78" s="11">
        <f>'balance_raw_11142141'!$D$55</f>
        <v/>
      </c>
      <c r="E78" s="11">
        <f>'balance_raw_11142141'!$E$55</f>
        <v/>
      </c>
      <c r="F78" s="11">
        <f>'balance_raw_11142141'!$F$55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Gældsforpligtelser</t>
        </is>
      </c>
      <c r="B79" s="11">
        <f>'balance_raw_11142141'!$B$56</f>
        <v/>
      </c>
      <c r="C79" s="11">
        <f>'balance_raw_11142141'!$C$56</f>
        <v/>
      </c>
      <c r="D79" s="11">
        <f>'balance_raw_11142141'!$D$56</f>
        <v/>
      </c>
      <c r="E79" s="11">
        <f>'balance_raw_11142141'!$E$56</f>
        <v/>
      </c>
      <c r="F79" s="11">
        <f>'balance_raw_11142141'!$F$56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Passiver</t>
        </is>
      </c>
      <c r="B80" s="11">
        <f>'balance_raw_11142141'!$B$57</f>
        <v/>
      </c>
      <c r="C80" s="11">
        <f>'balance_raw_11142141'!$C$57</f>
        <v/>
      </c>
      <c r="D80" s="11">
        <f>'balance_raw_11142141'!$D$57</f>
        <v/>
      </c>
      <c r="E80" s="11">
        <f>'balance_raw_11142141'!$E$57</f>
        <v/>
      </c>
      <c r="F80" s="11">
        <f>'balance_raw_11142141'!$F$57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7" t="inlineStr">
        <is>
          <t>Gns. antal medarbejdere</t>
        </is>
      </c>
      <c r="B83" s="8">
        <f>'res_raw_11142141'!$B$19</f>
        <v/>
      </c>
      <c r="C83" s="8">
        <f>'res_raw_11142141'!$C$19</f>
        <v/>
      </c>
      <c r="D83" s="8">
        <f>'res_raw_11142141'!$D$19</f>
        <v/>
      </c>
      <c r="E83" s="8">
        <f>'res_raw_11142141'!$E$19</f>
        <v/>
      </c>
      <c r="F83" s="8">
        <f>'res_raw_11142141'!$F$19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'res_raw_11142141'!$B$20</f>
        <v/>
      </c>
      <c r="C84" s="5">
        <f>'res_raw_11142141'!$C$20</f>
        <v/>
      </c>
      <c r="D84" s="5">
        <f>'res_raw_11142141'!$D$20</f>
        <v/>
      </c>
      <c r="E84" s="5">
        <f>'res_raw_11142141'!$E$20</f>
        <v/>
      </c>
      <c r="F84" s="5">
        <f>'res_raw_11142141'!$F$20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7" t="inlineStr">
        <is>
          <t>Afkastningsgrad, %</t>
        </is>
      </c>
      <c r="B87" s="13">
        <f>IFERROR(($B$13+$B$15+$B$14)/$B$50*100,"")</f>
        <v/>
      </c>
      <c r="C87" s="13">
        <f>IFERROR(($C$13+$C$15+$C$14)/$C$50*100,"")</f>
        <v/>
      </c>
      <c r="D87" s="13">
        <f>IFERROR(($D$13+$D$15+$D$14)/$D$50*100,"")</f>
        <v/>
      </c>
      <c r="E87" s="13">
        <f>IFERROR(($E$13+$E$15+$E$14)/$E$50*100,"")</f>
        <v/>
      </c>
      <c r="F87" s="13">
        <f>IFERROR(($F$13+$F$15+$F$14)/$F$50*100,"")</f>
        <v/>
      </c>
    </row>
    <row r="88" ht="16" customHeight="1">
      <c r="A88" s="4" t="inlineStr">
        <is>
          <t>Overskudsgrad, %</t>
        </is>
      </c>
      <c r="B88" s="14">
        <f>IFERROR(($B$13+$B$15+$B$14)/$B$4*100,"")</f>
        <v/>
      </c>
      <c r="C88" s="14">
        <f>IFERROR(($C$13+$C$15+$C$14)/$C$4*100,"")</f>
        <v/>
      </c>
      <c r="D88" s="14">
        <f>IFERROR(($D$13+$D$15+$D$14)/$D$4*100,"")</f>
        <v/>
      </c>
      <c r="E88" s="14">
        <f>IFERROR(($E$13+$E$15+$E$14)/$E$4*100,"")</f>
        <v/>
      </c>
      <c r="F88" s="14">
        <f>IFERROR(($F$13+$F$15+$F$14)/$F$4*100,"")</f>
        <v/>
      </c>
    </row>
    <row r="89" ht="16" customHeight="1">
      <c r="A89" s="7" t="inlineStr">
        <is>
          <t>Aktivernes omsætningshastighed, gange</t>
        </is>
      </c>
      <c r="B89" s="13">
        <f>IFERROR($B$4/$B$50,"")</f>
        <v/>
      </c>
      <c r="C89" s="13">
        <f>IFERROR($C$4/$C$50,"")</f>
        <v/>
      </c>
      <c r="D89" s="13">
        <f>IFERROR($D$4/$D$50,"")</f>
        <v/>
      </c>
      <c r="E89" s="13">
        <f>IFERROR($E$4/$E$50,"")</f>
        <v/>
      </c>
      <c r="F89" s="13">
        <f>IFERROR($F$4/$F$50,"")</f>
        <v/>
      </c>
    </row>
    <row r="90" ht="16" customHeight="1">
      <c r="A90" s="4" t="inlineStr">
        <is>
          <t>Egenkapitalens forrentning, %</t>
        </is>
      </c>
      <c r="B90" s="14">
        <f>IFERROR($B$18/$B$59*100,"")</f>
        <v/>
      </c>
      <c r="C90" s="14">
        <f>IFERROR($C$18/$C$59*100,"")</f>
        <v/>
      </c>
      <c r="D90" s="14">
        <f>IFERROR($D$18/$D$59*100,"")</f>
        <v/>
      </c>
      <c r="E90" s="14">
        <f>IFERROR($E$18/$E$59*100,"")</f>
        <v/>
      </c>
      <c r="F90" s="14">
        <f>IFERROR($F$18/$F$59*100,"")</f>
        <v/>
      </c>
    </row>
    <row r="91" ht="16" customHeight="1">
      <c r="A91" s="7" t="inlineStr">
        <is>
          <t>Gældsrente, %</t>
        </is>
      </c>
      <c r="B91" s="13">
        <f>IFERROR($B$16/($B$80-$B$59)*100,"")</f>
        <v/>
      </c>
      <c r="C91" s="13">
        <f>IFERROR($C$16/($C$80-$C$59)*100,"")</f>
        <v/>
      </c>
      <c r="D91" s="13">
        <f>IFERROR($D$16/($D$80-$D$59)*100,"")</f>
        <v/>
      </c>
      <c r="E91" s="13">
        <f>IFERROR($E$16/($E$80-$E$59)*100,"")</f>
        <v/>
      </c>
      <c r="F91" s="13">
        <f>IFERROR($F$16/($F$80-$F$59)*100,"")</f>
        <v/>
      </c>
    </row>
    <row r="92" ht="16" customHeight="1">
      <c r="A92" s="4" t="inlineStr">
        <is>
          <t>Soliditetsgrad, %</t>
        </is>
      </c>
      <c r="B92" s="14">
        <f>IFERROR($B$59/$B$50*100,"")</f>
        <v/>
      </c>
      <c r="C92" s="14">
        <f>IFERROR($C$59/$C$50*100,"")</f>
        <v/>
      </c>
      <c r="D92" s="14">
        <f>IFERROR($D$59/$D$50*100,"")</f>
        <v/>
      </c>
      <c r="E92" s="14">
        <f>IFERROR($E$59/$E$50*100,"")</f>
        <v/>
      </c>
      <c r="F92" s="14">
        <f>IFERROR($F$59/$F$50*100,"")</f>
        <v/>
      </c>
    </row>
    <row r="93" ht="16" customHeight="1">
      <c r="A93" s="7" t="inlineStr">
        <is>
          <t>Gearing</t>
        </is>
      </c>
      <c r="B93" s="13">
        <f>IFERROR(($B$80-$B$59)/$B$59,"")</f>
        <v/>
      </c>
      <c r="C93" s="13">
        <f>IFERROR(($C$80-$C$59)/$C$59,"")</f>
        <v/>
      </c>
      <c r="D93" s="13">
        <f>IFERROR(($D$80-$D$59)/$D$59,"")</f>
        <v/>
      </c>
      <c r="E93" s="13">
        <f>IFERROR(($E$80-$E$59)/$E$59,"")</f>
        <v/>
      </c>
      <c r="F93" s="13">
        <f>IFERROR(($F$80-$F$59)/$F$59,"")</f>
        <v/>
      </c>
    </row>
    <row r="94" ht="16" customHeight="1">
      <c r="A94" s="4" t="inlineStr">
        <is>
          <t>Likviditetsgrad, %</t>
        </is>
      </c>
      <c r="B94" s="14">
        <f>IFERROR($B$49/$B$78*100,"")</f>
        <v/>
      </c>
      <c r="C94" s="14">
        <f>IFERROR($C$49/$C$78*100,"")</f>
        <v/>
      </c>
      <c r="D94" s="14">
        <f>IFERROR($D$49/$D$78*100,"")</f>
        <v/>
      </c>
      <c r="E94" s="14">
        <f>IFERROR($E$49/$E$78*100,"")</f>
        <v/>
      </c>
      <c r="F94" s="14">
        <f>IFERROR($F$49/$F$78*100,"")</f>
        <v/>
      </c>
    </row>
    <row r="95" ht="16" customHeight="1">
      <c r="A95" s="7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IFERROR(($B$80-$B$59)/$B$50*100,"")</f>
        <v/>
      </c>
      <c r="C96" s="14">
        <f>IFERROR(($C$80-$C$59)/$C$50*100,"")</f>
        <v/>
      </c>
      <c r="D96" s="14">
        <f>IFERROR(($D$80-$D$59)/$D$50*100,"")</f>
        <v/>
      </c>
      <c r="E96" s="14">
        <f>IFERROR(($E$80-$E$59)/$E$50*100,"")</f>
        <v/>
      </c>
      <c r="F96" s="14">
        <f>IFERROR(($F$80-$F$59)/$F$50*100,"")</f>
        <v/>
      </c>
    </row>
    <row r="97" ht="16" customHeight="1">
      <c r="A97" s="7" t="inlineStr">
        <is>
          <t>Kapitalbindingsgrad, %</t>
        </is>
      </c>
      <c r="B97" s="13">
        <f>IFERROR($B$34/($B$59+$B$66)*100,"")</f>
        <v/>
      </c>
      <c r="C97" s="13">
        <f>IFERROR($C$34/($C$59+$C$66)*100,"")</f>
        <v/>
      </c>
      <c r="D97" s="13">
        <f>IFERROR($D$34/($D$59+$D$66)*100,"")</f>
        <v/>
      </c>
      <c r="E97" s="13">
        <f>IFERROR($E$34/($E$59+$E$66)*100,"")</f>
        <v/>
      </c>
      <c r="F97" s="13">
        <f>IFERROR($F$34/($F$59+$F$66)*100,"")</f>
        <v/>
      </c>
    </row>
    <row r="99">
      <c r="A99" s="15" t="inlineStr">
        <is>
          <t>PENGESTRØMSOPGØRELSE t.kr.</t>
        </is>
      </c>
    </row>
    <row r="100">
      <c r="A100" s="16" t="inlineStr">
        <is>
          <t>Pengestrømme fra driftsaktivitet</t>
        </is>
      </c>
      <c r="B100" s="17">
        <f>'pengestrom_raw_11142141'!$B$2</f>
        <v/>
      </c>
      <c r="C100" s="17">
        <f>'pengestrom_raw_11142141'!$C$2</f>
        <v/>
      </c>
      <c r="D100" s="17">
        <f>'pengestrom_raw_11142141'!$D$2</f>
        <v/>
      </c>
      <c r="E100" s="17">
        <f>'pengestrom_raw_11142141'!$E$2</f>
        <v/>
      </c>
      <c r="F100" s="17">
        <f>'pengestrom_raw_11142141'!$F$2</f>
        <v/>
      </c>
    </row>
    <row r="101">
      <c r="A101" s="16" t="inlineStr">
        <is>
          <t>Pengestrømme fra investeringsaktivitet</t>
        </is>
      </c>
      <c r="B101" s="17">
        <f>'pengestrom_raw_11142141'!$B$3</f>
        <v/>
      </c>
      <c r="C101" s="17">
        <f>'pengestrom_raw_11142141'!$C$3</f>
        <v/>
      </c>
      <c r="D101" s="17">
        <f>'pengestrom_raw_11142141'!$D$3</f>
        <v/>
      </c>
      <c r="E101" s="17">
        <f>'pengestrom_raw_11142141'!$E$3</f>
        <v/>
      </c>
      <c r="F101" s="17">
        <f>'pengestrom_raw_11142141'!$F$3</f>
        <v/>
      </c>
    </row>
    <row r="102">
      <c r="A102" s="16" t="inlineStr">
        <is>
          <t>Pengestrømme fra finansieringsaktivitet</t>
        </is>
      </c>
      <c r="B102" s="17">
        <f>'pengestrom_raw_11142141'!$B$4</f>
        <v/>
      </c>
      <c r="C102" s="17">
        <f>'pengestrom_raw_11142141'!$C$4</f>
        <v/>
      </c>
      <c r="D102" s="17">
        <f>'pengestrom_raw_11142141'!$D$4</f>
        <v/>
      </c>
      <c r="E102" s="17">
        <f>'pengestrom_raw_11142141'!$E$4</f>
        <v/>
      </c>
      <c r="F102" s="17">
        <f>'pengestrom_raw_11142141'!$F$4</f>
        <v/>
      </c>
    </row>
    <row r="103">
      <c r="A103" s="16" t="inlineStr">
        <is>
          <t>Årets pengestrøm (rapporteret)</t>
        </is>
      </c>
      <c r="B103" s="17">
        <f>'pengestrom_raw_11142141'!$B$5</f>
        <v/>
      </c>
      <c r="C103" s="17">
        <f>'pengestrom_raw_11142141'!$C$5</f>
        <v/>
      </c>
      <c r="D103" s="17">
        <f>'pengestrom_raw_11142141'!$D$5</f>
        <v/>
      </c>
      <c r="E103" s="17">
        <f>'pengestrom_raw_11142141'!$E$5</f>
        <v/>
      </c>
      <c r="F103" s="17">
        <f>'pengestrom_raw_11142141'!$F$5</f>
        <v/>
      </c>
    </row>
    <row r="104">
      <c r="A104" s="16" t="inlineStr">
        <is>
          <t>Krydstjek: drift + inv. + fin. = årets pengestrøm</t>
        </is>
      </c>
      <c r="B104">
        <f>IF(ABS(('pengestrom_raw_11142141'!$B$2+'pengestrom_raw_11142141'!$B$3+'pengestrom_raw_11142141'!$B$4)-'pengestrom_raw_11142141'!$B$5)&lt;=2,"✓","⚠ "&amp;TEXT(('pengestrom_raw_11142141'!$B$2+'pengestrom_raw_11142141'!$B$3+'pengestrom_raw_11142141'!$B$4)-'pengestrom_raw_11142141'!$B$5,"+#,##0;-#,##0"))</f>
        <v/>
      </c>
      <c r="C104">
        <f>IF(ABS(('pengestrom_raw_11142141'!$C$2+'pengestrom_raw_11142141'!$C$3+'pengestrom_raw_11142141'!$C$4)-'pengestrom_raw_11142141'!$C$5)&lt;=2,"✓","⚠ "&amp;TEXT(('pengestrom_raw_11142141'!$C$2+'pengestrom_raw_11142141'!$C$3+'pengestrom_raw_11142141'!$C$4)-'pengestrom_raw_11142141'!$C$5,"+#,##0;-#,##0"))</f>
        <v/>
      </c>
      <c r="D104">
        <f>IF(ABS(('pengestrom_raw_11142141'!$D$2+'pengestrom_raw_11142141'!$D$3+'pengestrom_raw_11142141'!$D$4)-'pengestrom_raw_11142141'!$D$5)&lt;=2,"✓","⚠ "&amp;TEXT(('pengestrom_raw_11142141'!$D$2+'pengestrom_raw_11142141'!$D$3+'pengestrom_raw_11142141'!$D$4)-'pengestrom_raw_11142141'!$D$5,"+#,##0;-#,##0"))</f>
        <v/>
      </c>
      <c r="E104">
        <f>IF(ABS(('pengestrom_raw_11142141'!$E$2+'pengestrom_raw_11142141'!$E$3+'pengestrom_raw_11142141'!$E$4)-'pengestrom_raw_11142141'!$E$5)&lt;=2,"✓","⚠ "&amp;TEXT(('pengestrom_raw_11142141'!$E$2+'pengestrom_raw_11142141'!$E$3+'pengestrom_raw_11142141'!$E$4)-'pengestrom_raw_11142141'!$E$5,"+#,##0;-#,##0"))</f>
        <v/>
      </c>
      <c r="F104">
        <f>IF(ABS(('pengestrom_raw_11142141'!$F$2+'pengestrom_raw_11142141'!$F$3+'pengestrom_raw_11142141'!$F$4)-'pengestrom_raw_11142141'!$F$5)&lt;=2,"✓","⚠ "&amp;TEXT(('pengestrom_raw_11142141'!$F$2+'pengestrom_raw_11142141'!$F$3+'pengestrom_raw_11142141'!$F$4)-'pengestrom_raw_11142141'!$F$5,"+#,##0;-#,##0"))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Nordic Seafood A/S (CVR 11142141)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3174060</v>
      </c>
      <c r="C2" s="17" t="n">
        <v>3703662</v>
      </c>
      <c r="D2" s="17" t="n">
        <v>3280453</v>
      </c>
      <c r="E2" s="17" t="n">
        <v>3504668</v>
      </c>
      <c r="F2" s="17" t="n">
        <v>3653644</v>
      </c>
    </row>
    <row r="3">
      <c r="A3" s="16" t="inlineStr">
        <is>
          <t>Andre driftsindtægter</t>
        </is>
      </c>
      <c r="B3" s="17" t="n">
        <v>528</v>
      </c>
      <c r="C3" s="17" t="n">
        <v>526</v>
      </c>
      <c r="D3" s="17" t="n">
        <v>993</v>
      </c>
      <c r="E3" s="17" t="n">
        <v>497</v>
      </c>
      <c r="F3" s="17" t="n">
        <v>799</v>
      </c>
    </row>
    <row r="4">
      <c r="A4" s="16" t="inlineStr">
        <is>
          <t>Vareforbrug</t>
        </is>
      </c>
      <c r="B4" s="17" t="n">
        <v>2896962</v>
      </c>
      <c r="C4" s="17" t="n">
        <v>3404653</v>
      </c>
      <c r="D4" s="17" t="n">
        <v>3018964</v>
      </c>
      <c r="E4" s="17" t="n">
        <v>3155283</v>
      </c>
      <c r="F4" s="17" t="n">
        <v>3281288</v>
      </c>
    </row>
    <row r="5">
      <c r="A5" s="16" t="inlineStr">
        <is>
          <t>Andre eksterne omkostninger</t>
        </is>
      </c>
      <c r="B5" s="17" t="n">
        <v>56545</v>
      </c>
      <c r="C5" s="17" t="n">
        <v>66312</v>
      </c>
      <c r="D5" s="17" t="n">
        <v>70288</v>
      </c>
      <c r="E5" s="17" t="n">
        <v>85198</v>
      </c>
      <c r="F5" s="17" t="n">
        <v>89583</v>
      </c>
    </row>
    <row r="6">
      <c r="A6" s="15" t="inlineStr">
        <is>
          <t>Bruttoresultat</t>
        </is>
      </c>
      <c r="B6" s="17" t="n">
        <v>221081</v>
      </c>
      <c r="C6" s="17" t="n">
        <v>233223</v>
      </c>
      <c r="D6" s="17" t="n">
        <v>192194</v>
      </c>
      <c r="E6" s="17" t="n">
        <v>264684</v>
      </c>
      <c r="F6" s="17" t="n">
        <v>283572</v>
      </c>
    </row>
    <row r="7">
      <c r="A7" s="16" t="inlineStr">
        <is>
          <t>Personaleomkostninger</t>
        </is>
      </c>
      <c r="B7" s="17" t="n">
        <v>104584</v>
      </c>
      <c r="C7" s="17" t="n">
        <v>107870</v>
      </c>
      <c r="D7" s="17" t="n">
        <v>95002</v>
      </c>
      <c r="E7" s="17" t="n">
        <v>115985</v>
      </c>
      <c r="F7" s="17" t="n">
        <v>127195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8481</v>
      </c>
      <c r="C9" s="17" t="n">
        <v>7818</v>
      </c>
      <c r="D9" s="17" t="n">
        <v>9903</v>
      </c>
      <c r="E9" s="17" t="n">
        <v>19255</v>
      </c>
      <c r="F9" s="17" t="n">
        <v>19414</v>
      </c>
    </row>
    <row r="10">
      <c r="A10" s="16" t="inlineStr">
        <is>
          <t>Andre driftsomkostninger</t>
        </is>
      </c>
      <c r="B10" s="17" t="n">
        <v>66</v>
      </c>
      <c r="C10" s="17" t="n">
        <v>215</v>
      </c>
      <c r="D10" s="17" t="n">
        <v>3031</v>
      </c>
      <c r="E10" s="17" t="n">
        <v>219</v>
      </c>
      <c r="F10" s="17" t="n">
        <v>66</v>
      </c>
    </row>
    <row r="11">
      <c r="A11" s="15" t="inlineStr">
        <is>
          <t>Resultat af primær drift</t>
        </is>
      </c>
      <c r="B11" s="17" t="n">
        <v>107950</v>
      </c>
      <c r="C11" s="17" t="n">
        <v>117320</v>
      </c>
      <c r="D11" s="17" t="n">
        <v>84258</v>
      </c>
      <c r="E11" s="17" t="n">
        <v>129225</v>
      </c>
      <c r="F11" s="17" t="n">
        <v>136897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Finansielle indtægter</t>
        </is>
      </c>
      <c r="B13" s="17" t="n">
        <v>105</v>
      </c>
      <c r="C13" s="17" t="n">
        <v>317</v>
      </c>
      <c r="D13" s="17" t="n">
        <v>862</v>
      </c>
      <c r="E13" s="17" t="n">
        <v>60</v>
      </c>
      <c r="F13" s="17" t="n">
        <v>240</v>
      </c>
    </row>
    <row r="14">
      <c r="A14" s="16" t="inlineStr">
        <is>
          <t>Finansielle omkostninger</t>
        </is>
      </c>
      <c r="B14" s="17" t="n">
        <v>7013</v>
      </c>
      <c r="C14" s="17" t="n">
        <v>15125</v>
      </c>
      <c r="D14" s="17" t="n">
        <v>28062</v>
      </c>
      <c r="E14" s="17" t="n">
        <v>22013</v>
      </c>
      <c r="F14" s="17" t="n">
        <v>16817</v>
      </c>
    </row>
    <row r="15">
      <c r="A15" s="15" t="inlineStr">
        <is>
          <t>Finansielle poster, netto</t>
        </is>
      </c>
      <c r="B15" s="17" t="n">
        <v>-6908</v>
      </c>
      <c r="C15" s="17" t="n">
        <v>-14808</v>
      </c>
      <c r="D15" s="17" t="n">
        <v>-26496</v>
      </c>
      <c r="E15" s="17" t="n">
        <v>-23263</v>
      </c>
      <c r="F15" s="17" t="n">
        <v>-15068</v>
      </c>
    </row>
    <row r="16">
      <c r="A16" s="15" t="inlineStr">
        <is>
          <t>Resultat før skat</t>
        </is>
      </c>
      <c r="B16" s="17" t="n">
        <v>100376</v>
      </c>
      <c r="C16" s="17" t="n">
        <v>101213</v>
      </c>
      <c r="D16" s="17" t="n">
        <v>57762</v>
      </c>
      <c r="E16" s="17" t="n">
        <v>105962</v>
      </c>
      <c r="F16" s="17" t="n">
        <v>121829</v>
      </c>
    </row>
    <row r="17">
      <c r="A17" s="16" t="inlineStr">
        <is>
          <t>Skat af årets resultat</t>
        </is>
      </c>
      <c r="B17" s="17" t="n">
        <v>20302</v>
      </c>
      <c r="C17" s="17" t="n">
        <v>18728</v>
      </c>
      <c r="D17" s="17" t="n">
        <v>12150</v>
      </c>
      <c r="E17" s="17" t="n">
        <v>22732</v>
      </c>
      <c r="F17" s="17" t="n">
        <v>27086</v>
      </c>
    </row>
    <row r="18">
      <c r="A18" s="15" t="inlineStr">
        <is>
          <t>Årets resultat</t>
        </is>
      </c>
      <c r="B18" s="17" t="n">
        <v>80074</v>
      </c>
      <c r="C18" s="17" t="n">
        <v>82485</v>
      </c>
      <c r="D18" s="17" t="n">
        <v>45612</v>
      </c>
      <c r="E18" s="17" t="n">
        <v>83230</v>
      </c>
      <c r="F18" s="17" t="n">
        <v>94743</v>
      </c>
    </row>
    <row r="19">
      <c r="A19" s="16" t="inlineStr">
        <is>
          <t>Gns. antal medarbejdere</t>
        </is>
      </c>
      <c r="B19" s="17" t="n">
        <v>173</v>
      </c>
      <c r="C19" s="17" t="n">
        <v>173</v>
      </c>
      <c r="D19" s="17" t="n">
        <v>176</v>
      </c>
      <c r="E19" s="17" t="n">
        <v>201</v>
      </c>
      <c r="F19" s="17" t="n">
        <v>209</v>
      </c>
    </row>
    <row r="20">
      <c r="A20" s="16" t="inlineStr">
        <is>
          <t>Investering i materielle anlægsaktiver</t>
        </is>
      </c>
      <c r="B20" s="17" t="n">
        <v>-8439</v>
      </c>
      <c r="C20" s="17" t="n">
        <v>-148</v>
      </c>
      <c r="D20" s="17" t="n">
        <v>-13811</v>
      </c>
      <c r="E20" s="17" t="n">
        <v>-11850</v>
      </c>
      <c r="F20" s="17" t="n">
        <v>-13209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Nordic Seafood A/S (CVR 11142141)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542</v>
      </c>
      <c r="C4" s="17" t="n">
        <v>0</v>
      </c>
      <c r="D4" s="17" t="n">
        <v>28404</v>
      </c>
      <c r="E4" s="17" t="n">
        <v>25622</v>
      </c>
      <c r="F4" s="17" t="n">
        <v>22745</v>
      </c>
    </row>
    <row r="5">
      <c r="A5" s="15" t="inlineStr">
        <is>
          <t>Immaterielle anlægsaktiver</t>
        </is>
      </c>
      <c r="B5" s="17" t="n">
        <v>1375</v>
      </c>
      <c r="C5" s="17" t="n">
        <v>741</v>
      </c>
      <c r="D5" s="17" t="n">
        <v>48123</v>
      </c>
      <c r="E5" s="17" t="n">
        <v>43019</v>
      </c>
      <c r="F5" s="17" t="n">
        <v>37976</v>
      </c>
    </row>
    <row r="6">
      <c r="A6" s="16" t="inlineStr">
        <is>
          <t>Grunde og bygninger</t>
        </is>
      </c>
      <c r="B6" s="17" t="n">
        <v>41550</v>
      </c>
      <c r="C6" s="17" t="n">
        <v>40044</v>
      </c>
      <c r="D6" s="17" t="n">
        <v>79861</v>
      </c>
      <c r="E6" s="17" t="n">
        <v>84023</v>
      </c>
      <c r="F6" s="17" t="n">
        <v>81142</v>
      </c>
    </row>
    <row r="7">
      <c r="A7" s="16" t="inlineStr">
        <is>
          <t>Produktionsanlæg og maskiner</t>
        </is>
      </c>
      <c r="B7" s="17" t="n">
        <v>6568</v>
      </c>
      <c r="C7" s="17" t="n">
        <v>5822</v>
      </c>
      <c r="D7" s="17" t="n">
        <v>15612</v>
      </c>
      <c r="E7" s="17" t="n">
        <v>12187</v>
      </c>
      <c r="F7" s="17" t="n">
        <v>12493</v>
      </c>
    </row>
    <row r="8">
      <c r="A8" s="16" t="inlineStr">
        <is>
          <t>Driftsmateriel og inventar</t>
        </is>
      </c>
      <c r="B8" s="17" t="n">
        <v>9489</v>
      </c>
      <c r="C8" s="17" t="n">
        <v>10212</v>
      </c>
      <c r="D8" s="17" t="n">
        <v>20715</v>
      </c>
      <c r="E8" s="17" t="n">
        <v>18072</v>
      </c>
      <c r="F8" s="17" t="n">
        <v>17377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57607</v>
      </c>
      <c r="C11" s="17" t="n">
        <v>56078</v>
      </c>
      <c r="D11" s="17" t="n">
        <v>116188</v>
      </c>
      <c r="E11" s="17" t="n">
        <v>114282</v>
      </c>
      <c r="F11" s="17" t="n">
        <v>111012</v>
      </c>
    </row>
    <row r="12">
      <c r="A12" s="15" t="inlineStr">
        <is>
          <t>Finansielle anlægsaktiver</t>
        </is>
      </c>
      <c r="B12" s="17" t="n">
        <v>4334</v>
      </c>
      <c r="C12" s="17" t="n">
        <v>16405</v>
      </c>
      <c r="D12" s="17" t="n">
        <v>20166</v>
      </c>
      <c r="E12" s="17" t="n">
        <v>22227</v>
      </c>
      <c r="F12" s="17" t="n">
        <v>23808</v>
      </c>
    </row>
    <row r="13">
      <c r="A13" s="15" t="inlineStr">
        <is>
          <t>Anlægsaktiver</t>
        </is>
      </c>
      <c r="B13" s="17" t="n">
        <v>63316</v>
      </c>
      <c r="C13" s="17" t="n">
        <v>73224</v>
      </c>
      <c r="D13" s="17" t="n">
        <v>184477</v>
      </c>
      <c r="E13" s="17" t="n">
        <v>179528</v>
      </c>
      <c r="F13" s="17" t="n">
        <v>172796</v>
      </c>
    </row>
    <row r="14">
      <c r="A14" s="16" t="inlineStr">
        <is>
          <t>Råvarer og hjælpematerialer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Varer under fremstilling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Færdigvarer og handelsvarer</t>
        </is>
      </c>
      <c r="B16" s="17" t="n">
        <v>555940</v>
      </c>
      <c r="C16" s="17" t="n">
        <v>811724</v>
      </c>
      <c r="D16" s="17" t="n">
        <v>669380</v>
      </c>
      <c r="E16" s="17" t="n">
        <v>495373</v>
      </c>
      <c r="F16" s="17" t="n">
        <v>656131</v>
      </c>
    </row>
    <row r="17">
      <c r="A17" s="15" t="inlineStr">
        <is>
          <t>Varebeholdninger</t>
        </is>
      </c>
      <c r="B17" s="17" t="n">
        <v>627626</v>
      </c>
      <c r="C17" s="17" t="n">
        <v>857003</v>
      </c>
      <c r="D17" s="17" t="n">
        <v>700305</v>
      </c>
      <c r="E17" s="17" t="n">
        <v>519509</v>
      </c>
      <c r="F17" s="17" t="n">
        <v>683402</v>
      </c>
    </row>
    <row r="18">
      <c r="A18" s="16" t="inlineStr">
        <is>
          <t>Tilgodehavender fra salg og tjenesteydelser</t>
        </is>
      </c>
      <c r="B18" s="17" t="n">
        <v>525439</v>
      </c>
      <c r="C18" s="17" t="n">
        <v>510774</v>
      </c>
      <c r="D18" s="17" t="n">
        <v>461879</v>
      </c>
      <c r="E18" s="17" t="n">
        <v>508759</v>
      </c>
      <c r="F18" s="17" t="n">
        <v>507525</v>
      </c>
    </row>
    <row r="19">
      <c r="A19" s="16" t="inlineStr">
        <is>
          <t>Tilgodehavender hos tilknyttede virksomheder</t>
        </is>
      </c>
      <c r="B19" s="17" t="n">
        <v>0</v>
      </c>
      <c r="C19" s="17" t="n">
        <v>0</v>
      </c>
      <c r="D19" s="17" t="n">
        <v>0</v>
      </c>
      <c r="E19" s="17" t="n">
        <v>1246</v>
      </c>
      <c r="F19" s="17" t="n">
        <v>1288</v>
      </c>
    </row>
    <row r="20">
      <c r="A20" s="16" t="inlineStr">
        <is>
          <t>Andre tilgodehavender</t>
        </is>
      </c>
      <c r="B20" s="17" t="n">
        <v>5477</v>
      </c>
      <c r="C20" s="17" t="n">
        <v>3491</v>
      </c>
      <c r="D20" s="17" t="n">
        <v>4050</v>
      </c>
      <c r="E20" s="17" t="n">
        <v>12217</v>
      </c>
      <c r="F20" s="17" t="n">
        <v>12131</v>
      </c>
    </row>
    <row r="21">
      <c r="A21" s="16" t="inlineStr">
        <is>
          <t>Periodeafgrænsningsposter (aktiver)</t>
        </is>
      </c>
      <c r="B21" s="17" t="n">
        <v>7166</v>
      </c>
      <c r="C21" s="17" t="n">
        <v>7564</v>
      </c>
      <c r="D21" s="17" t="n">
        <v>4823</v>
      </c>
      <c r="E21" s="17" t="n">
        <v>6031</v>
      </c>
      <c r="F21" s="17" t="n">
        <v>12866</v>
      </c>
    </row>
    <row r="22">
      <c r="A22" s="16" t="inlineStr">
        <is>
          <t>Udskudt skatteaktiv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Tilgodehavende skat hos tilknyttede virksomheder</t>
        </is>
      </c>
      <c r="B23" s="17" t="n"/>
      <c r="C23" s="17" t="n"/>
      <c r="D23" s="17" t="n"/>
      <c r="E23" s="17" t="n"/>
      <c r="F23" s="17" t="n"/>
    </row>
    <row r="24">
      <c r="A24" s="16" t="inlineStr">
        <is>
          <t>Kortfristede skattetilgodehavender</t>
        </is>
      </c>
      <c r="B24" s="17" t="n">
        <v>0</v>
      </c>
      <c r="C24" s="17" t="n">
        <v>0</v>
      </c>
      <c r="D24" s="17" t="n">
        <v>4165</v>
      </c>
      <c r="E24" s="17" t="n">
        <v>0</v>
      </c>
      <c r="F24" s="17" t="n">
        <v>0</v>
      </c>
    </row>
    <row r="25">
      <c r="A25" s="15" t="inlineStr">
        <is>
          <t>Tilgodehavender</t>
        </is>
      </c>
      <c r="B25" s="17" t="n">
        <v>538082</v>
      </c>
      <c r="C25" s="17" t="n">
        <v>521829</v>
      </c>
      <c r="D25" s="17" t="n">
        <v>474917</v>
      </c>
      <c r="E25" s="17" t="n">
        <v>533149</v>
      </c>
      <c r="F25" s="17" t="n">
        <v>533810</v>
      </c>
    </row>
    <row r="26">
      <c r="A26" s="16" t="inlineStr">
        <is>
          <t>Værdipapirer</t>
        </is>
      </c>
      <c r="B26" s="17" t="n">
        <v>65</v>
      </c>
      <c r="C26" s="17" t="n">
        <v>65</v>
      </c>
      <c r="D26" s="17" t="n">
        <v>65</v>
      </c>
      <c r="E26" s="17" t="n">
        <v>65</v>
      </c>
      <c r="F26" s="17" t="n">
        <v>65</v>
      </c>
    </row>
    <row r="27">
      <c r="A27" s="16" t="inlineStr">
        <is>
          <t>Likvide beholdninger</t>
        </is>
      </c>
      <c r="B27" s="17" t="n">
        <v>11154</v>
      </c>
      <c r="C27" s="17" t="n">
        <v>5881</v>
      </c>
      <c r="D27" s="17" t="n">
        <v>30566</v>
      </c>
      <c r="E27" s="17" t="n">
        <v>64883</v>
      </c>
      <c r="F27" s="17" t="n">
        <v>65696</v>
      </c>
    </row>
    <row r="28">
      <c r="A28" s="15" t="inlineStr">
        <is>
          <t>Omsætningsaktiver</t>
        </is>
      </c>
      <c r="B28" s="17" t="n">
        <v>1176927</v>
      </c>
      <c r="C28" s="17" t="n">
        <v>1384778</v>
      </c>
      <c r="D28" s="17" t="n">
        <v>1205853</v>
      </c>
      <c r="E28" s="17" t="n">
        <v>1117606</v>
      </c>
      <c r="F28" s="17" t="n">
        <v>1282973</v>
      </c>
    </row>
    <row r="29">
      <c r="A29" s="15" t="inlineStr">
        <is>
          <t>Aktiver</t>
        </is>
      </c>
      <c r="B29" s="17" t="n">
        <v>1240243</v>
      </c>
      <c r="C29" s="17" t="n">
        <v>1458002</v>
      </c>
      <c r="D29" s="17" t="n">
        <v>1390330</v>
      </c>
      <c r="E29" s="17" t="n">
        <v>1297134</v>
      </c>
      <c r="F29" s="17" t="n">
        <v>1455769</v>
      </c>
    </row>
    <row r="30">
      <c r="A30" s="16" t="inlineStr">
        <is>
          <t>Selskabskapital</t>
        </is>
      </c>
      <c r="B30" s="17" t="n">
        <v>1650</v>
      </c>
      <c r="C30" s="17" t="n">
        <v>1650</v>
      </c>
      <c r="D30" s="17" t="n">
        <v>1650</v>
      </c>
      <c r="E30" s="17" t="n">
        <v>1650</v>
      </c>
      <c r="F30" s="17" t="n">
        <v>1650</v>
      </c>
    </row>
    <row r="31">
      <c r="A31" s="16" t="inlineStr">
        <is>
          <t>Reserve for nettoopskrivning (indre værdis metode)</t>
        </is>
      </c>
      <c r="B31" s="17" t="n">
        <v>0</v>
      </c>
      <c r="C31" s="17" t="n">
        <v>0</v>
      </c>
      <c r="D31" s="17" t="n">
        <v>0</v>
      </c>
      <c r="E31" s="17" t="n">
        <v>0</v>
      </c>
      <c r="F31" s="17" t="n">
        <v>0</v>
      </c>
    </row>
    <row r="32">
      <c r="A32" s="16" t="inlineStr">
        <is>
          <t>Reserve for udviklingsomkostninger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Reserve for sikringstransaktioner</t>
        </is>
      </c>
      <c r="B33" s="17" t="n"/>
      <c r="C33" s="17" t="n">
        <v>-3562</v>
      </c>
      <c r="D33" s="17" t="n">
        <v>-1819</v>
      </c>
      <c r="E33" s="17" t="n">
        <v>7514</v>
      </c>
      <c r="F33" s="17" t="n">
        <v>-1428</v>
      </c>
    </row>
    <row r="34">
      <c r="A34" s="16" t="inlineStr">
        <is>
          <t>Andre reserver</t>
        </is>
      </c>
      <c r="B34" s="17" t="n">
        <v>1942</v>
      </c>
      <c r="C34" s="17" t="n"/>
      <c r="D34" s="17" t="n">
        <v>0</v>
      </c>
      <c r="E34" s="17" t="n"/>
      <c r="F34" s="17" t="n"/>
    </row>
    <row r="35">
      <c r="A35" s="16" t="inlineStr">
        <is>
          <t>Overført resultat</t>
        </is>
      </c>
      <c r="B35" s="17" t="n">
        <v>386131</v>
      </c>
      <c r="C35" s="17" t="n">
        <v>417685</v>
      </c>
      <c r="D35" s="17" t="n">
        <v>409148</v>
      </c>
      <c r="E35" s="17" t="n">
        <v>443340</v>
      </c>
      <c r="F35" s="17" t="n">
        <v>485933</v>
      </c>
    </row>
    <row r="36">
      <c r="A36" s="15" t="inlineStr">
        <is>
          <t>Egenkapital i alt</t>
        </is>
      </c>
      <c r="B36" s="17" t="n">
        <v>462052</v>
      </c>
      <c r="C36" s="17" t="n">
        <v>497016</v>
      </c>
      <c r="D36" s="17" t="n">
        <v>470029</v>
      </c>
      <c r="E36" s="17" t="n">
        <v>533742</v>
      </c>
      <c r="F36" s="17" t="n">
        <v>570837</v>
      </c>
    </row>
    <row r="37">
      <c r="A37" s="16" t="inlineStr">
        <is>
          <t>Hensættelse til udskudt skat</t>
        </is>
      </c>
      <c r="B37" s="17" t="n">
        <v>4096</v>
      </c>
      <c r="C37" s="17" t="n">
        <v>2268</v>
      </c>
      <c r="D37" s="17" t="n">
        <v>10310</v>
      </c>
      <c r="E37" s="17" t="n">
        <v>12204</v>
      </c>
      <c r="F37" s="17" t="n">
        <v>8802</v>
      </c>
    </row>
    <row r="38">
      <c r="A38" s="15" t="inlineStr">
        <is>
          <t>Hensatte forpligtelser</t>
        </is>
      </c>
      <c r="B38" s="17" t="n">
        <v>4353</v>
      </c>
      <c r="C38" s="17" t="n">
        <v>2520</v>
      </c>
      <c r="D38" s="17" t="n">
        <v>49119</v>
      </c>
      <c r="E38" s="17" t="n">
        <v>60150</v>
      </c>
      <c r="F38" s="17" t="n">
        <v>57189</v>
      </c>
    </row>
    <row r="39">
      <c r="A39" s="16" t="inlineStr">
        <is>
          <t>Ansvarlig lånekapital (langfristet)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Langfristede lån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Leasingforpligtelser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Anden gæld (langfristet)</t>
        </is>
      </c>
      <c r="B42" s="17" t="n">
        <v>26219</v>
      </c>
      <c r="C42" s="17" t="n"/>
      <c r="D42" s="17" t="n"/>
      <c r="E42" s="17" t="n"/>
      <c r="F42" s="17" t="n"/>
    </row>
    <row r="43">
      <c r="A43" s="15" t="inlineStr">
        <is>
          <t>Langfristede gældsforpligtelser</t>
        </is>
      </c>
      <c r="B43" s="17" t="n"/>
      <c r="C43" s="17" t="n">
        <v>24537</v>
      </c>
      <c r="D43" s="17" t="n">
        <v>48392</v>
      </c>
      <c r="E43" s="17" t="n">
        <v>27439</v>
      </c>
      <c r="F43" s="17" t="n">
        <v>24043</v>
      </c>
    </row>
    <row r="44">
      <c r="A44" s="16" t="inlineStr">
        <is>
          <t>Ansvarlig lånekapital (kortfristet)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Kortfristet del af langfristede gældsforpligtelser</t>
        </is>
      </c>
      <c r="B45" s="17" t="n">
        <v>1669</v>
      </c>
      <c r="C45" s="17" t="n">
        <v>1682</v>
      </c>
      <c r="D45" s="17" t="n">
        <v>5682</v>
      </c>
      <c r="E45" s="17" t="n">
        <v>3760</v>
      </c>
      <c r="F45" s="17" t="n">
        <v>3731</v>
      </c>
    </row>
    <row r="46">
      <c r="A46" s="16" t="inlineStr">
        <is>
          <t>Kreditinstitutter</t>
        </is>
      </c>
      <c r="B46" s="17" t="n">
        <v>340933</v>
      </c>
      <c r="C46" s="17" t="n">
        <v>528628</v>
      </c>
      <c r="D46" s="17" t="n">
        <v>442847</v>
      </c>
      <c r="E46" s="17" t="n">
        <v>352438</v>
      </c>
      <c r="F46" s="17" t="n">
        <v>445588</v>
      </c>
    </row>
    <row r="47">
      <c r="A47" s="16" t="inlineStr">
        <is>
          <t>Leasingforpligtelser (kortfristet)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Leverandører af varer og tjenesteydelser</t>
        </is>
      </c>
      <c r="B48" s="17" t="n">
        <v>259496</v>
      </c>
      <c r="C48" s="17" t="n">
        <v>239973</v>
      </c>
      <c r="D48" s="17" t="n">
        <v>210893</v>
      </c>
      <c r="E48" s="17" t="n">
        <v>207253</v>
      </c>
      <c r="F48" s="17" t="n">
        <v>198284</v>
      </c>
    </row>
    <row r="49">
      <c r="A49" s="16" t="inlineStr">
        <is>
          <t>Gæld til tilknyttede virksomheder</t>
        </is>
      </c>
      <c r="B49" s="17" t="n">
        <v>85520</v>
      </c>
      <c r="C49" s="17" t="n">
        <v>81802</v>
      </c>
      <c r="D49" s="17" t="n">
        <v>104341</v>
      </c>
      <c r="E49" s="17" t="n">
        <v>68752</v>
      </c>
      <c r="F49" s="17" t="n">
        <v>90034</v>
      </c>
    </row>
    <row r="50">
      <c r="A50" s="16" t="inlineStr">
        <is>
          <t>Gæld til selskabsdeltagere og ledelse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Selskabsskat</t>
        </is>
      </c>
      <c r="B51" s="17" t="n">
        <v>2421</v>
      </c>
      <c r="C51" s="17" t="n">
        <v>10963</v>
      </c>
      <c r="D51" s="17" t="n">
        <v>0</v>
      </c>
      <c r="E51" s="17" t="n">
        <v>3348</v>
      </c>
      <c r="F51" s="17" t="n">
        <v>16732</v>
      </c>
    </row>
    <row r="52">
      <c r="A52" s="16" t="inlineStr">
        <is>
          <t>Gæld til tilknyttede virksomheder vedr. selskabsskat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Anden gæld (kortfristet)</t>
        </is>
      </c>
      <c r="B53" s="17" t="n">
        <v>54199</v>
      </c>
      <c r="C53" s="17" t="n">
        <v>70501</v>
      </c>
      <c r="D53" s="17" t="n">
        <v>56237</v>
      </c>
      <c r="E53" s="17" t="n">
        <v>36603</v>
      </c>
      <c r="F53" s="17" t="n">
        <v>47022</v>
      </c>
    </row>
    <row r="54">
      <c r="A54" s="16" t="inlineStr">
        <is>
          <t>Periodeafgrænsningsposter (passiver)</t>
        </is>
      </c>
      <c r="B54" s="17" t="n">
        <v>0</v>
      </c>
      <c r="C54" s="17" t="n"/>
      <c r="D54" s="17" t="n"/>
      <c r="E54" s="17" t="n"/>
      <c r="F54" s="17" t="n"/>
    </row>
    <row r="55">
      <c r="A55" s="15" t="inlineStr">
        <is>
          <t>Kortfristede gældsforpligtelser</t>
        </is>
      </c>
      <c r="B55" s="17" t="n">
        <v>747619</v>
      </c>
      <c r="C55" s="17" t="n">
        <v>933929</v>
      </c>
      <c r="D55" s="17" t="n">
        <v>822790</v>
      </c>
      <c r="E55" s="17" t="n">
        <v>675803</v>
      </c>
      <c r="F55" s="17" t="n">
        <v>803700</v>
      </c>
    </row>
    <row r="56">
      <c r="A56" s="15" t="inlineStr">
        <is>
          <t>Gældsforpligtelser</t>
        </is>
      </c>
      <c r="B56" s="17" t="n">
        <v>773838</v>
      </c>
      <c r="C56" s="17" t="n">
        <v>958466</v>
      </c>
      <c r="D56" s="17" t="n">
        <v>871182</v>
      </c>
      <c r="E56" s="17" t="n">
        <v>703242</v>
      </c>
      <c r="F56" s="17" t="n">
        <v>827743</v>
      </c>
    </row>
    <row r="57">
      <c r="A57" s="15" t="inlineStr">
        <is>
          <t>Passiver</t>
        </is>
      </c>
      <c r="B57" s="17" t="n">
        <v>1240243</v>
      </c>
      <c r="C57" s="17" t="n">
        <v>1458002</v>
      </c>
      <c r="D57" s="17" t="n">
        <v>1390330</v>
      </c>
      <c r="E57" s="17" t="n">
        <v>1297134</v>
      </c>
      <c r="F57" s="17" t="n">
        <v>1455769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Nordic Seafood A/S (CVR 11142141)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-79047</v>
      </c>
      <c r="C2" s="17" t="n">
        <v>-130274</v>
      </c>
      <c r="D2" s="17" t="n">
        <v>264279</v>
      </c>
      <c r="E2" s="17" t="n">
        <v>254636</v>
      </c>
      <c r="F2" s="17" t="n">
        <v>-61108</v>
      </c>
    </row>
    <row r="3">
      <c r="A3" s="16" t="inlineStr">
        <is>
          <t>Pengestrømme fra investeringsaktivitet</t>
        </is>
      </c>
      <c r="B3" s="17" t="n">
        <v>-5615</v>
      </c>
      <c r="C3" s="17" t="n">
        <v>-14070</v>
      </c>
      <c r="D3" s="17" t="n">
        <v>-132378</v>
      </c>
      <c r="E3" s="17" t="n">
        <v>-10695</v>
      </c>
      <c r="F3" s="17" t="n">
        <v>-7980</v>
      </c>
    </row>
    <row r="4">
      <c r="A4" s="16" t="inlineStr">
        <is>
          <t>Pengestrømme fra finansieringsaktivitet</t>
        </is>
      </c>
      <c r="B4" s="17" t="n">
        <v>40437</v>
      </c>
      <c r="C4" s="17" t="n">
        <v>122337</v>
      </c>
      <c r="D4" s="17" t="n">
        <v>-122660</v>
      </c>
      <c r="E4" s="17" t="n">
        <v>-151931</v>
      </c>
      <c r="F4" s="17" t="n">
        <v>49821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Nordic Seafood A/S (CVR 11142141) — Regnskabs- og nøgletal (CVR: 11142141)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'res_raw_11142141'!$F$2</f>
        <v/>
      </c>
      <c r="C5" s="24">
        <f>'res_raw_11142141'!$E$2</f>
        <v/>
      </c>
      <c r="D5" s="24">
        <f>'res_raw_11142141'!$D$2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'res_raw_11142141'!$F$3</f>
        <v/>
      </c>
      <c r="C6" s="24">
        <f>'res_raw_11142141'!$E$3</f>
        <v/>
      </c>
      <c r="D6" s="24">
        <f>'res_raw_11142141'!$D$3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-'res_raw_11142141'!$F$4</f>
        <v/>
      </c>
      <c r="C7" s="24">
        <f>-'res_raw_11142141'!$E$4</f>
        <v/>
      </c>
      <c r="D7" s="24">
        <f>-'res_raw_11142141'!$D$4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-'res_raw_11142141'!$F$5</f>
        <v/>
      </c>
      <c r="C8" s="24">
        <f>-'res_raw_11142141'!$E$5</f>
        <v/>
      </c>
      <c r="D8" s="24">
        <f>-'res_raw_11142141'!$D$5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IF(ABS((SUM(B5:B8))-'res_raw_11142141'!$F$6)&lt;=2,SUM(B5:B8),'res_raw_11142141'!$F$6)</f>
        <v/>
      </c>
      <c r="C9" s="27">
        <f>IF(ABS((SUM(C5:C8))-'res_raw_11142141'!$E$6)&lt;=2,SUM(C5:C8),'res_raw_11142141'!$E$6)</f>
        <v/>
      </c>
      <c r="D9" s="27">
        <f>IF(ABS((SUM(D5:D8))-'res_raw_11142141'!$D$6)&lt;=2,SUM(D5:D8),'res_raw_11142141'!$D$6)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-'res_raw_11142141'!$F$7</f>
        <v/>
      </c>
      <c r="C10" s="24">
        <f>-'res_raw_11142141'!$E$7</f>
        <v/>
      </c>
      <c r="D10" s="24">
        <f>-'res_raw_11142141'!$D$7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-'res_raw_11142141'!$F$9</f>
        <v/>
      </c>
      <c r="C11" s="24">
        <f>-'res_raw_11142141'!$E$9</f>
        <v/>
      </c>
      <c r="D11" s="24">
        <f>-'res_raw_11142141'!$D$9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-'res_raw_11142141'!$F$10</f>
        <v/>
      </c>
      <c r="C12" s="24">
        <f>-'res_raw_11142141'!$E$10</f>
        <v/>
      </c>
      <c r="D12" s="24">
        <f>-'res_raw_11142141'!$D$10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IF(ABS((SUM(B9:B12))-'res_raw_11142141'!$F$11)&lt;=2,SUM(B9:B12),'res_raw_11142141'!$F$11)</f>
        <v/>
      </c>
      <c r="C13" s="27">
        <f>IF(ABS((SUM(C9:C12))-'res_raw_11142141'!$E$11)&lt;=2,SUM(C9:C12),'res_raw_11142141'!$E$11)</f>
        <v/>
      </c>
      <c r="D13" s="27">
        <f>IF(ABS((SUM(D9:D12))-'res_raw_11142141'!$D$11)&lt;=2,SUM(D9:D12),'res_raw_11142141'!$D$11)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N('res_raw_11142141'!$F$12)+N('res_raw_11142141'!$F$13)</f>
        <v/>
      </c>
      <c r="C14" s="24">
        <f>N('res_raw_11142141'!$E$12)+N('res_raw_11142141'!$E$13)</f>
        <v/>
      </c>
      <c r="D14" s="24">
        <f>N('res_raw_11142141'!$D$12)+N('res_raw_11142141'!$D$13)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-'res_raw_11142141'!$F$14</f>
        <v/>
      </c>
      <c r="C15" s="24">
        <f>-'res_raw_11142141'!$E$14</f>
        <v/>
      </c>
      <c r="D15" s="24">
        <f>-'res_raw_11142141'!$D$14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IF(ABS((SUM(B13:B15))-'res_raw_11142141'!$F$16)&lt;=2,SUM(B13:B15),'res_raw_11142141'!$F$16)</f>
        <v/>
      </c>
      <c r="C16" s="27">
        <f>IF(ABS((SUM(C13:C15))-'res_raw_11142141'!$E$16)&lt;=2,SUM(C13:C15),'res_raw_11142141'!$E$16)</f>
        <v/>
      </c>
      <c r="D16" s="27">
        <f>IF(ABS((SUM(D13:D15))-'res_raw_11142141'!$D$16)&lt;=2,SUM(D13:D15),'res_raw_11142141'!$D$16)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'balance_raw_11142141'!$F$13</f>
        <v/>
      </c>
      <c r="C19" s="24">
        <f>'balance_raw_11142141'!$E$13</f>
        <v/>
      </c>
      <c r="D19" s="24">
        <f>'balance_raw_11142141'!$D$13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'balance_raw_11142141'!$F$28</f>
        <v/>
      </c>
      <c r="C20" s="24">
        <f>'balance_raw_11142141'!$E$28</f>
        <v/>
      </c>
      <c r="D20" s="24">
        <f>'balance_raw_11142141'!$D$28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'balance_raw_11142141'!$F$36</f>
        <v/>
      </c>
      <c r="C23" s="24">
        <f>'balance_raw_11142141'!$E$36</f>
        <v/>
      </c>
      <c r="D23" s="24">
        <f>'balance_raw_11142141'!$D$36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'balance_raw_11142141'!$F$57-'balance_raw_11142141'!$F$36</f>
        <v/>
      </c>
      <c r="C24" s="24">
        <f>'balance_raw_11142141'!$E$57-'balance_raw_11142141'!$E$36</f>
        <v/>
      </c>
      <c r="D24" s="24">
        <f>'balance_raw_11142141'!$D$57-'balance_raw_11142141'!$D$36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'balance_raw_11142141'!$F$17</f>
        <v/>
      </c>
      <c r="C28" s="24">
        <f>'balance_raw_11142141'!$E$17</f>
        <v/>
      </c>
      <c r="D28" s="24">
        <f>'balance_raw_11142141'!$D$17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'balance_raw_11142141'!$F$18</f>
        <v/>
      </c>
      <c r="C29" s="24">
        <f>'balance_raw_11142141'!$E$18</f>
        <v/>
      </c>
      <c r="D29" s="24">
        <f>'balance_raw_11142141'!$D$18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'balance_raw_11142141'!$F$55</f>
        <v/>
      </c>
      <c r="C30" s="24">
        <f>'balance_raw_11142141'!$E$55</f>
        <v/>
      </c>
      <c r="D30" s="24">
        <f>'balance_raw_11142141'!$D$55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IF('balance_raw_11142141'!$F$29="","—",IF(ABS(B21-'balance_raw_11142141'!$F$29)&lt;=1,"✓ OK","❌ "&amp;TEXT(B21-'balance_raw_11142141'!$F$29,"+#,##0;-#,##0")&amp;" t.kr."))</f>
        <v/>
      </c>
      <c r="C61" s="29">
        <f>IF('balance_raw_11142141'!$E$29="","—",IF(ABS(C21-'balance_raw_11142141'!$E$29)&lt;=1,"✓ OK","❌ "&amp;TEXT(C21-'balance_raw_11142141'!$E$29,"+#,##0;-#,##0")&amp;" t.kr."))</f>
        <v/>
      </c>
      <c r="D61" s="29">
        <f>IF('balance_raw_11142141'!$D$29="","—",IF(ABS(D21-'balance_raw_11142141'!$D$29)&lt;=1,"✓ OK","❌ "&amp;TEXT(D21-'balance_raw_11142141'!$D$29,"+#,##0;-#,##0")&amp;"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IF('balance_raw_11142141'!$F$57="","—",IF(ABS(B25-'balance_raw_11142141'!$F$57)&lt;=1,"✓ OK","❌ "&amp;TEXT(B25-'balance_raw_11142141'!$F$57,"+#,##0;-#,##0")&amp;" t.kr."))</f>
        <v/>
      </c>
      <c r="C62" s="29">
        <f>IF('balance_raw_11142141'!$E$57="","—",IF(ABS(C25-'balance_raw_11142141'!$E$57)&lt;=1,"✓ OK","❌ "&amp;TEXT(C25-'balance_raw_11142141'!$E$57,"+#,##0;-#,##0")&amp;" t.kr."))</f>
        <v/>
      </c>
      <c r="D62" s="29">
        <f>IF('balance_raw_11142141'!$D$57="","—",IF(ABS(D25-'balance_raw_11142141'!$D$57)&lt;=1,"✓ OK","❌ "&amp;TEXT(D25-'balance_raw_11142141'!$D$57,"+#,##0;-#,##0")&amp;"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IF('res_raw_11142141'!$F$6="","—",IF(ABS(B9-'res_raw_11142141'!$F$6)&lt;=1,"✓ OK","❌ "&amp;TEXT(B9-'res_raw_11142141'!$F$6,"+#,##0;-#,##0")&amp;" t.kr."))</f>
        <v/>
      </c>
      <c r="C64" s="29">
        <f>IF('res_raw_11142141'!$E$6="","—",IF(ABS(C9-'res_raw_11142141'!$E$6)&lt;=1,"✓ OK","❌ "&amp;TEXT(C9-'res_raw_11142141'!$E$6,"+#,##0;-#,##0")&amp;" t.kr."))</f>
        <v/>
      </c>
      <c r="D64" s="29">
        <f>IF('res_raw_11142141'!$D$6="","—",IF(ABS(D9-'res_raw_11142141'!$D$6)&lt;=1,"✓ OK","❌ "&amp;TEXT(D9-'res_raw_11142141'!$D$6,"+#,##0;-#,##0")&amp;"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IF('res_raw_11142141'!$F$11="","—",IF(ABS(B13-'res_raw_11142141'!$F$11)&lt;=1,"✓ OK","❌ "&amp;TEXT(B13-'res_raw_11142141'!$F$11,"+#,##0;-#,##0")&amp;" t.kr."))</f>
        <v/>
      </c>
      <c r="C65" s="29">
        <f>IF('res_raw_11142141'!$E$11="","—",IF(ABS(C13-'res_raw_11142141'!$E$11)&lt;=1,"✓ OK","❌ "&amp;TEXT(C13-'res_raw_11142141'!$E$11,"+#,##0;-#,##0")&amp;" t.kr."))</f>
        <v/>
      </c>
      <c r="D65" s="29">
        <f>IF('res_raw_11142141'!$D$11="","—",IF(ABS(D13-'res_raw_11142141'!$D$11)&lt;=1,"✓ OK","❌ "&amp;TEXT(D13-'res_raw_11142141'!$D$11,"+#,##0;-#,##0")&amp;"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IF('res_raw_11142141'!$F$16="","—",IF(ABS(B16-'res_raw_11142141'!$F$16)&lt;=1,"✓ OK","❌ "&amp;TEXT(B16-'res_raw_11142141'!$F$16,"+#,##0;-#,##0")&amp;" t.kr."))</f>
        <v/>
      </c>
      <c r="C66" s="29">
        <f>IF('res_raw_11142141'!$E$16="","—",IF(ABS(C16-'res_raw_11142141'!$E$16)&lt;=1,"✓ OK","❌ "&amp;TEXT(C16-'res_raw_11142141'!$E$16,"+#,##0;-#,##0")&amp;" t.kr."))</f>
        <v/>
      </c>
      <c r="D66" s="29">
        <f>IF('res_raw_11142141'!$D$16="","—",IF(ABS(D16-'res_raw_11142141'!$D$16)&lt;=1,"✓ OK","❌ "&amp;TEXT(D16-'res_raw_11142141'!$D$16,"+#,##0;-#,##0")&amp;"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Nordic Seafood A/S (CVR 11142141)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fsa:CashCapitalIncrease</t>
        </is>
      </c>
      <c r="C3" s="34" t="inlineStr">
        <is>
          <t>fsa:CashCapitalIncrease</t>
        </is>
      </c>
      <c r="D3" s="35" t="n">
        <v>0</v>
      </c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fsa:FinanceExpensesArisingFromGroupEnterprises</t>
        </is>
      </c>
      <c r="C4" s="37" t="inlineStr">
        <is>
          <t>fsa:FinanceExpensesArisingFromGroupEnterprises</t>
        </is>
      </c>
      <c r="D4" s="38" t="n">
        <v>1353</v>
      </c>
      <c r="E4" s="38" t="n">
        <v>1958</v>
      </c>
      <c r="F4" s="38" t="n">
        <v>3978</v>
      </c>
      <c r="G4" s="38" t="n">
        <v>3635</v>
      </c>
      <c r="H4" s="38" t="n">
        <v>1862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fsa:PurchaseOfMinorityShares</t>
        </is>
      </c>
      <c r="C5" s="34" t="inlineStr">
        <is>
          <t>fsa:PurchaseOfMinorityShares</t>
        </is>
      </c>
      <c r="D5" s="35" t="n"/>
      <c r="E5" s="35" t="n"/>
      <c r="F5" s="35" t="n">
        <v>-3922</v>
      </c>
      <c r="G5" s="35" t="n">
        <v>-9237</v>
      </c>
      <c r="H5" s="35" t="n">
        <v>-438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fsa:ReserveForCurrentValueAdjustmentsOfCurrencyGains</t>
        </is>
      </c>
      <c r="C6" s="37" t="inlineStr">
        <is>
          <t>fsa:ReserveForCurrentValueAdjustmentsOfCurrencyGains</t>
        </is>
      </c>
      <c r="D6" s="38" t="n">
        <v>-3975</v>
      </c>
      <c r="E6" s="38" t="n">
        <v>-520</v>
      </c>
      <c r="F6" s="38" t="n">
        <v>-1236</v>
      </c>
      <c r="G6" s="38" t="n">
        <v>1159</v>
      </c>
      <c r="H6" s="38" t="n">
        <v>-3287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fsa:ShorttermPayablesToAssociates</t>
        </is>
      </c>
      <c r="C7" s="34" t="inlineStr">
        <is>
          <t>fsa:ShorttermPayablesToAssociates</t>
        </is>
      </c>
      <c r="D7" s="35" t="n">
        <v>3381</v>
      </c>
      <c r="E7" s="35" t="n">
        <v>380</v>
      </c>
      <c r="F7" s="35" t="n">
        <v>2790</v>
      </c>
      <c r="G7" s="35" t="n">
        <v>3649</v>
      </c>
      <c r="H7" s="35" t="n">
        <v>2309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fsa:TransferredToFromMinorityInterests</t>
        </is>
      </c>
      <c r="C8" s="37" t="inlineStr">
        <is>
          <t>fsa:TransferredToFromMinorityInterests</t>
        </is>
      </c>
      <c r="D8" s="38" t="n"/>
      <c r="E8" s="38" t="n">
        <v>14624</v>
      </c>
      <c r="F8" s="38" t="n">
        <v>8847</v>
      </c>
      <c r="G8" s="38" t="n">
        <v>13585</v>
      </c>
      <c r="H8" s="38" t="n">
        <v>16274</v>
      </c>
      <c r="I8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2026-10-02T21:14:10Z</dcterms:created>
  <dcterms:modified xmlns:dcterms="http://purl.org/dc/terms/" xmlns:xsi="http://www.w3.org/2001/XMLSchema-instance" xsi:type="dcterms:W3CDTF">2026-10-02T21:14:11Z</dcterms:modified>
</cp:coreProperties>
</file>