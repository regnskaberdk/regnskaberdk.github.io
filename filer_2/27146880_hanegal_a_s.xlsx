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7146880" sheetId="1" state="visible" r:id="rId1"/>
    <sheet xmlns:r="http://schemas.openxmlformats.org/officeDocument/2006/relationships" name="res_raw_27146880" sheetId="2" state="visible" r:id="rId2"/>
    <sheet xmlns:r="http://schemas.openxmlformats.org/officeDocument/2006/relationships" name="balance_raw_2714688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HANEGAL A/S (CVR 27146880)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'res_raw_27146880'!$B$2</f>
        <v/>
      </c>
      <c r="C4" s="5">
        <f>'res_raw_27146880'!$C$2</f>
        <v/>
      </c>
      <c r="D4" s="5">
        <f>'res_raw_27146880'!$D$2</f>
        <v/>
      </c>
      <c r="E4" s="5">
        <f>'res_raw_27146880'!$E$2</f>
        <v/>
      </c>
      <c r="F4" s="5">
        <f>'res_raw_27146880'!$F$2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'res_raw_27146880'!$B$3</f>
        <v/>
      </c>
      <c r="C5" s="8">
        <f>'res_raw_27146880'!$C$3</f>
        <v/>
      </c>
      <c r="D5" s="8">
        <f>'res_raw_27146880'!$D$3</f>
        <v/>
      </c>
      <c r="E5" s="8">
        <f>'res_raw_27146880'!$E$3</f>
        <v/>
      </c>
      <c r="F5" s="8">
        <f>'res_raw_27146880'!$F$3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'res_raw_27146880'!$B$4</f>
        <v/>
      </c>
      <c r="C6" s="5">
        <f>'res_raw_27146880'!$C$4</f>
        <v/>
      </c>
      <c r="D6" s="5">
        <f>'res_raw_27146880'!$D$4</f>
        <v/>
      </c>
      <c r="E6" s="5">
        <f>'res_raw_27146880'!$E$4</f>
        <v/>
      </c>
      <c r="F6" s="5">
        <f>'res_raw_27146880'!$F$4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'res_raw_27146880'!$B$5</f>
        <v/>
      </c>
      <c r="C7" s="8">
        <f>'res_raw_27146880'!$C$5</f>
        <v/>
      </c>
      <c r="D7" s="8">
        <f>'res_raw_27146880'!$D$5</f>
        <v/>
      </c>
      <c r="E7" s="8">
        <f>'res_raw_27146880'!$E$5</f>
        <v/>
      </c>
      <c r="F7" s="8">
        <f>'res_raw_27146880'!$F$5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'res_raw_27146880'!$B$6</f>
        <v/>
      </c>
      <c r="C8" s="11">
        <f>'res_raw_27146880'!$C$6</f>
        <v/>
      </c>
      <c r="D8" s="11">
        <f>'res_raw_27146880'!$D$6</f>
        <v/>
      </c>
      <c r="E8" s="11">
        <f>'res_raw_27146880'!$E$6</f>
        <v/>
      </c>
      <c r="F8" s="11">
        <f>'res_raw_27146880'!$F$6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'res_raw_27146880'!$B$7</f>
        <v/>
      </c>
      <c r="C9" s="8">
        <f>'res_raw_27146880'!$C$7</f>
        <v/>
      </c>
      <c r="D9" s="8">
        <f>'res_raw_27146880'!$D$7</f>
        <v/>
      </c>
      <c r="E9" s="8">
        <f>'res_raw_27146880'!$E$7</f>
        <v/>
      </c>
      <c r="F9" s="8">
        <f>'res_raw_27146880'!$F$7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'res_raw_27146880'!$B$9</f>
        <v/>
      </c>
      <c r="C11" s="8">
        <f>'res_raw_27146880'!$C$9</f>
        <v/>
      </c>
      <c r="D11" s="8">
        <f>'res_raw_27146880'!$D$9</f>
        <v/>
      </c>
      <c r="E11" s="8">
        <f>'res_raw_27146880'!$E$9</f>
        <v/>
      </c>
      <c r="F11" s="8">
        <f>'res_raw_27146880'!$F$9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'res_raw_27146880'!$B$10</f>
        <v/>
      </c>
      <c r="C12" s="5">
        <f>'res_raw_27146880'!$C$10</f>
        <v/>
      </c>
      <c r="D12" s="5">
        <f>'res_raw_27146880'!$D$10</f>
        <v/>
      </c>
      <c r="E12" s="5">
        <f>'res_raw_27146880'!$E$10</f>
        <v/>
      </c>
      <c r="F12" s="5">
        <f>'res_raw_27146880'!$F$10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'res_raw_27146880'!$B$11</f>
        <v/>
      </c>
      <c r="C13" s="11">
        <f>'res_raw_27146880'!$C$11</f>
        <v/>
      </c>
      <c r="D13" s="11">
        <f>'res_raw_27146880'!$D$11</f>
        <v/>
      </c>
      <c r="E13" s="11">
        <f>'res_raw_27146880'!$E$11</f>
        <v/>
      </c>
      <c r="F13" s="11">
        <f>'res_raw_27146880'!$F$11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'res_raw_27146880'!$B$12</f>
        <v/>
      </c>
      <c r="C14" s="5">
        <f>'res_raw_27146880'!$C$12</f>
        <v/>
      </c>
      <c r="D14" s="5">
        <f>'res_raw_27146880'!$D$12</f>
        <v/>
      </c>
      <c r="E14" s="5">
        <f>'res_raw_27146880'!$E$12</f>
        <v/>
      </c>
      <c r="F14" s="5">
        <f>'res_raw_27146880'!$F$12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'res_raw_27146880'!$B$13</f>
        <v/>
      </c>
      <c r="C15" s="8">
        <f>'res_raw_27146880'!$C$13</f>
        <v/>
      </c>
      <c r="D15" s="8">
        <f>'res_raw_27146880'!$D$13</f>
        <v/>
      </c>
      <c r="E15" s="8">
        <f>'res_raw_27146880'!$E$13</f>
        <v/>
      </c>
      <c r="F15" s="8">
        <f>'res_raw_27146880'!$F$13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'res_raw_27146880'!$B$14</f>
        <v/>
      </c>
      <c r="C16" s="5">
        <f>'res_raw_27146880'!$C$14</f>
        <v/>
      </c>
      <c r="D16" s="5">
        <f>'res_raw_27146880'!$D$14</f>
        <v/>
      </c>
      <c r="E16" s="5">
        <f>'res_raw_27146880'!$E$14</f>
        <v/>
      </c>
      <c r="F16" s="5">
        <f>'res_raw_27146880'!$F$14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'res_raw_27146880'!$B$15</f>
        <v/>
      </c>
      <c r="C17" s="11">
        <f>'res_raw_27146880'!$C$15</f>
        <v/>
      </c>
      <c r="D17" s="11">
        <f>'res_raw_27146880'!$D$15</f>
        <v/>
      </c>
      <c r="E17" s="11">
        <f>'res_raw_27146880'!$E$15</f>
        <v/>
      </c>
      <c r="F17" s="11">
        <f>'res_raw_27146880'!$F$15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'res_raw_27146880'!$B$16</f>
        <v/>
      </c>
      <c r="C18" s="11">
        <f>'res_raw_27146880'!$C$16</f>
        <v/>
      </c>
      <c r="D18" s="11">
        <f>'res_raw_27146880'!$D$16</f>
        <v/>
      </c>
      <c r="E18" s="11">
        <f>'res_raw_27146880'!$E$16</f>
        <v/>
      </c>
      <c r="F18" s="11">
        <f>'res_raw_27146880'!$F$16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'res_raw_27146880'!$B$17</f>
        <v/>
      </c>
      <c r="C19" s="8">
        <f>'res_raw_27146880'!$C$17</f>
        <v/>
      </c>
      <c r="D19" s="8">
        <f>'res_raw_27146880'!$D$17</f>
        <v/>
      </c>
      <c r="E19" s="8">
        <f>'res_raw_27146880'!$E$17</f>
        <v/>
      </c>
      <c r="F19" s="8">
        <f>'res_raw_27146880'!$F$17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'res_raw_27146880'!$B$18</f>
        <v/>
      </c>
      <c r="C20" s="11">
        <f>'res_raw_27146880'!$C$18</f>
        <v/>
      </c>
      <c r="D20" s="11">
        <f>'res_raw_27146880'!$D$18</f>
        <v/>
      </c>
      <c r="E20" s="11">
        <f>'res_raw_27146880'!$E$18</f>
        <v/>
      </c>
      <c r="F20" s="11">
        <f>'res_raw_27146880'!$F$18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'balance_raw_27146880'!$B$2</f>
        <v/>
      </c>
      <c r="C23" s="8">
        <f>'balance_raw_27146880'!$C$2</f>
        <v/>
      </c>
      <c r="D23" s="8">
        <f>'balance_raw_27146880'!$D$2</f>
        <v/>
      </c>
      <c r="E23" s="8">
        <f>'balance_raw_27146880'!$E$2</f>
        <v/>
      </c>
      <c r="F23" s="8">
        <f>'balance_raw_27146880'!$F$2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'balance_raw_27146880'!$B$3</f>
        <v/>
      </c>
      <c r="C24" s="5">
        <f>'balance_raw_27146880'!$C$3</f>
        <v/>
      </c>
      <c r="D24" s="5">
        <f>'balance_raw_27146880'!$D$3</f>
        <v/>
      </c>
      <c r="E24" s="5">
        <f>'balance_raw_27146880'!$E$3</f>
        <v/>
      </c>
      <c r="F24" s="5">
        <f>'balance_raw_27146880'!$F$3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'balance_raw_27146880'!$B$4</f>
        <v/>
      </c>
      <c r="C25" s="8">
        <f>'balance_raw_27146880'!$C$4</f>
        <v/>
      </c>
      <c r="D25" s="8">
        <f>'balance_raw_27146880'!$D$4</f>
        <v/>
      </c>
      <c r="E25" s="8">
        <f>'balance_raw_27146880'!$E$4</f>
        <v/>
      </c>
      <c r="F25" s="8">
        <f>'balance_raw_27146880'!$F$4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'balance_raw_27146880'!$B$5</f>
        <v/>
      </c>
      <c r="C26" s="11">
        <f>'balance_raw_27146880'!$C$5</f>
        <v/>
      </c>
      <c r="D26" s="11">
        <f>'balance_raw_27146880'!$D$5</f>
        <v/>
      </c>
      <c r="E26" s="11">
        <f>'balance_raw_27146880'!$E$5</f>
        <v/>
      </c>
      <c r="F26" s="11">
        <f>'balance_raw_27146880'!$F$5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'balance_raw_27146880'!$B$6</f>
        <v/>
      </c>
      <c r="C27" s="8">
        <f>'balance_raw_27146880'!$C$6</f>
        <v/>
      </c>
      <c r="D27" s="8">
        <f>'balance_raw_27146880'!$D$6</f>
        <v/>
      </c>
      <c r="E27" s="8">
        <f>'balance_raw_27146880'!$E$6</f>
        <v/>
      </c>
      <c r="F27" s="8">
        <f>'balance_raw_27146880'!$F$6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'balance_raw_27146880'!$B$7</f>
        <v/>
      </c>
      <c r="C28" s="5">
        <f>'balance_raw_27146880'!$C$7</f>
        <v/>
      </c>
      <c r="D28" s="5">
        <f>'balance_raw_27146880'!$D$7</f>
        <v/>
      </c>
      <c r="E28" s="5">
        <f>'balance_raw_27146880'!$E$7</f>
        <v/>
      </c>
      <c r="F28" s="5">
        <f>'balance_raw_27146880'!$F$7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'balance_raw_27146880'!$B$8</f>
        <v/>
      </c>
      <c r="C29" s="8">
        <f>'balance_raw_27146880'!$C$8</f>
        <v/>
      </c>
      <c r="D29" s="8">
        <f>'balance_raw_27146880'!$D$8</f>
        <v/>
      </c>
      <c r="E29" s="8">
        <f>'balance_raw_27146880'!$E$8</f>
        <v/>
      </c>
      <c r="F29" s="8">
        <f>'balance_raw_27146880'!$F$8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'balance_raw_27146880'!$B$9</f>
        <v/>
      </c>
      <c r="C30" s="5">
        <f>'balance_raw_27146880'!$C$9</f>
        <v/>
      </c>
      <c r="D30" s="5">
        <f>'balance_raw_27146880'!$D$9</f>
        <v/>
      </c>
      <c r="E30" s="5">
        <f>'balance_raw_27146880'!$E$9</f>
        <v/>
      </c>
      <c r="F30" s="5">
        <f>'balance_raw_27146880'!$F$9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'balance_raw_27146880'!$B$10</f>
        <v/>
      </c>
      <c r="C31" s="8">
        <f>'balance_raw_27146880'!$C$10</f>
        <v/>
      </c>
      <c r="D31" s="8">
        <f>'balance_raw_27146880'!$D$10</f>
        <v/>
      </c>
      <c r="E31" s="8">
        <f>'balance_raw_27146880'!$E$10</f>
        <v/>
      </c>
      <c r="F31" s="8">
        <f>'balance_raw_27146880'!$F$10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'balance_raw_27146880'!$B$11</f>
        <v/>
      </c>
      <c r="C32" s="11">
        <f>'balance_raw_27146880'!$C$11</f>
        <v/>
      </c>
      <c r="D32" s="11">
        <f>'balance_raw_27146880'!$D$11</f>
        <v/>
      </c>
      <c r="E32" s="11">
        <f>'balance_raw_27146880'!$E$11</f>
        <v/>
      </c>
      <c r="F32" s="11">
        <f>'balance_raw_27146880'!$F$11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'balance_raw_27146880'!$B$12</f>
        <v/>
      </c>
      <c r="C33" s="8">
        <f>'balance_raw_27146880'!$C$12</f>
        <v/>
      </c>
      <c r="D33" s="8">
        <f>'balance_raw_27146880'!$D$12</f>
        <v/>
      </c>
      <c r="E33" s="8">
        <f>'balance_raw_27146880'!$E$12</f>
        <v/>
      </c>
      <c r="F33" s="8">
        <f>'balance_raw_27146880'!$F$12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'balance_raw_27146880'!$B$13</f>
        <v/>
      </c>
      <c r="C34" s="5">
        <f>'balance_raw_27146880'!$C$13</f>
        <v/>
      </c>
      <c r="D34" s="5">
        <f>'balance_raw_27146880'!$D$13</f>
        <v/>
      </c>
      <c r="E34" s="5">
        <f>'balance_raw_27146880'!$E$13</f>
        <v/>
      </c>
      <c r="F34" s="5">
        <f>'balance_raw_27146880'!$F$13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'balance_raw_27146880'!$B$14</f>
        <v/>
      </c>
      <c r="C35" s="11">
        <f>'balance_raw_27146880'!$C$14</f>
        <v/>
      </c>
      <c r="D35" s="11">
        <f>'balance_raw_27146880'!$D$14</f>
        <v/>
      </c>
      <c r="E35" s="11">
        <f>'balance_raw_27146880'!$E$14</f>
        <v/>
      </c>
      <c r="F35" s="11">
        <f>'balance_raw_27146880'!$F$14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'balance_raw_27146880'!$B$15</f>
        <v/>
      </c>
      <c r="C36" s="11">
        <f>'balance_raw_27146880'!$C$15</f>
        <v/>
      </c>
      <c r="D36" s="11">
        <f>'balance_raw_27146880'!$D$15</f>
        <v/>
      </c>
      <c r="E36" s="11">
        <f>'balance_raw_27146880'!$E$15</f>
        <v/>
      </c>
      <c r="F36" s="11">
        <f>'balance_raw_27146880'!$F$15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'balance_raw_27146880'!$B$16</f>
        <v/>
      </c>
      <c r="C37" s="8">
        <f>'balance_raw_27146880'!$C$16</f>
        <v/>
      </c>
      <c r="D37" s="8">
        <f>'balance_raw_27146880'!$D$16</f>
        <v/>
      </c>
      <c r="E37" s="8">
        <f>'balance_raw_27146880'!$E$16</f>
        <v/>
      </c>
      <c r="F37" s="8">
        <f>'balance_raw_27146880'!$F$16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'balance_raw_27146880'!$B$17</f>
        <v/>
      </c>
      <c r="C38" s="5">
        <f>'balance_raw_27146880'!$C$17</f>
        <v/>
      </c>
      <c r="D38" s="5">
        <f>'balance_raw_27146880'!$D$17</f>
        <v/>
      </c>
      <c r="E38" s="5">
        <f>'balance_raw_27146880'!$E$17</f>
        <v/>
      </c>
      <c r="F38" s="5">
        <f>'balance_raw_27146880'!$F$17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'balance_raw_27146880'!$B$18</f>
        <v/>
      </c>
      <c r="C39" s="8">
        <f>'balance_raw_27146880'!$C$18</f>
        <v/>
      </c>
      <c r="D39" s="8">
        <f>'balance_raw_27146880'!$D$18</f>
        <v/>
      </c>
      <c r="E39" s="8">
        <f>'balance_raw_27146880'!$E$18</f>
        <v/>
      </c>
      <c r="F39" s="8">
        <f>'balance_raw_27146880'!$F$18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'balance_raw_27146880'!$B$19</f>
        <v/>
      </c>
      <c r="C40" s="11">
        <f>'balance_raw_27146880'!$C$19</f>
        <v/>
      </c>
      <c r="D40" s="11">
        <f>'balance_raw_27146880'!$D$19</f>
        <v/>
      </c>
      <c r="E40" s="11">
        <f>'balance_raw_27146880'!$E$19</f>
        <v/>
      </c>
      <c r="F40" s="11">
        <f>'balance_raw_27146880'!$F$19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'balance_raw_27146880'!$B$20</f>
        <v/>
      </c>
      <c r="C41" s="8">
        <f>'balance_raw_27146880'!$C$20</f>
        <v/>
      </c>
      <c r="D41" s="8">
        <f>'balance_raw_27146880'!$D$20</f>
        <v/>
      </c>
      <c r="E41" s="8">
        <f>'balance_raw_27146880'!$E$20</f>
        <v/>
      </c>
      <c r="F41" s="8">
        <f>'balance_raw_27146880'!$F$20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'balance_raw_27146880'!$B$21</f>
        <v/>
      </c>
      <c r="C42" s="5">
        <f>'balance_raw_27146880'!$C$21</f>
        <v/>
      </c>
      <c r="D42" s="5">
        <f>'balance_raw_27146880'!$D$21</f>
        <v/>
      </c>
      <c r="E42" s="5">
        <f>'balance_raw_27146880'!$E$21</f>
        <v/>
      </c>
      <c r="F42" s="5">
        <f>'balance_raw_27146880'!$F$21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'balance_raw_27146880'!$B$22</f>
        <v/>
      </c>
      <c r="C43" s="8">
        <f>'balance_raw_27146880'!$C$22</f>
        <v/>
      </c>
      <c r="D43" s="8">
        <f>'balance_raw_27146880'!$D$22</f>
        <v/>
      </c>
      <c r="E43" s="8">
        <f>'balance_raw_27146880'!$E$22</f>
        <v/>
      </c>
      <c r="F43" s="8">
        <f>'balance_raw_27146880'!$F$22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'balance_raw_27146880'!$B$23</f>
        <v/>
      </c>
      <c r="C44" s="5">
        <f>'balance_raw_27146880'!$C$23</f>
        <v/>
      </c>
      <c r="D44" s="5">
        <f>'balance_raw_27146880'!$D$23</f>
        <v/>
      </c>
      <c r="E44" s="5">
        <f>'balance_raw_27146880'!$E$23</f>
        <v/>
      </c>
      <c r="F44" s="5">
        <f>'balance_raw_27146880'!$F$23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'balance_raw_27146880'!$B$24</f>
        <v/>
      </c>
      <c r="C45" s="8">
        <f>'balance_raw_27146880'!$C$24</f>
        <v/>
      </c>
      <c r="D45" s="8">
        <f>'balance_raw_27146880'!$D$24</f>
        <v/>
      </c>
      <c r="E45" s="8">
        <f>'balance_raw_27146880'!$E$24</f>
        <v/>
      </c>
      <c r="F45" s="8">
        <f>'balance_raw_27146880'!$F$24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'balance_raw_27146880'!$B$25</f>
        <v/>
      </c>
      <c r="C46" s="5">
        <f>'balance_raw_27146880'!$C$25</f>
        <v/>
      </c>
      <c r="D46" s="5">
        <f>'balance_raw_27146880'!$D$25</f>
        <v/>
      </c>
      <c r="E46" s="5">
        <f>'balance_raw_27146880'!$E$25</f>
        <v/>
      </c>
      <c r="F46" s="5">
        <f>'balance_raw_27146880'!$F$25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'balance_raw_27146880'!$B$26</f>
        <v/>
      </c>
      <c r="C47" s="8">
        <f>'balance_raw_27146880'!$C$26</f>
        <v/>
      </c>
      <c r="D47" s="8">
        <f>'balance_raw_27146880'!$D$26</f>
        <v/>
      </c>
      <c r="E47" s="8">
        <f>'balance_raw_27146880'!$E$26</f>
        <v/>
      </c>
      <c r="F47" s="8">
        <f>'balance_raw_27146880'!$F$26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'balance_raw_27146880'!$B$27</f>
        <v/>
      </c>
      <c r="C48" s="11">
        <f>'balance_raw_27146880'!$C$27</f>
        <v/>
      </c>
      <c r="D48" s="11">
        <f>'balance_raw_27146880'!$D$27</f>
        <v/>
      </c>
      <c r="E48" s="11">
        <f>'balance_raw_27146880'!$E$27</f>
        <v/>
      </c>
      <c r="F48" s="11">
        <f>'balance_raw_27146880'!$F$27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'balance_raw_27146880'!$B$28</f>
        <v/>
      </c>
      <c r="C49" s="8">
        <f>'balance_raw_27146880'!$C$28</f>
        <v/>
      </c>
      <c r="D49" s="8">
        <f>'balance_raw_27146880'!$D$28</f>
        <v/>
      </c>
      <c r="E49" s="8">
        <f>'balance_raw_27146880'!$E$28</f>
        <v/>
      </c>
      <c r="F49" s="8">
        <f>'balance_raw_27146880'!$F$28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'balance_raw_27146880'!$B$29</f>
        <v/>
      </c>
      <c r="C50" s="5">
        <f>'balance_raw_27146880'!$C$29</f>
        <v/>
      </c>
      <c r="D50" s="5">
        <f>'balance_raw_27146880'!$D$29</f>
        <v/>
      </c>
      <c r="E50" s="5">
        <f>'balance_raw_27146880'!$E$29</f>
        <v/>
      </c>
      <c r="F50" s="5">
        <f>'balance_raw_27146880'!$F$29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'balance_raw_27146880'!$B$30</f>
        <v/>
      </c>
      <c r="C51" s="11">
        <f>'balance_raw_27146880'!$C$30</f>
        <v/>
      </c>
      <c r="D51" s="11">
        <f>'balance_raw_27146880'!$D$30</f>
        <v/>
      </c>
      <c r="E51" s="11">
        <f>'balance_raw_27146880'!$E$30</f>
        <v/>
      </c>
      <c r="F51" s="11">
        <f>'balance_raw_27146880'!$F$30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'balance_raw_27146880'!$B$31</f>
        <v/>
      </c>
      <c r="C52" s="11">
        <f>'balance_raw_27146880'!$C$31</f>
        <v/>
      </c>
      <c r="D52" s="11">
        <f>'balance_raw_27146880'!$D$31</f>
        <v/>
      </c>
      <c r="E52" s="11">
        <f>'balance_raw_27146880'!$E$31</f>
        <v/>
      </c>
      <c r="F52" s="11">
        <f>'balance_raw_27146880'!$F$31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'balance_raw_27146880'!$B$32</f>
        <v/>
      </c>
      <c r="C55" s="8">
        <f>'balance_raw_27146880'!$C$32</f>
        <v/>
      </c>
      <c r="D55" s="8">
        <f>'balance_raw_27146880'!$D$32</f>
        <v/>
      </c>
      <c r="E55" s="8">
        <f>'balance_raw_27146880'!$E$32</f>
        <v/>
      </c>
      <c r="F55" s="8">
        <f>'balance_raw_27146880'!$F$32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'balance_raw_27146880'!$B$33</f>
        <v/>
      </c>
      <c r="C56" s="5">
        <f>'balance_raw_27146880'!$C$33</f>
        <v/>
      </c>
      <c r="D56" s="5">
        <f>'balance_raw_27146880'!$D$33</f>
        <v/>
      </c>
      <c r="E56" s="5">
        <f>'balance_raw_27146880'!$E$33</f>
        <v/>
      </c>
      <c r="F56" s="5">
        <f>'balance_raw_27146880'!$F$33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'balance_raw_27146880'!$B$34</f>
        <v/>
      </c>
      <c r="C57" s="8">
        <f>'balance_raw_27146880'!$C$34</f>
        <v/>
      </c>
      <c r="D57" s="8">
        <f>'balance_raw_27146880'!$D$34</f>
        <v/>
      </c>
      <c r="E57" s="8">
        <f>'balance_raw_27146880'!$E$34</f>
        <v/>
      </c>
      <c r="F57" s="8">
        <f>'balance_raw_27146880'!$F$34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'balance_raw_27146880'!$B$35</f>
        <v/>
      </c>
      <c r="C58" s="5">
        <f>'balance_raw_27146880'!$C$35</f>
        <v/>
      </c>
      <c r="D58" s="5">
        <f>'balance_raw_27146880'!$D$35</f>
        <v/>
      </c>
      <c r="E58" s="5">
        <f>'balance_raw_27146880'!$E$35</f>
        <v/>
      </c>
      <c r="F58" s="5">
        <f>'balance_raw_27146880'!$F$35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'balance_raw_27146880'!$B$36</f>
        <v/>
      </c>
      <c r="C59" s="8">
        <f>'balance_raw_27146880'!$C$36</f>
        <v/>
      </c>
      <c r="D59" s="8">
        <f>'balance_raw_27146880'!$D$36</f>
        <v/>
      </c>
      <c r="E59" s="8">
        <f>'balance_raw_27146880'!$E$36</f>
        <v/>
      </c>
      <c r="F59" s="8">
        <f>'balance_raw_27146880'!$F$36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'balance_raw_27146880'!$B$37</f>
        <v/>
      </c>
      <c r="C60" s="5">
        <f>'balance_raw_27146880'!$C$37</f>
        <v/>
      </c>
      <c r="D60" s="5">
        <f>'balance_raw_27146880'!$D$37</f>
        <v/>
      </c>
      <c r="E60" s="5">
        <f>'balance_raw_27146880'!$E$37</f>
        <v/>
      </c>
      <c r="F60" s="5">
        <f>'balance_raw_27146880'!$F$37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'balance_raw_27146880'!$B$38</f>
        <v/>
      </c>
      <c r="C61" s="11">
        <f>'balance_raw_27146880'!$C$38</f>
        <v/>
      </c>
      <c r="D61" s="11">
        <f>'balance_raw_27146880'!$D$38</f>
        <v/>
      </c>
      <c r="E61" s="11">
        <f>'balance_raw_27146880'!$E$38</f>
        <v/>
      </c>
      <c r="F61" s="11">
        <f>'balance_raw_27146880'!$F$38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'balance_raw_27146880'!$B$39</f>
        <v/>
      </c>
      <c r="C62" s="5">
        <f>'balance_raw_27146880'!$C$39</f>
        <v/>
      </c>
      <c r="D62" s="5">
        <f>'balance_raw_27146880'!$D$39</f>
        <v/>
      </c>
      <c r="E62" s="5">
        <f>'balance_raw_27146880'!$E$39</f>
        <v/>
      </c>
      <c r="F62" s="5">
        <f>'balance_raw_27146880'!$F$39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'balance_raw_27146880'!$B$40</f>
        <v/>
      </c>
      <c r="C63" s="11">
        <f>'balance_raw_27146880'!$C$40</f>
        <v/>
      </c>
      <c r="D63" s="11">
        <f>'balance_raw_27146880'!$D$40</f>
        <v/>
      </c>
      <c r="E63" s="11">
        <f>'balance_raw_27146880'!$E$40</f>
        <v/>
      </c>
      <c r="F63" s="11">
        <f>'balance_raw_27146880'!$F$40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'balance_raw_27146880'!$B$41</f>
        <v/>
      </c>
      <c r="C64" s="5">
        <f>'balance_raw_27146880'!$C$41</f>
        <v/>
      </c>
      <c r="D64" s="5">
        <f>'balance_raw_27146880'!$D$41</f>
        <v/>
      </c>
      <c r="E64" s="5">
        <f>'balance_raw_27146880'!$E$41</f>
        <v/>
      </c>
      <c r="F64" s="5">
        <f>'balance_raw_27146880'!$F$41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'balance_raw_27146880'!$B$42</f>
        <v/>
      </c>
      <c r="C65" s="8">
        <f>'balance_raw_27146880'!$C$42</f>
        <v/>
      </c>
      <c r="D65" s="8">
        <f>'balance_raw_27146880'!$D$42</f>
        <v/>
      </c>
      <c r="E65" s="8">
        <f>'balance_raw_27146880'!$E$42</f>
        <v/>
      </c>
      <c r="F65" s="8">
        <f>'balance_raw_27146880'!$F$42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'balance_raw_27146880'!$B$43</f>
        <v/>
      </c>
      <c r="C66" s="5">
        <f>'balance_raw_27146880'!$C$43</f>
        <v/>
      </c>
      <c r="D66" s="5">
        <f>'balance_raw_27146880'!$D$43</f>
        <v/>
      </c>
      <c r="E66" s="5">
        <f>'balance_raw_27146880'!$E$43</f>
        <v/>
      </c>
      <c r="F66" s="5">
        <f>'balance_raw_27146880'!$F$43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'balance_raw_27146880'!$B$44</f>
        <v/>
      </c>
      <c r="C67" s="8">
        <f>'balance_raw_27146880'!$C$44</f>
        <v/>
      </c>
      <c r="D67" s="8">
        <f>'balance_raw_27146880'!$D$44</f>
        <v/>
      </c>
      <c r="E67" s="8">
        <f>'balance_raw_27146880'!$E$44</f>
        <v/>
      </c>
      <c r="F67" s="8">
        <f>'balance_raw_27146880'!$F$44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'balance_raw_27146880'!$B$45</f>
        <v/>
      </c>
      <c r="C68" s="11">
        <f>'balance_raw_27146880'!$C$45</f>
        <v/>
      </c>
      <c r="D68" s="11">
        <f>'balance_raw_27146880'!$D$45</f>
        <v/>
      </c>
      <c r="E68" s="11">
        <f>'balance_raw_27146880'!$E$45</f>
        <v/>
      </c>
      <c r="F68" s="11">
        <f>'balance_raw_27146880'!$F$45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'balance_raw_27146880'!$B$46</f>
        <v/>
      </c>
      <c r="C69" s="8">
        <f>'balance_raw_27146880'!$C$46</f>
        <v/>
      </c>
      <c r="D69" s="8">
        <f>'balance_raw_27146880'!$D$46</f>
        <v/>
      </c>
      <c r="E69" s="8">
        <f>'balance_raw_27146880'!$E$46</f>
        <v/>
      </c>
      <c r="F69" s="8">
        <f>'balance_raw_27146880'!$F$46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'balance_raw_27146880'!$B$47</f>
        <v/>
      </c>
      <c r="C70" s="5">
        <f>'balance_raw_27146880'!$C$47</f>
        <v/>
      </c>
      <c r="D70" s="5">
        <f>'balance_raw_27146880'!$D$47</f>
        <v/>
      </c>
      <c r="E70" s="5">
        <f>'balance_raw_27146880'!$E$47</f>
        <v/>
      </c>
      <c r="F70" s="5">
        <f>'balance_raw_27146880'!$F$47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'balance_raw_27146880'!$B$48</f>
        <v/>
      </c>
      <c r="C71" s="8">
        <f>'balance_raw_27146880'!$C$48</f>
        <v/>
      </c>
      <c r="D71" s="8">
        <f>'balance_raw_27146880'!$D$48</f>
        <v/>
      </c>
      <c r="E71" s="8">
        <f>'balance_raw_27146880'!$E$48</f>
        <v/>
      </c>
      <c r="F71" s="8">
        <f>'balance_raw_27146880'!$F$48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'balance_raw_27146880'!$B$49</f>
        <v/>
      </c>
      <c r="C72" s="5">
        <f>'balance_raw_27146880'!$C$49</f>
        <v/>
      </c>
      <c r="D72" s="5">
        <f>'balance_raw_27146880'!$D$49</f>
        <v/>
      </c>
      <c r="E72" s="5">
        <f>'balance_raw_27146880'!$E$49</f>
        <v/>
      </c>
      <c r="F72" s="5">
        <f>'balance_raw_27146880'!$F$49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'balance_raw_27146880'!$B$50</f>
        <v/>
      </c>
      <c r="C73" s="8">
        <f>'balance_raw_27146880'!$C$50</f>
        <v/>
      </c>
      <c r="D73" s="8">
        <f>'balance_raw_27146880'!$D$50</f>
        <v/>
      </c>
      <c r="E73" s="8">
        <f>'balance_raw_27146880'!$E$50</f>
        <v/>
      </c>
      <c r="F73" s="8">
        <f>'balance_raw_27146880'!$F$50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'balance_raw_27146880'!$B$51</f>
        <v/>
      </c>
      <c r="C74" s="5">
        <f>'balance_raw_27146880'!$C$51</f>
        <v/>
      </c>
      <c r="D74" s="5">
        <f>'balance_raw_27146880'!$D$51</f>
        <v/>
      </c>
      <c r="E74" s="5">
        <f>'balance_raw_27146880'!$E$51</f>
        <v/>
      </c>
      <c r="F74" s="5">
        <f>'balance_raw_27146880'!$F$51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'balance_raw_27146880'!$B$52</f>
        <v/>
      </c>
      <c r="C75" s="8">
        <f>'balance_raw_27146880'!$C$52</f>
        <v/>
      </c>
      <c r="D75" s="8">
        <f>'balance_raw_27146880'!$D$52</f>
        <v/>
      </c>
      <c r="E75" s="8">
        <f>'balance_raw_27146880'!$E$52</f>
        <v/>
      </c>
      <c r="F75" s="8">
        <f>'balance_raw_27146880'!$F$52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'balance_raw_27146880'!$B$53</f>
        <v/>
      </c>
      <c r="C76" s="5">
        <f>'balance_raw_27146880'!$C$53</f>
        <v/>
      </c>
      <c r="D76" s="5">
        <f>'balance_raw_27146880'!$D$53</f>
        <v/>
      </c>
      <c r="E76" s="5">
        <f>'balance_raw_27146880'!$E$53</f>
        <v/>
      </c>
      <c r="F76" s="5">
        <f>'balance_raw_27146880'!$F$53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'balance_raw_27146880'!$B$54</f>
        <v/>
      </c>
      <c r="C77" s="8">
        <f>'balance_raw_27146880'!$C$54</f>
        <v/>
      </c>
      <c r="D77" s="8">
        <f>'balance_raw_27146880'!$D$54</f>
        <v/>
      </c>
      <c r="E77" s="8">
        <f>'balance_raw_27146880'!$E$54</f>
        <v/>
      </c>
      <c r="F77" s="8">
        <f>'balance_raw_27146880'!$F$54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'balance_raw_27146880'!$B$55</f>
        <v/>
      </c>
      <c r="C78" s="5">
        <f>'balance_raw_27146880'!$C$55</f>
        <v/>
      </c>
      <c r="D78" s="5">
        <f>'balance_raw_27146880'!$D$55</f>
        <v/>
      </c>
      <c r="E78" s="5">
        <f>'balance_raw_27146880'!$E$55</f>
        <v/>
      </c>
      <c r="F78" s="5">
        <f>'balance_raw_27146880'!$F$55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'balance_raw_27146880'!$B$56</f>
        <v/>
      </c>
      <c r="C79" s="8">
        <f>'balance_raw_27146880'!$C$56</f>
        <v/>
      </c>
      <c r="D79" s="8">
        <f>'balance_raw_27146880'!$D$56</f>
        <v/>
      </c>
      <c r="E79" s="8">
        <f>'balance_raw_27146880'!$E$56</f>
        <v/>
      </c>
      <c r="F79" s="8">
        <f>'balance_raw_27146880'!$F$56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'balance_raw_27146880'!$B$57</f>
        <v/>
      </c>
      <c r="C80" s="11">
        <f>'balance_raw_27146880'!$C$57</f>
        <v/>
      </c>
      <c r="D80" s="11">
        <f>'balance_raw_27146880'!$D$57</f>
        <v/>
      </c>
      <c r="E80" s="11">
        <f>'balance_raw_27146880'!$E$57</f>
        <v/>
      </c>
      <c r="F80" s="11">
        <f>'balance_raw_27146880'!$F$57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'balance_raw_27146880'!$B$58</f>
        <v/>
      </c>
      <c r="C81" s="11">
        <f>'balance_raw_27146880'!$C$58</f>
        <v/>
      </c>
      <c r="D81" s="11">
        <f>'balance_raw_27146880'!$D$58</f>
        <v/>
      </c>
      <c r="E81" s="11">
        <f>'balance_raw_27146880'!$E$58</f>
        <v/>
      </c>
      <c r="F81" s="11">
        <f>'balance_raw_27146880'!$F$58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'balance_raw_27146880'!$B$59</f>
        <v/>
      </c>
      <c r="C82" s="11">
        <f>'balance_raw_27146880'!$C$59</f>
        <v/>
      </c>
      <c r="D82" s="11">
        <f>'balance_raw_27146880'!$D$59</f>
        <v/>
      </c>
      <c r="E82" s="11">
        <f>'balance_raw_27146880'!$E$59</f>
        <v/>
      </c>
      <c r="F82" s="11">
        <f>'balance_raw_27146880'!$F$59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'res_raw_27146880'!$B$19</f>
        <v/>
      </c>
      <c r="C85" s="8">
        <f>'res_raw_27146880'!$C$19</f>
        <v/>
      </c>
      <c r="D85" s="8">
        <f>'res_raw_27146880'!$D$19</f>
        <v/>
      </c>
      <c r="E85" s="8">
        <f>'res_raw_27146880'!$E$19</f>
        <v/>
      </c>
      <c r="F85" s="8">
        <f>'res_raw_27146880'!$F$19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'res_raw_27146880'!$B$20</f>
        <v/>
      </c>
      <c r="C86" s="5">
        <f>'res_raw_27146880'!$C$20</f>
        <v/>
      </c>
      <c r="D86" s="5">
        <f>'res_raw_27146880'!$D$20</f>
        <v/>
      </c>
      <c r="E86" s="5">
        <f>'res_raw_27146880'!$E$20</f>
        <v/>
      </c>
      <c r="F86" s="5">
        <f>'res_raw_27146880'!$F$20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HANEGAL A/S (CVR 27146880)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27071</v>
      </c>
      <c r="C6" s="16" t="n">
        <v>19086</v>
      </c>
      <c r="D6" s="16" t="n">
        <v>23807</v>
      </c>
      <c r="E6" s="16" t="n">
        <v>17667</v>
      </c>
      <c r="F6" s="16" t="n">
        <v>8072</v>
      </c>
    </row>
    <row r="7">
      <c r="A7" s="15" t="inlineStr">
        <is>
          <t>Personaleomkostninger</t>
        </is>
      </c>
      <c r="B7" s="16" t="n">
        <v>21361</v>
      </c>
      <c r="C7" s="16" t="n">
        <v>24537</v>
      </c>
      <c r="D7" s="16" t="n">
        <v>43664</v>
      </c>
      <c r="E7" s="16" t="n">
        <v>25005</v>
      </c>
      <c r="F7" s="16" t="n">
        <v>21344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3613</v>
      </c>
      <c r="C9" s="16" t="n">
        <v>4296</v>
      </c>
      <c r="D9" s="16" t="n">
        <v>6458</v>
      </c>
      <c r="E9" s="16" t="n">
        <v>5921</v>
      </c>
      <c r="F9" s="16" t="n">
        <v>2137</v>
      </c>
    </row>
    <row r="10">
      <c r="A10" s="15" t="inlineStr">
        <is>
          <t>Andre driftsomkostninger</t>
        </is>
      </c>
      <c r="B10" s="16" t="n"/>
      <c r="C10" s="16" t="n">
        <v>19</v>
      </c>
      <c r="D10" s="16" t="n">
        <v>215</v>
      </c>
      <c r="E10" s="16" t="n">
        <v>641</v>
      </c>
      <c r="F10" s="16" t="n">
        <v>2659</v>
      </c>
    </row>
    <row r="11">
      <c r="A11" s="17" t="inlineStr">
        <is>
          <t>Resultat af primær drift</t>
        </is>
      </c>
      <c r="B11" s="16" t="n">
        <v>2098</v>
      </c>
      <c r="C11" s="16" t="n">
        <v>-9765</v>
      </c>
      <c r="D11" s="16" t="n">
        <v>-26530</v>
      </c>
      <c r="E11" s="16" t="n">
        <v>-13900</v>
      </c>
      <c r="F11" s="16" t="n">
        <v>-18068</v>
      </c>
    </row>
    <row r="12">
      <c r="A12" s="15" t="inlineStr">
        <is>
          <t>Indtægter af kapitalandele, dattervirksomheder</t>
        </is>
      </c>
      <c r="B12" s="16" t="n">
        <v>-75</v>
      </c>
      <c r="C12" s="16" t="n">
        <v>-25</v>
      </c>
      <c r="D12" s="16" t="n">
        <v>0</v>
      </c>
      <c r="E12" s="16" t="n"/>
      <c r="F12" s="16" t="n"/>
    </row>
    <row r="13">
      <c r="A13" s="15" t="inlineStr">
        <is>
          <t>Finansielle indtægter</t>
        </is>
      </c>
      <c r="B13" s="16" t="n">
        <v>196</v>
      </c>
      <c r="C13" s="16" t="n">
        <v>163</v>
      </c>
      <c r="D13" s="16" t="n">
        <v>0</v>
      </c>
      <c r="E13" s="16" t="n">
        <v>209</v>
      </c>
      <c r="F13" s="16" t="n">
        <v>234</v>
      </c>
    </row>
    <row r="14">
      <c r="A14" s="15" t="inlineStr">
        <is>
          <t>Finansielle omkostninger</t>
        </is>
      </c>
      <c r="B14" s="16" t="n">
        <v>1017</v>
      </c>
      <c r="C14" s="16" t="n">
        <v>1370</v>
      </c>
      <c r="D14" s="16" t="n">
        <v>3587</v>
      </c>
      <c r="E14" s="16" t="n">
        <v>1765</v>
      </c>
      <c r="F14" s="16" t="n">
        <v>1289</v>
      </c>
    </row>
    <row r="15">
      <c r="A15" s="17" t="inlineStr">
        <is>
          <t>Finansielle poster, netto</t>
        </is>
      </c>
      <c r="B15" s="16" t="n">
        <v>-821</v>
      </c>
      <c r="C15" s="16" t="n">
        <v>-1232</v>
      </c>
      <c r="D15" s="16" t="n">
        <v>-3587</v>
      </c>
      <c r="E15" s="16" t="n">
        <v>-1556</v>
      </c>
      <c r="F15" s="16" t="n">
        <v>-1055</v>
      </c>
    </row>
    <row r="16">
      <c r="A16" s="17" t="inlineStr">
        <is>
          <t>Resultat før skat</t>
        </is>
      </c>
      <c r="B16" s="16" t="n">
        <v>1202</v>
      </c>
      <c r="C16" s="16" t="n">
        <v>-10997</v>
      </c>
      <c r="D16" s="16" t="n">
        <v>-30118</v>
      </c>
      <c r="E16" s="16" t="n">
        <v>-15456</v>
      </c>
      <c r="F16" s="16" t="n">
        <v>-19124</v>
      </c>
    </row>
    <row r="17">
      <c r="A17" s="15" t="inlineStr">
        <is>
          <t>Skat af årets resultat</t>
        </is>
      </c>
      <c r="B17" s="16" t="n">
        <v>129</v>
      </c>
      <c r="C17" s="16" t="n">
        <v>-2413</v>
      </c>
      <c r="D17" s="16" t="n">
        <v>-6620</v>
      </c>
      <c r="E17" s="16" t="n">
        <v>-3386</v>
      </c>
      <c r="F17" s="16" t="n">
        <v>-4177</v>
      </c>
    </row>
    <row r="18">
      <c r="A18" s="17" t="inlineStr">
        <is>
          <t>Årets resultat</t>
        </is>
      </c>
      <c r="B18" s="16" t="n">
        <v>1073</v>
      </c>
      <c r="C18" s="16" t="n">
        <v>-8584</v>
      </c>
      <c r="D18" s="16" t="n">
        <v>-23498</v>
      </c>
      <c r="E18" s="16" t="n">
        <v>-12070</v>
      </c>
      <c r="F18" s="16" t="n">
        <v>-14947</v>
      </c>
    </row>
    <row r="19">
      <c r="A19" s="15" t="inlineStr">
        <is>
          <t>Gns. antal medarbejdere</t>
        </is>
      </c>
      <c r="B19" s="16" t="n">
        <v>48</v>
      </c>
      <c r="C19" s="16" t="n">
        <v>54</v>
      </c>
      <c r="D19" s="16" t="n">
        <v>58</v>
      </c>
      <c r="E19" s="16" t="n">
        <v>50</v>
      </c>
      <c r="F19" s="16" t="n">
        <v>37</v>
      </c>
    </row>
    <row r="20">
      <c r="A20" s="15" t="inlineStr">
        <is>
          <t>Investering i materielle anlægsaktiver</t>
        </is>
      </c>
      <c r="B20" s="16" t="n">
        <v>8471</v>
      </c>
      <c r="C20" s="16" t="n">
        <v>924</v>
      </c>
      <c r="D20" s="16" t="n">
        <v>1200</v>
      </c>
      <c r="E20" s="16" t="n">
        <v>5768</v>
      </c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HANEGAL A/S (CVR 27146880)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3740</v>
      </c>
      <c r="C2" s="16" t="n">
        <v>3037</v>
      </c>
      <c r="D2" s="16" t="n">
        <v>785</v>
      </c>
      <c r="E2" s="16" t="n">
        <v>0</v>
      </c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40</v>
      </c>
      <c r="C4" s="16" t="n">
        <v>20</v>
      </c>
      <c r="D4" s="16" t="n">
        <v>0</v>
      </c>
      <c r="E4" s="16" t="n">
        <v>0</v>
      </c>
      <c r="F4" s="16" t="n"/>
    </row>
    <row r="5">
      <c r="A5" s="17" t="inlineStr">
        <is>
          <t>Immaterielle anlægsaktiver</t>
        </is>
      </c>
      <c r="B5" s="16" t="n">
        <v>4470</v>
      </c>
      <c r="C5" s="16" t="n">
        <v>3526</v>
      </c>
      <c r="D5" s="16" t="n">
        <v>1333</v>
      </c>
      <c r="E5" s="16" t="n">
        <v>117</v>
      </c>
      <c r="F5" s="16" t="n">
        <v>58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12546</v>
      </c>
      <c r="C7" s="16" t="n">
        <v>11526</v>
      </c>
      <c r="D7" s="16" t="n">
        <v>4653</v>
      </c>
      <c r="E7" s="16" t="n">
        <v>4213</v>
      </c>
      <c r="F7" s="16" t="n">
        <v>7568</v>
      </c>
    </row>
    <row r="8">
      <c r="A8" s="15" t="inlineStr">
        <is>
          <t>Driftsmateriel og inventar</t>
        </is>
      </c>
      <c r="B8" s="16" t="n">
        <v>4860</v>
      </c>
      <c r="C8" s="16" t="n">
        <v>4508</v>
      </c>
      <c r="D8" s="16" t="n">
        <v>3330</v>
      </c>
      <c r="E8" s="16" t="n">
        <v>1379</v>
      </c>
      <c r="F8" s="16" t="n">
        <v>593</v>
      </c>
    </row>
    <row r="9">
      <c r="A9" s="15" t="inlineStr">
        <is>
          <t>Indretning af lejede lokaler</t>
        </is>
      </c>
      <c r="B9" s="16" t="n">
        <v>4155</v>
      </c>
      <c r="C9" s="16" t="n">
        <v>3364</v>
      </c>
      <c r="D9" s="16" t="n">
        <v>2163</v>
      </c>
      <c r="E9" s="16" t="n">
        <v>4950</v>
      </c>
      <c r="F9" s="16" t="n">
        <v>7539</v>
      </c>
    </row>
    <row r="10">
      <c r="A10" s="15" t="inlineStr">
        <is>
          <t>Forudbetaling og anlægsaktiver under opførelse</t>
        </is>
      </c>
      <c r="B10" s="16" t="n">
        <v>0</v>
      </c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21562</v>
      </c>
      <c r="C11" s="16" t="n">
        <v>19398</v>
      </c>
      <c r="D11" s="16" t="n">
        <v>10147</v>
      </c>
      <c r="E11" s="16" t="n">
        <v>10542</v>
      </c>
      <c r="F11" s="16" t="n">
        <v>15700</v>
      </c>
    </row>
    <row r="12">
      <c r="A12" s="15" t="inlineStr">
        <is>
          <t>Kapitalandele, dattervirksomheder</t>
        </is>
      </c>
      <c r="B12" s="16" t="n">
        <v>25</v>
      </c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445</v>
      </c>
      <c r="C13" s="16" t="n">
        <v>458</v>
      </c>
      <c r="D13" s="16" t="n">
        <v>486</v>
      </c>
      <c r="E13" s="16" t="n">
        <v>501</v>
      </c>
      <c r="F13" s="16" t="n">
        <v>0</v>
      </c>
    </row>
    <row r="14">
      <c r="A14" s="17" t="inlineStr">
        <is>
          <t>Finansielle anlægsaktiver</t>
        </is>
      </c>
      <c r="B14" s="16" t="n">
        <v>470</v>
      </c>
      <c r="C14" s="16" t="n">
        <v>458</v>
      </c>
      <c r="D14" s="16" t="n">
        <v>486</v>
      </c>
      <c r="E14" s="16" t="n">
        <v>501</v>
      </c>
      <c r="F14" s="16" t="n">
        <v>0</v>
      </c>
    </row>
    <row r="15">
      <c r="A15" s="17" t="inlineStr">
        <is>
          <t>Anlægsaktiver</t>
        </is>
      </c>
      <c r="B15" s="16" t="n">
        <v>26501</v>
      </c>
      <c r="C15" s="16" t="n">
        <v>23382</v>
      </c>
      <c r="D15" s="16" t="n">
        <v>11966</v>
      </c>
      <c r="E15" s="16" t="n">
        <v>11159</v>
      </c>
      <c r="F15" s="16" t="n">
        <v>15757</v>
      </c>
    </row>
    <row r="16">
      <c r="A16" s="15" t="inlineStr">
        <is>
          <t>Råvarer og hjælpematerialer</t>
        </is>
      </c>
      <c r="B16" s="16" t="n">
        <v>7292</v>
      </c>
      <c r="C16" s="16" t="n">
        <v>7901</v>
      </c>
      <c r="D16" s="16" t="n">
        <v>4887</v>
      </c>
      <c r="E16" s="16" t="n">
        <v>4448</v>
      </c>
      <c r="F16" s="16" t="n">
        <v>3605</v>
      </c>
    </row>
    <row r="17">
      <c r="A17" s="15" t="inlineStr">
        <is>
          <t>Varer under fremstilling</t>
        </is>
      </c>
      <c r="B17" s="16" t="n">
        <v>2447</v>
      </c>
      <c r="C17" s="16" t="n">
        <v>3459</v>
      </c>
      <c r="D17" s="16" t="n">
        <v>1413</v>
      </c>
      <c r="E17" s="16" t="n">
        <v>1433</v>
      </c>
      <c r="F17" s="16" t="n">
        <v>568</v>
      </c>
    </row>
    <row r="18">
      <c r="A18" s="15" t="inlineStr">
        <is>
          <t>Færdigvarer og handelsvarer</t>
        </is>
      </c>
      <c r="B18" s="16" t="n">
        <v>1104</v>
      </c>
      <c r="C18" s="16" t="n">
        <v>436</v>
      </c>
      <c r="D18" s="16" t="n">
        <v>474</v>
      </c>
      <c r="E18" s="16" t="n">
        <v>363</v>
      </c>
      <c r="F18" s="16" t="n">
        <v>845</v>
      </c>
    </row>
    <row r="19">
      <c r="A19" s="17" t="inlineStr">
        <is>
          <t>Varebeholdninger</t>
        </is>
      </c>
      <c r="B19" s="16" t="n">
        <v>10954</v>
      </c>
      <c r="C19" s="16" t="n">
        <v>11796</v>
      </c>
      <c r="D19" s="16" t="n">
        <v>6891</v>
      </c>
      <c r="E19" s="16" t="n">
        <v>6244</v>
      </c>
      <c r="F19" s="16" t="n">
        <v>5018</v>
      </c>
    </row>
    <row r="20">
      <c r="A20" s="15" t="inlineStr">
        <is>
          <t>Tilgodehavender fra salg og tjenesteydelser</t>
        </is>
      </c>
      <c r="B20" s="16" t="n">
        <v>5392</v>
      </c>
      <c r="C20" s="16" t="n">
        <v>7695</v>
      </c>
      <c r="D20" s="16" t="n">
        <v>6522</v>
      </c>
      <c r="E20" s="16" t="n">
        <v>6049</v>
      </c>
      <c r="F20" s="16" t="n">
        <v>4076</v>
      </c>
    </row>
    <row r="21">
      <c r="A21" s="15" t="inlineStr">
        <is>
          <t>Tilgodehavender hos tilknyttede virksomheder</t>
        </is>
      </c>
      <c r="B21" s="16" t="n">
        <v>5202</v>
      </c>
      <c r="C21" s="16" t="n">
        <v>3107</v>
      </c>
      <c r="D21" s="16" t="n">
        <v>19333</v>
      </c>
      <c r="E21" s="16" t="n">
        <v>5184</v>
      </c>
      <c r="F21" s="16" t="n">
        <v>9312</v>
      </c>
    </row>
    <row r="22">
      <c r="A22" s="15" t="inlineStr">
        <is>
          <t>Andre tilgodehavender</t>
        </is>
      </c>
      <c r="B22" s="16" t="n">
        <v>477</v>
      </c>
      <c r="C22" s="16" t="n">
        <v>480</v>
      </c>
      <c r="D22" s="16" t="n">
        <v>50</v>
      </c>
      <c r="E22" s="16" t="n">
        <v>989</v>
      </c>
      <c r="F22" s="16" t="n">
        <v>51</v>
      </c>
    </row>
    <row r="23">
      <c r="A23" s="15" t="inlineStr">
        <is>
          <t>Periodeafgrænsningsposter (aktiver)</t>
        </is>
      </c>
      <c r="B23" s="16" t="n">
        <v>630</v>
      </c>
      <c r="C23" s="16" t="n">
        <v>469</v>
      </c>
      <c r="D23" s="16" t="n">
        <v>241</v>
      </c>
      <c r="E23" s="16" t="n">
        <v>532</v>
      </c>
      <c r="F23" s="16" t="n">
        <v>243</v>
      </c>
    </row>
    <row r="24">
      <c r="A24" s="15" t="inlineStr">
        <is>
          <t>Udskudt skatteaktiv</t>
        </is>
      </c>
      <c r="B24" s="16" t="n"/>
      <c r="C24" s="16" t="n">
        <v>0</v>
      </c>
      <c r="D24" s="16" t="n">
        <v>5564</v>
      </c>
      <c r="E24" s="16" t="n">
        <v>1414</v>
      </c>
      <c r="F24" s="16" t="n">
        <v>1242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>
        <v>2603</v>
      </c>
      <c r="F25" s="16" t="n">
        <v>4349</v>
      </c>
    </row>
    <row r="26">
      <c r="A26" s="15" t="inlineStr">
        <is>
          <t>Kortfristede skattetilgodehavender</t>
        </is>
      </c>
      <c r="B26" s="16" t="n">
        <v>0</v>
      </c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11701</v>
      </c>
      <c r="C27" s="16" t="n">
        <v>11852</v>
      </c>
      <c r="D27" s="16" t="n">
        <v>31710</v>
      </c>
      <c r="E27" s="16" t="n">
        <v>16770</v>
      </c>
      <c r="F27" s="16" t="n">
        <v>19273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0</v>
      </c>
      <c r="C29" s="16" t="n">
        <v>0</v>
      </c>
      <c r="D29" s="16" t="n">
        <v>0</v>
      </c>
      <c r="E29" s="16" t="n"/>
      <c r="F29" s="16" t="n"/>
    </row>
    <row r="30">
      <c r="A30" s="17" t="inlineStr">
        <is>
          <t>Omsætningsaktiver</t>
        </is>
      </c>
      <c r="B30" s="16" t="n">
        <v>22655</v>
      </c>
      <c r="C30" s="16" t="n">
        <v>23648</v>
      </c>
      <c r="D30" s="16" t="n">
        <v>38601</v>
      </c>
      <c r="E30" s="16" t="n">
        <v>23014</v>
      </c>
      <c r="F30" s="16" t="n">
        <v>24291</v>
      </c>
    </row>
    <row r="31">
      <c r="A31" s="17" t="inlineStr">
        <is>
          <t>Aktiver</t>
        </is>
      </c>
      <c r="B31" s="16" t="n">
        <v>49156</v>
      </c>
      <c r="C31" s="16" t="n">
        <v>47030</v>
      </c>
      <c r="D31" s="16" t="n">
        <v>50567</v>
      </c>
      <c r="E31" s="16" t="n">
        <v>34173</v>
      </c>
      <c r="F31" s="16" t="n">
        <v>40048</v>
      </c>
    </row>
    <row r="32">
      <c r="A32" s="15" t="inlineStr">
        <is>
          <t>Selskabskapital</t>
        </is>
      </c>
      <c r="B32" s="16" t="n">
        <v>500</v>
      </c>
      <c r="C32" s="16" t="n">
        <v>500</v>
      </c>
      <c r="D32" s="16" t="n">
        <v>500</v>
      </c>
      <c r="E32" s="16" t="n">
        <v>500</v>
      </c>
      <c r="F32" s="16" t="n">
        <v>500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2855</v>
      </c>
      <c r="C34" s="16" t="n">
        <v>2377</v>
      </c>
      <c r="D34" s="16" t="n">
        <v>612</v>
      </c>
      <c r="E34" s="16" t="n">
        <v>0</v>
      </c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12342</v>
      </c>
      <c r="C37" s="16" t="n">
        <v>4235</v>
      </c>
      <c r="D37" s="16" t="n">
        <v>6826</v>
      </c>
      <c r="E37" s="16" t="n">
        <v>8667</v>
      </c>
      <c r="F37" s="16" t="n">
        <v>6721</v>
      </c>
    </row>
    <row r="38">
      <c r="A38" s="17" t="inlineStr">
        <is>
          <t>Egenkapital i alt</t>
        </is>
      </c>
      <c r="B38" s="16" t="n">
        <v>15697</v>
      </c>
      <c r="C38" s="16" t="n">
        <v>7112</v>
      </c>
      <c r="D38" s="16" t="n">
        <v>7938</v>
      </c>
      <c r="E38" s="16" t="n">
        <v>9167</v>
      </c>
      <c r="F38" s="16" t="n">
        <v>7221</v>
      </c>
    </row>
    <row r="39">
      <c r="A39" s="15" t="inlineStr">
        <is>
          <t>Hensættelse til udskudt skat</t>
        </is>
      </c>
      <c r="B39" s="16" t="n">
        <v>2591</v>
      </c>
      <c r="C39" s="16" t="n">
        <v>412</v>
      </c>
      <c r="D39" s="16" t="n">
        <v>0</v>
      </c>
      <c r="E39" s="16" t="n">
        <v>-5564</v>
      </c>
      <c r="F39" s="16" t="n"/>
    </row>
    <row r="40">
      <c r="A40" s="17" t="inlineStr">
        <is>
          <t>Hensatte forpligtelser</t>
        </is>
      </c>
      <c r="B40" s="16" t="n">
        <v>2591</v>
      </c>
      <c r="C40" s="16" t="n">
        <v>412</v>
      </c>
      <c r="D40" s="16" t="n">
        <v>0</v>
      </c>
      <c r="E40" s="16" t="n">
        <v>-5564</v>
      </c>
      <c r="F40" s="16" t="n"/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0</v>
      </c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7101</v>
      </c>
      <c r="C43" s="16" t="n">
        <v>5227</v>
      </c>
      <c r="D43" s="16" t="n">
        <v>781</v>
      </c>
      <c r="E43" s="16" t="n">
        <v>942</v>
      </c>
      <c r="F43" s="16" t="n">
        <v>3303</v>
      </c>
    </row>
    <row r="44">
      <c r="A44" s="15" t="inlineStr">
        <is>
          <t>Anden gæld (langfristet)</t>
        </is>
      </c>
      <c r="B44" s="16" t="n">
        <v>1626</v>
      </c>
      <c r="C44" s="16" t="n">
        <v>0</v>
      </c>
      <c r="D44" s="16" t="n">
        <v>104</v>
      </c>
      <c r="E44" s="16" t="n">
        <v>104</v>
      </c>
      <c r="F44" s="16" t="n">
        <v>104</v>
      </c>
    </row>
    <row r="45">
      <c r="A45" s="17" t="inlineStr">
        <is>
          <t>Langfristede gældsforpligtelser</t>
        </is>
      </c>
      <c r="B45" s="16" t="n">
        <v>8727</v>
      </c>
      <c r="C45" s="16" t="n">
        <v>6840</v>
      </c>
      <c r="D45" s="16" t="n">
        <v>2625</v>
      </c>
      <c r="E45" s="16" t="n">
        <v>2899</v>
      </c>
      <c r="F45" s="16" t="n">
        <v>5194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4350</v>
      </c>
      <c r="C47" s="16" t="n">
        <v>3000</v>
      </c>
      <c r="D47" s="16" t="n">
        <v>972</v>
      </c>
      <c r="E47" s="16" t="n">
        <v>138</v>
      </c>
      <c r="F47" s="16" t="n">
        <v>747</v>
      </c>
    </row>
    <row r="48">
      <c r="A48" s="15" t="inlineStr">
        <is>
          <t>Kreditinstitutter</t>
        </is>
      </c>
      <c r="B48" s="16" t="n">
        <v>5263</v>
      </c>
      <c r="C48" s="16" t="n">
        <v>5750</v>
      </c>
      <c r="D48" s="16" t="n">
        <v>5276</v>
      </c>
      <c r="E48" s="16" t="n">
        <v>1214</v>
      </c>
      <c r="F48" s="16" t="n">
        <v>12784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7127</v>
      </c>
      <c r="C50" s="16" t="n">
        <v>11088</v>
      </c>
      <c r="D50" s="16" t="n">
        <v>6763</v>
      </c>
      <c r="E50" s="16" t="n">
        <v>5056</v>
      </c>
      <c r="F50" s="16" t="n">
        <v>3304</v>
      </c>
    </row>
    <row r="51">
      <c r="A51" s="15" t="inlineStr">
        <is>
          <t>Gæld til tilknyttede virksomheder</t>
        </is>
      </c>
      <c r="B51" s="16" t="n">
        <v>1426</v>
      </c>
      <c r="C51" s="16" t="n">
        <v>6355</v>
      </c>
      <c r="D51" s="16" t="n">
        <v>23306</v>
      </c>
      <c r="E51" s="16" t="n">
        <v>14074</v>
      </c>
      <c r="F51" s="16" t="n">
        <v>7057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3977</v>
      </c>
      <c r="C55" s="16" t="n">
        <v>6473</v>
      </c>
      <c r="D55" s="16" t="n">
        <v>3687</v>
      </c>
      <c r="E55" s="16" t="n">
        <v>1624</v>
      </c>
      <c r="F55" s="16" t="n">
        <v>3743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22142</v>
      </c>
      <c r="C57" s="16" t="n">
        <v>32666</v>
      </c>
      <c r="D57" s="16" t="n">
        <v>40004</v>
      </c>
      <c r="E57" s="16" t="n">
        <v>22107</v>
      </c>
      <c r="F57" s="16" t="n">
        <v>27634</v>
      </c>
    </row>
    <row r="58">
      <c r="A58" s="17" t="inlineStr">
        <is>
          <t>Gældsforpligtelser</t>
        </is>
      </c>
      <c r="B58" s="16" t="n">
        <v>30869</v>
      </c>
      <c r="C58" s="16" t="n">
        <v>39506</v>
      </c>
      <c r="D58" s="16" t="n">
        <v>42629</v>
      </c>
      <c r="E58" s="16" t="n">
        <v>25006</v>
      </c>
      <c r="F58" s="16" t="n">
        <v>32828</v>
      </c>
    </row>
    <row r="59">
      <c r="A59" s="17" t="inlineStr">
        <is>
          <t>Passiver</t>
        </is>
      </c>
      <c r="B59" s="16" t="n">
        <v>49156</v>
      </c>
      <c r="C59" s="16" t="n">
        <v>47030</v>
      </c>
      <c r="D59" s="16" t="n">
        <v>50567</v>
      </c>
      <c r="E59" s="16" t="n">
        <v>34173</v>
      </c>
      <c r="F59" s="16" t="n">
        <v>40048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HANEGAL A/S (CVR 27146880) — Regnskabs- og nøgletal (CVR: 27146880)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'res_raw_27146880'!$F$2</f>
        <v/>
      </c>
      <c r="C5" s="24">
        <f>'res_raw_27146880'!$E$2</f>
        <v/>
      </c>
      <c r="D5" s="24">
        <f>'res_raw_27146880'!$D$2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'res_raw_27146880'!$F$3</f>
        <v/>
      </c>
      <c r="C6" s="24">
        <f>'res_raw_27146880'!$E$3</f>
        <v/>
      </c>
      <c r="D6" s="24">
        <f>'res_raw_27146880'!$D$3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-'res_raw_27146880'!$F$4</f>
        <v/>
      </c>
      <c r="C7" s="24">
        <f>-'res_raw_27146880'!$E$4</f>
        <v/>
      </c>
      <c r="D7" s="24">
        <f>-'res_raw_27146880'!$D$4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-'res_raw_27146880'!$F$5</f>
        <v/>
      </c>
      <c r="C8" s="24">
        <f>-'res_raw_27146880'!$E$5</f>
        <v/>
      </c>
      <c r="D8" s="24">
        <f>-'res_raw_27146880'!$D$5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IF(ABS((SUM(B5:B8))-'res_raw_27146880'!$F$6)&lt;=2,SUM(B5:B8),'res_raw_27146880'!$F$6)</f>
        <v/>
      </c>
      <c r="C9" s="27">
        <f>IF(ABS((SUM(C5:C8))-'res_raw_27146880'!$E$6)&lt;=2,SUM(C5:C8),'res_raw_27146880'!$E$6)</f>
        <v/>
      </c>
      <c r="D9" s="27">
        <f>IF(ABS((SUM(D5:D8))-'res_raw_27146880'!$D$6)&lt;=2,SUM(D5:D8),'res_raw_27146880'!$D$6)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-'res_raw_27146880'!$F$7</f>
        <v/>
      </c>
      <c r="C10" s="24">
        <f>-'res_raw_27146880'!$E$7</f>
        <v/>
      </c>
      <c r="D10" s="24">
        <f>-'res_raw_27146880'!$D$7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-'res_raw_27146880'!$F$9</f>
        <v/>
      </c>
      <c r="C11" s="24">
        <f>-'res_raw_27146880'!$E$9</f>
        <v/>
      </c>
      <c r="D11" s="24">
        <f>-'res_raw_27146880'!$D$9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-'res_raw_27146880'!$F$10</f>
        <v/>
      </c>
      <c r="C12" s="24">
        <f>-'res_raw_27146880'!$E$10</f>
        <v/>
      </c>
      <c r="D12" s="24">
        <f>-'res_raw_27146880'!$D$10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IF(ABS((SUM(B9:B12))-'res_raw_27146880'!$F$11)&lt;=2,SUM(B9:B12),'res_raw_27146880'!$F$11)</f>
        <v/>
      </c>
      <c r="C13" s="27">
        <f>IF(ABS((SUM(C9:C12))-'res_raw_27146880'!$E$11)&lt;=2,SUM(C9:C12),'res_raw_27146880'!$E$11)</f>
        <v/>
      </c>
      <c r="D13" s="27">
        <f>IF(ABS((SUM(D9:D12))-'res_raw_27146880'!$D$11)&lt;=2,SUM(D9:D12),'res_raw_27146880'!$D$11)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N('res_raw_27146880'!$F$12)+N('res_raw_27146880'!$F$13)</f>
        <v/>
      </c>
      <c r="C14" s="24">
        <f>N('res_raw_27146880'!$E$12)+N('res_raw_27146880'!$E$13)</f>
        <v/>
      </c>
      <c r="D14" s="24">
        <f>N('res_raw_27146880'!$D$12)+N('res_raw_27146880'!$D$13)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-'res_raw_27146880'!$F$14</f>
        <v/>
      </c>
      <c r="C15" s="24">
        <f>-'res_raw_27146880'!$E$14</f>
        <v/>
      </c>
      <c r="D15" s="24">
        <f>-'res_raw_27146880'!$D$14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IF(ABS((SUM(B13:B15))-'res_raw_27146880'!$F$16)&lt;=2,SUM(B13:B15),'res_raw_27146880'!$F$16)</f>
        <v/>
      </c>
      <c r="C16" s="27">
        <f>IF(ABS((SUM(C13:C15))-'res_raw_27146880'!$E$16)&lt;=2,SUM(C13:C15),'res_raw_27146880'!$E$16)</f>
        <v/>
      </c>
      <c r="D16" s="27">
        <f>IF(ABS((SUM(D13:D15))-'res_raw_27146880'!$D$16)&lt;=2,SUM(D13:D15),'res_raw_27146880'!$D$16)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'balance_raw_27146880'!$F$15</f>
        <v/>
      </c>
      <c r="C19" s="24">
        <f>'balance_raw_27146880'!$E$15</f>
        <v/>
      </c>
      <c r="D19" s="24">
        <f>'balance_raw_27146880'!$D$15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'balance_raw_27146880'!$F$30</f>
        <v/>
      </c>
      <c r="C20" s="24">
        <f>'balance_raw_27146880'!$E$30</f>
        <v/>
      </c>
      <c r="D20" s="24">
        <f>'balance_raw_27146880'!$D$30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'balance_raw_27146880'!$F$38</f>
        <v/>
      </c>
      <c r="C23" s="24">
        <f>'balance_raw_27146880'!$E$38</f>
        <v/>
      </c>
      <c r="D23" s="24">
        <f>'balance_raw_27146880'!$D$38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'balance_raw_27146880'!$F$59-'balance_raw_27146880'!$F$38</f>
        <v/>
      </c>
      <c r="C24" s="24">
        <f>'balance_raw_27146880'!$E$59-'balance_raw_27146880'!$E$38</f>
        <v/>
      </c>
      <c r="D24" s="24">
        <f>'balance_raw_27146880'!$D$59-'balance_raw_27146880'!$D$38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'balance_raw_27146880'!$F$19</f>
        <v/>
      </c>
      <c r="C28" s="24">
        <f>'balance_raw_27146880'!$E$19</f>
        <v/>
      </c>
      <c r="D28" s="24">
        <f>'balance_raw_27146880'!$D$19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'balance_raw_27146880'!$F$20</f>
        <v/>
      </c>
      <c r="C29" s="24">
        <f>'balance_raw_27146880'!$E$20</f>
        <v/>
      </c>
      <c r="D29" s="24">
        <f>'balance_raw_27146880'!$D$20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'balance_raw_27146880'!$F$57</f>
        <v/>
      </c>
      <c r="C30" s="24">
        <f>'balance_raw_27146880'!$E$57</f>
        <v/>
      </c>
      <c r="D30" s="24">
        <f>'balance_raw_27146880'!$D$57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IF('balance_raw_27146880'!$F$31="","—",IF(ABS(B21-'balance_raw_27146880'!$F$31)&lt;=1,"✓ OK","❌ "&amp;TEXT(B21-'balance_raw_27146880'!$F$31,"+#,##0;-#,##0")&amp;" t.kr."))</f>
        <v/>
      </c>
      <c r="C61" s="29">
        <f>IF('balance_raw_27146880'!$E$31="","—",IF(ABS(C21-'balance_raw_27146880'!$E$31)&lt;=1,"✓ OK","❌ "&amp;TEXT(C21-'balance_raw_27146880'!$E$31,"+#,##0;-#,##0")&amp;" t.kr."))</f>
        <v/>
      </c>
      <c r="D61" s="29">
        <f>IF('balance_raw_27146880'!$D$31="","—",IF(ABS(D21-'balance_raw_27146880'!$D$31)&lt;=1,"✓ OK","❌ "&amp;TEXT(D21-'balance_raw_27146880'!$D$31,"+#,##0;-#,##0")&amp;"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IF('balance_raw_27146880'!$F$59="","—",IF(ABS(B25-'balance_raw_27146880'!$F$59)&lt;=1,"✓ OK","❌ "&amp;TEXT(B25-'balance_raw_27146880'!$F$59,"+#,##0;-#,##0")&amp;" t.kr."))</f>
        <v/>
      </c>
      <c r="C62" s="29">
        <f>IF('balance_raw_27146880'!$E$59="","—",IF(ABS(C25-'balance_raw_27146880'!$E$59)&lt;=1,"✓ OK","❌ "&amp;TEXT(C25-'balance_raw_27146880'!$E$59,"+#,##0;-#,##0")&amp;" t.kr."))</f>
        <v/>
      </c>
      <c r="D62" s="29">
        <f>IF('balance_raw_27146880'!$D$59="","—",IF(ABS(D25-'balance_raw_27146880'!$D$59)&lt;=1,"✓ OK","❌ "&amp;TEXT(D25-'balance_raw_27146880'!$D$59,"+#,##0;-#,##0")&amp;"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IF('res_raw_27146880'!$F$6="","—",IF(ABS(B9-'res_raw_27146880'!$F$6)&lt;=1,"✓ OK","❌ "&amp;TEXT(B9-'res_raw_27146880'!$F$6,"+#,##0;-#,##0")&amp;" t.kr."))</f>
        <v/>
      </c>
      <c r="C64" s="29">
        <f>IF('res_raw_27146880'!$E$6="","—",IF(ABS(C9-'res_raw_27146880'!$E$6)&lt;=1,"✓ OK","❌ "&amp;TEXT(C9-'res_raw_27146880'!$E$6,"+#,##0;-#,##0")&amp;" t.kr."))</f>
        <v/>
      </c>
      <c r="D64" s="29">
        <f>IF('res_raw_27146880'!$D$6="","—",IF(ABS(D9-'res_raw_27146880'!$D$6)&lt;=1,"✓ OK","❌ "&amp;TEXT(D9-'res_raw_27146880'!$D$6,"+#,##0;-#,##0")&amp;"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IF('res_raw_27146880'!$F$11="","—",IF(ABS(B13-'res_raw_27146880'!$F$11)&lt;=1,"✓ OK","❌ "&amp;TEXT(B13-'res_raw_27146880'!$F$11,"+#,##0;-#,##0")&amp;" t.kr."))</f>
        <v/>
      </c>
      <c r="C65" s="29">
        <f>IF('res_raw_27146880'!$E$11="","—",IF(ABS(C13-'res_raw_27146880'!$E$11)&lt;=1,"✓ OK","❌ "&amp;TEXT(C13-'res_raw_27146880'!$E$11,"+#,##0;-#,##0")&amp;" t.kr."))</f>
        <v/>
      </c>
      <c r="D65" s="29">
        <f>IF('res_raw_27146880'!$D$11="","—",IF(ABS(D13-'res_raw_27146880'!$D$11)&lt;=1,"✓ OK","❌ "&amp;TEXT(D13-'res_raw_27146880'!$D$11,"+#,##0;-#,##0")&amp;"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IF('res_raw_27146880'!$F$16="","—",IF(ABS(B16-'res_raw_27146880'!$F$16)&lt;=1,"✓ OK","❌ "&amp;TEXT(B16-'res_raw_27146880'!$F$16,"+#,##0;-#,##0")&amp;" t.kr."))</f>
        <v/>
      </c>
      <c r="C66" s="29">
        <f>IF('res_raw_27146880'!$E$16="","—",IF(ABS(C16-'res_raw_27146880'!$E$16)&lt;=1,"✓ OK","❌ "&amp;TEXT(C16-'res_raw_27146880'!$E$16,"+#,##0;-#,##0")&amp;" t.kr."))</f>
        <v/>
      </c>
      <c r="D66" s="29">
        <f>IF('res_raw_27146880'!$D$16="","—",IF(ABS(D16-'res_raw_27146880'!$D$16)&lt;=1,"✓ OK","❌ "&amp;TEXT(D16-'res_raw_27146880'!$D$16,"+#,##0;-#,##0")&amp;"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HANEGAL A/S (CVR 27146880)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fsa:TransferredToFromOtherStatutoryReserves</t>
        </is>
      </c>
      <c r="C3" s="34" t="inlineStr">
        <is>
          <t>fsa:TransferredToFromOtherStatutoryReserves</t>
        </is>
      </c>
      <c r="D3" s="35" t="n"/>
      <c r="E3" s="35" t="n">
        <v>-478</v>
      </c>
      <c r="F3" s="35" t="n">
        <v>-1765</v>
      </c>
      <c r="G3" s="35" t="n">
        <v>-612</v>
      </c>
      <c r="H3" s="35" t="n">
        <v>0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2026-10-01T22:17:59Z</dcterms:created>
  <dcterms:modified xmlns:dcterms="http://purl.org/dc/terms/" xmlns:xsi="http://www.w3.org/2001/XMLSchema-instance" xsi:type="dcterms:W3CDTF">2026-10-01T22:17:59Z</dcterms:modified>
</cp:coreProperties>
</file>