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3644919" sheetId="1" state="visible" r:id="rId1"/>
    <sheet xmlns:r="http://schemas.openxmlformats.org/officeDocument/2006/relationships" name="res_raw_63644919" sheetId="2" state="visible" r:id="rId2"/>
    <sheet xmlns:r="http://schemas.openxmlformats.org/officeDocument/2006/relationships" name="balance_raw_63644919" sheetId="3" state="visible" r:id="rId3"/>
    <sheet xmlns:r="http://schemas.openxmlformats.org/officeDocument/2006/relationships" name="pengestrom_raw_63644919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Ambu A/S (CVR 63644919) — Regnskabsanalyse – Resultatopgørelse &amp; Balance (t.kr.) · Revision · Regnskabsår 1/10–30/9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'res_raw_63644919'!$B$2</f>
        <v/>
      </c>
      <c r="C4" s="5">
        <f>'res_raw_63644919'!$C$2</f>
        <v/>
      </c>
      <c r="D4" s="5">
        <f>'res_raw_63644919'!$D$2</f>
        <v/>
      </c>
      <c r="E4" s="5">
        <f>'res_raw_63644919'!$E$2</f>
        <v/>
      </c>
      <c r="F4" s="5">
        <f>'res_raw_63644919'!$F$2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'res_raw_63644919'!$B$3</f>
        <v/>
      </c>
      <c r="C5" s="8">
        <f>'res_raw_63644919'!$C$3</f>
        <v/>
      </c>
      <c r="D5" s="8">
        <f>'res_raw_63644919'!$D$3</f>
        <v/>
      </c>
      <c r="E5" s="8">
        <f>'res_raw_63644919'!$E$3</f>
        <v/>
      </c>
      <c r="F5" s="8">
        <f>'res_raw_63644919'!$F$3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'res_raw_63644919'!$B$4</f>
        <v/>
      </c>
      <c r="C6" s="8">
        <f>'res_raw_63644919'!$C$4</f>
        <v/>
      </c>
      <c r="D6" s="8">
        <f>'res_raw_63644919'!$D$4</f>
        <v/>
      </c>
      <c r="E6" s="8">
        <f>'res_raw_63644919'!$E$4</f>
        <v/>
      </c>
      <c r="F6" s="8">
        <f>'res_raw_63644919'!$F$4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'res_raw_63644919'!$B$5</f>
        <v/>
      </c>
      <c r="C7" s="11">
        <f>'res_raw_63644919'!$C$5</f>
        <v/>
      </c>
      <c r="D7" s="11">
        <f>'res_raw_63644919'!$D$5</f>
        <v/>
      </c>
      <c r="E7" s="11">
        <f>'res_raw_63644919'!$E$5</f>
        <v/>
      </c>
      <c r="F7" s="11">
        <f>'res_raw_63644919'!$F$5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'res_raw_63644919'!$B$6</f>
        <v/>
      </c>
      <c r="C8" s="8">
        <f>'res_raw_63644919'!$C$6</f>
        <v/>
      </c>
      <c r="D8" s="8">
        <f>'res_raw_63644919'!$D$6</f>
        <v/>
      </c>
      <c r="E8" s="8">
        <f>'res_raw_63644919'!$E$6</f>
        <v/>
      </c>
      <c r="F8" s="8">
        <f>'res_raw_63644919'!$F$6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'res_raw_63644919'!$B$7</f>
        <v/>
      </c>
      <c r="C9" s="8">
        <f>'res_raw_63644919'!$C$7</f>
        <v/>
      </c>
      <c r="D9" s="8">
        <f>'res_raw_63644919'!$D$7</f>
        <v/>
      </c>
      <c r="E9" s="8">
        <f>'res_raw_63644919'!$E$7</f>
        <v/>
      </c>
      <c r="F9" s="8">
        <f>'res_raw_63644919'!$F$7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'res_raw_63644919'!$B$8</f>
        <v/>
      </c>
      <c r="C10" s="5">
        <f>'res_raw_63644919'!$C$8</f>
        <v/>
      </c>
      <c r="D10" s="5">
        <f>'res_raw_63644919'!$D$8</f>
        <v/>
      </c>
      <c r="E10" s="5">
        <f>'res_raw_63644919'!$E$8</f>
        <v/>
      </c>
      <c r="F10" s="5">
        <f>'res_raw_63644919'!$F$8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'res_raw_63644919'!$B$9</f>
        <v/>
      </c>
      <c r="C11" s="11">
        <f>'res_raw_63644919'!$C$9</f>
        <v/>
      </c>
      <c r="D11" s="11">
        <f>'res_raw_63644919'!$D$9</f>
        <v/>
      </c>
      <c r="E11" s="11">
        <f>'res_raw_63644919'!$E$9</f>
        <v/>
      </c>
      <c r="F11" s="11">
        <f>'res_raw_63644919'!$F$9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'res_raw_63644919'!$B$10</f>
        <v/>
      </c>
      <c r="C12" s="8">
        <f>'res_raw_63644919'!$C$10</f>
        <v/>
      </c>
      <c r="D12" s="8">
        <f>'res_raw_63644919'!$D$10</f>
        <v/>
      </c>
      <c r="E12" s="8">
        <f>'res_raw_63644919'!$E$10</f>
        <v/>
      </c>
      <c r="F12" s="8">
        <f>'res_raw_63644919'!$F$10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'res_raw_63644919'!$B$11</f>
        <v/>
      </c>
      <c r="C13" s="11">
        <f>'res_raw_63644919'!$C$11</f>
        <v/>
      </c>
      <c r="D13" s="11">
        <f>'res_raw_63644919'!$D$11</f>
        <v/>
      </c>
      <c r="E13" s="11">
        <f>'res_raw_63644919'!$E$11</f>
        <v/>
      </c>
      <c r="F13" s="11">
        <f>'res_raw_63644919'!$F$11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'res_raw_63644919'!$B$12</f>
        <v/>
      </c>
      <c r="C14" s="5">
        <f>'res_raw_63644919'!$C$12</f>
        <v/>
      </c>
      <c r="D14" s="5">
        <f>'res_raw_63644919'!$D$12</f>
        <v/>
      </c>
      <c r="E14" s="5">
        <f>'res_raw_63644919'!$E$12</f>
        <v/>
      </c>
      <c r="F14" s="5">
        <f>'res_raw_63644919'!$F$12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'res_raw_63644919'!$B$13</f>
        <v/>
      </c>
      <c r="C15" s="11">
        <f>'res_raw_63644919'!$C$13</f>
        <v/>
      </c>
      <c r="D15" s="11">
        <f>'res_raw_63644919'!$D$13</f>
        <v/>
      </c>
      <c r="E15" s="11">
        <f>'res_raw_63644919'!$E$13</f>
        <v/>
      </c>
      <c r="F15" s="11">
        <f>'res_raw_63644919'!$F$13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'res_raw_63644919'!$B$14</f>
        <v/>
      </c>
      <c r="C16" s="8">
        <f>'res_raw_63644919'!$C$14</f>
        <v/>
      </c>
      <c r="D16" s="8">
        <f>'res_raw_63644919'!$D$14</f>
        <v/>
      </c>
      <c r="E16" s="8">
        <f>'res_raw_63644919'!$E$14</f>
        <v/>
      </c>
      <c r="F16" s="8">
        <f>'res_raw_63644919'!$F$14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'res_raw_63644919'!$B$15</f>
        <v/>
      </c>
      <c r="C17" s="8">
        <f>'res_raw_63644919'!$C$15</f>
        <v/>
      </c>
      <c r="D17" s="8">
        <f>'res_raw_63644919'!$D$15</f>
        <v/>
      </c>
      <c r="E17" s="8">
        <f>'res_raw_63644919'!$E$15</f>
        <v/>
      </c>
      <c r="F17" s="8">
        <f>'res_raw_63644919'!$F$15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'res_raw_63644919'!$B$16</f>
        <v/>
      </c>
      <c r="C18" s="5">
        <f>'res_raw_63644919'!$C$16</f>
        <v/>
      </c>
      <c r="D18" s="5">
        <f>'res_raw_63644919'!$D$16</f>
        <v/>
      </c>
      <c r="E18" s="5">
        <f>'res_raw_63644919'!$E$16</f>
        <v/>
      </c>
      <c r="F18" s="5">
        <f>'res_raw_63644919'!$F$16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'res_raw_63644919'!$B$17</f>
        <v/>
      </c>
      <c r="C19" s="8">
        <f>'res_raw_63644919'!$C$17</f>
        <v/>
      </c>
      <c r="D19" s="8">
        <f>'res_raw_63644919'!$D$17</f>
        <v/>
      </c>
      <c r="E19" s="8">
        <f>'res_raw_63644919'!$E$17</f>
        <v/>
      </c>
      <c r="F19" s="8">
        <f>'res_raw_63644919'!$F$17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'balance_raw_63644919'!$B$2</f>
        <v/>
      </c>
      <c r="C22" s="5">
        <f>'balance_raw_63644919'!$C$2</f>
        <v/>
      </c>
      <c r="D22" s="5">
        <f>'balance_raw_63644919'!$D$2</f>
        <v/>
      </c>
      <c r="E22" s="5">
        <f>'balance_raw_63644919'!$E$2</f>
        <v/>
      </c>
      <c r="F22" s="5">
        <f>'balance_raw_63644919'!$F$2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'balance_raw_63644919'!$B$3</f>
        <v/>
      </c>
      <c r="C23" s="11">
        <f>'balance_raw_63644919'!$C$3</f>
        <v/>
      </c>
      <c r="D23" s="11">
        <f>'balance_raw_63644919'!$D$3</f>
        <v/>
      </c>
      <c r="E23" s="11">
        <f>'balance_raw_63644919'!$E$3</f>
        <v/>
      </c>
      <c r="F23" s="11">
        <f>'balance_raw_63644919'!$F$3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'balance_raw_63644919'!$B$4</f>
        <v/>
      </c>
      <c r="C24" s="5">
        <f>'balance_raw_63644919'!$C$4</f>
        <v/>
      </c>
      <c r="D24" s="5">
        <f>'balance_raw_63644919'!$D$4</f>
        <v/>
      </c>
      <c r="E24" s="5">
        <f>'balance_raw_63644919'!$E$4</f>
        <v/>
      </c>
      <c r="F24" s="5">
        <f>'balance_raw_63644919'!$F$4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'balance_raw_63644919'!$B$5</f>
        <v/>
      </c>
      <c r="C25" s="8">
        <f>'balance_raw_63644919'!$C$5</f>
        <v/>
      </c>
      <c r="D25" s="8">
        <f>'balance_raw_63644919'!$D$5</f>
        <v/>
      </c>
      <c r="E25" s="8">
        <f>'balance_raw_63644919'!$E$5</f>
        <v/>
      </c>
      <c r="F25" s="8">
        <f>'balance_raw_63644919'!$F$5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'balance_raw_63644919'!$B$6</f>
        <v/>
      </c>
      <c r="C26" s="5">
        <f>'balance_raw_63644919'!$C$6</f>
        <v/>
      </c>
      <c r="D26" s="5">
        <f>'balance_raw_63644919'!$D$6</f>
        <v/>
      </c>
      <c r="E26" s="5">
        <f>'balance_raw_63644919'!$E$6</f>
        <v/>
      </c>
      <c r="F26" s="5">
        <f>'balance_raw_63644919'!$F$6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'balance_raw_63644919'!$B$7</f>
        <v/>
      </c>
      <c r="C27" s="11">
        <f>'balance_raw_63644919'!$C$7</f>
        <v/>
      </c>
      <c r="D27" s="11">
        <f>'balance_raw_63644919'!$D$7</f>
        <v/>
      </c>
      <c r="E27" s="11">
        <f>'balance_raw_63644919'!$E$7</f>
        <v/>
      </c>
      <c r="F27" s="11">
        <f>'balance_raw_63644919'!$F$7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'balance_raw_63644919'!$B$8</f>
        <v/>
      </c>
      <c r="C28" s="5">
        <f>'balance_raw_63644919'!$C$8</f>
        <v/>
      </c>
      <c r="D28" s="5">
        <f>'balance_raw_63644919'!$D$8</f>
        <v/>
      </c>
      <c r="E28" s="5">
        <f>'balance_raw_63644919'!$E$8</f>
        <v/>
      </c>
      <c r="F28" s="5">
        <f>'balance_raw_63644919'!$F$8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'balance_raw_63644919'!$B$9</f>
        <v/>
      </c>
      <c r="C29" s="11">
        <f>'balance_raw_63644919'!$C$9</f>
        <v/>
      </c>
      <c r="D29" s="11">
        <f>'balance_raw_63644919'!$D$9</f>
        <v/>
      </c>
      <c r="E29" s="11">
        <f>'balance_raw_63644919'!$E$9</f>
        <v/>
      </c>
      <c r="F29" s="11">
        <f>'balance_raw_63644919'!$F$9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'balance_raw_63644919'!$B$10</f>
        <v/>
      </c>
      <c r="C30" s="5">
        <f>'balance_raw_63644919'!$C$10</f>
        <v/>
      </c>
      <c r="D30" s="5">
        <f>'balance_raw_63644919'!$D$10</f>
        <v/>
      </c>
      <c r="E30" s="5">
        <f>'balance_raw_63644919'!$E$10</f>
        <v/>
      </c>
      <c r="F30" s="5">
        <f>'balance_raw_63644919'!$F$10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'balance_raw_63644919'!$B$11</f>
        <v/>
      </c>
      <c r="C31" s="8">
        <f>'balance_raw_63644919'!$C$11</f>
        <v/>
      </c>
      <c r="D31" s="8">
        <f>'balance_raw_63644919'!$D$11</f>
        <v/>
      </c>
      <c r="E31" s="8">
        <f>'balance_raw_63644919'!$E$11</f>
        <v/>
      </c>
      <c r="F31" s="8">
        <f>'balance_raw_63644919'!$F$11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'balance_raw_63644919'!$B$12</f>
        <v/>
      </c>
      <c r="C32" s="5">
        <f>'balance_raw_63644919'!$C$12</f>
        <v/>
      </c>
      <c r="D32" s="5">
        <f>'balance_raw_63644919'!$D$12</f>
        <v/>
      </c>
      <c r="E32" s="5">
        <f>'balance_raw_63644919'!$E$12</f>
        <v/>
      </c>
      <c r="F32" s="5">
        <f>'balance_raw_63644919'!$F$12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'balance_raw_63644919'!$B$13</f>
        <v/>
      </c>
      <c r="C33" s="11">
        <f>'balance_raw_63644919'!$C$13</f>
        <v/>
      </c>
      <c r="D33" s="11">
        <f>'balance_raw_63644919'!$D$13</f>
        <v/>
      </c>
      <c r="E33" s="11">
        <f>'balance_raw_63644919'!$E$13</f>
        <v/>
      </c>
      <c r="F33" s="11">
        <f>'balance_raw_63644919'!$F$13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'balance_raw_63644919'!$B$14</f>
        <v/>
      </c>
      <c r="C34" s="8">
        <f>'balance_raw_63644919'!$C$14</f>
        <v/>
      </c>
      <c r="D34" s="8">
        <f>'balance_raw_63644919'!$D$14</f>
        <v/>
      </c>
      <c r="E34" s="8">
        <f>'balance_raw_63644919'!$E$14</f>
        <v/>
      </c>
      <c r="F34" s="8">
        <f>'balance_raw_63644919'!$F$14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'balance_raw_63644919'!$B$15</f>
        <v/>
      </c>
      <c r="C35" s="8">
        <f>'balance_raw_63644919'!$C$15</f>
        <v/>
      </c>
      <c r="D35" s="8">
        <f>'balance_raw_63644919'!$D$15</f>
        <v/>
      </c>
      <c r="E35" s="8">
        <f>'balance_raw_63644919'!$E$15</f>
        <v/>
      </c>
      <c r="F35" s="8">
        <f>'balance_raw_63644919'!$F$15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7" t="inlineStr">
        <is>
          <t>Varebeholdninger</t>
        </is>
      </c>
      <c r="B36" s="8">
        <f>'balance_raw_63644919'!$B$16</f>
        <v/>
      </c>
      <c r="C36" s="8">
        <f>'balance_raw_63644919'!$C$16</f>
        <v/>
      </c>
      <c r="D36" s="8">
        <f>'balance_raw_63644919'!$D$16</f>
        <v/>
      </c>
      <c r="E36" s="8">
        <f>'balance_raw_63644919'!$E$16</f>
        <v/>
      </c>
      <c r="F36" s="8">
        <f>'balance_raw_63644919'!$F$16</f>
        <v/>
      </c>
      <c r="G36" t="inlineStr"/>
      <c r="H36" s="9">
        <f>IFERROR(B36/$B$36*100,"")</f>
        <v/>
      </c>
      <c r="I36" s="9">
        <f>IFERROR(C36/$B$36*100,"")</f>
        <v/>
      </c>
      <c r="J36" s="9">
        <f>IFERROR(D36/$B$36*100,"")</f>
        <v/>
      </c>
      <c r="K36" s="9">
        <f>IFERROR(E36/$B$36*100,"")</f>
        <v/>
      </c>
      <c r="L36" s="9">
        <f>IFERROR(F36/$B$36*100,"")</f>
        <v/>
      </c>
    </row>
    <row r="37" ht="16" customHeight="1">
      <c r="A37" s="10" t="inlineStr">
        <is>
          <t>Tilgodehavender fra salg og tjenesteydelser</t>
        </is>
      </c>
      <c r="B37" s="11">
        <f>'balance_raw_63644919'!$B$17</f>
        <v/>
      </c>
      <c r="C37" s="11">
        <f>'balance_raw_63644919'!$C$17</f>
        <v/>
      </c>
      <c r="D37" s="11">
        <f>'balance_raw_63644919'!$D$17</f>
        <v/>
      </c>
      <c r="E37" s="11">
        <f>'balance_raw_63644919'!$E$17</f>
        <v/>
      </c>
      <c r="F37" s="11">
        <f>'balance_raw_63644919'!$F$17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'balance_raw_63644919'!$B$18</f>
        <v/>
      </c>
      <c r="C38" s="5">
        <f>'balance_raw_63644919'!$C$18</f>
        <v/>
      </c>
      <c r="D38" s="5">
        <f>'balance_raw_63644919'!$D$18</f>
        <v/>
      </c>
      <c r="E38" s="5">
        <f>'balance_raw_63644919'!$E$18</f>
        <v/>
      </c>
      <c r="F38" s="5">
        <f>'balance_raw_63644919'!$F$18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Andre tilgodehavender</t>
        </is>
      </c>
      <c r="B39" s="11">
        <f>'balance_raw_63644919'!$B$19</f>
        <v/>
      </c>
      <c r="C39" s="11">
        <f>'balance_raw_63644919'!$C$19</f>
        <v/>
      </c>
      <c r="D39" s="11">
        <f>'balance_raw_63644919'!$D$19</f>
        <v/>
      </c>
      <c r="E39" s="11">
        <f>'balance_raw_63644919'!$E$19</f>
        <v/>
      </c>
      <c r="F39" s="11">
        <f>'balance_raw_63644919'!$F$19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'balance_raw_63644919'!$B$20</f>
        <v/>
      </c>
      <c r="C40" s="5">
        <f>'balance_raw_63644919'!$C$20</f>
        <v/>
      </c>
      <c r="D40" s="5">
        <f>'balance_raw_63644919'!$D$20</f>
        <v/>
      </c>
      <c r="E40" s="5">
        <f>'balance_raw_63644919'!$E$20</f>
        <v/>
      </c>
      <c r="F40" s="5">
        <f>'balance_raw_63644919'!$F$20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Udskudt skatteaktiv</t>
        </is>
      </c>
      <c r="B41" s="11">
        <f>'balance_raw_63644919'!$B$21</f>
        <v/>
      </c>
      <c r="C41" s="11">
        <f>'balance_raw_63644919'!$C$21</f>
        <v/>
      </c>
      <c r="D41" s="11">
        <f>'balance_raw_63644919'!$D$21</f>
        <v/>
      </c>
      <c r="E41" s="11">
        <f>'balance_raw_63644919'!$E$21</f>
        <v/>
      </c>
      <c r="F41" s="11">
        <f>'balance_raw_63644919'!$F$21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'balance_raw_63644919'!$B$22</f>
        <v/>
      </c>
      <c r="C42" s="5">
        <f>'balance_raw_63644919'!$C$22</f>
        <v/>
      </c>
      <c r="D42" s="5">
        <f>'balance_raw_63644919'!$D$22</f>
        <v/>
      </c>
      <c r="E42" s="5">
        <f>'balance_raw_63644919'!$E$22</f>
        <v/>
      </c>
      <c r="F42" s="5">
        <f>'balance_raw_63644919'!$F$22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Kortfristede skattetilgodehavender</t>
        </is>
      </c>
      <c r="B43" s="11">
        <f>'balance_raw_63644919'!$B$23</f>
        <v/>
      </c>
      <c r="C43" s="11">
        <f>'balance_raw_63644919'!$C$23</f>
        <v/>
      </c>
      <c r="D43" s="11">
        <f>'balance_raw_63644919'!$D$23</f>
        <v/>
      </c>
      <c r="E43" s="11">
        <f>'balance_raw_63644919'!$E$23</f>
        <v/>
      </c>
      <c r="F43" s="11">
        <f>'balance_raw_63644919'!$F$23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Tilgodehavender</t>
        </is>
      </c>
      <c r="B44" s="8">
        <f>'balance_raw_63644919'!$B$24</f>
        <v/>
      </c>
      <c r="C44" s="8">
        <f>'balance_raw_63644919'!$C$24</f>
        <v/>
      </c>
      <c r="D44" s="8">
        <f>'balance_raw_63644919'!$D$24</f>
        <v/>
      </c>
      <c r="E44" s="8">
        <f>'balance_raw_63644919'!$E$24</f>
        <v/>
      </c>
      <c r="F44" s="8">
        <f>'balance_raw_63644919'!$F$24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10" t="inlineStr">
        <is>
          <t>Værdipapirer</t>
        </is>
      </c>
      <c r="B45" s="11">
        <f>'balance_raw_63644919'!$B$25</f>
        <v/>
      </c>
      <c r="C45" s="11">
        <f>'balance_raw_63644919'!$C$25</f>
        <v/>
      </c>
      <c r="D45" s="11">
        <f>'balance_raw_63644919'!$D$25</f>
        <v/>
      </c>
      <c r="E45" s="11">
        <f>'balance_raw_63644919'!$E$25</f>
        <v/>
      </c>
      <c r="F45" s="11">
        <f>'balance_raw_63644919'!$F$25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'balance_raw_63644919'!$B$26</f>
        <v/>
      </c>
      <c r="C46" s="5">
        <f>'balance_raw_63644919'!$C$26</f>
        <v/>
      </c>
      <c r="D46" s="5">
        <f>'balance_raw_63644919'!$D$26</f>
        <v/>
      </c>
      <c r="E46" s="5">
        <f>'balance_raw_63644919'!$E$26</f>
        <v/>
      </c>
      <c r="F46" s="5">
        <f>'balance_raw_63644919'!$F$26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Omsætningsaktiver</t>
        </is>
      </c>
      <c r="B47" s="8">
        <f>'balance_raw_63644919'!$B$27</f>
        <v/>
      </c>
      <c r="C47" s="8">
        <f>'balance_raw_63644919'!$C$27</f>
        <v/>
      </c>
      <c r="D47" s="8">
        <f>'balance_raw_63644919'!$D$27</f>
        <v/>
      </c>
      <c r="E47" s="8">
        <f>'balance_raw_63644919'!$E$27</f>
        <v/>
      </c>
      <c r="F47" s="8">
        <f>'balance_raw_63644919'!$F$27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7" t="inlineStr">
        <is>
          <t>Aktiver</t>
        </is>
      </c>
      <c r="B48" s="8">
        <f>'balance_raw_63644919'!$B$28</f>
        <v/>
      </c>
      <c r="C48" s="8">
        <f>'balance_raw_63644919'!$C$28</f>
        <v/>
      </c>
      <c r="D48" s="8">
        <f>'balance_raw_63644919'!$D$28</f>
        <v/>
      </c>
      <c r="E48" s="8">
        <f>'balance_raw_63644919'!$E$28</f>
        <v/>
      </c>
      <c r="F48" s="8">
        <f>'balance_raw_63644919'!$F$28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10" t="inlineStr">
        <is>
          <t>Selskabskapital</t>
        </is>
      </c>
      <c r="B51" s="11">
        <f>'balance_raw_63644919'!$B$29</f>
        <v/>
      </c>
      <c r="C51" s="11">
        <f>'balance_raw_63644919'!$C$29</f>
        <v/>
      </c>
      <c r="D51" s="11">
        <f>'balance_raw_63644919'!$D$29</f>
        <v/>
      </c>
      <c r="E51" s="11">
        <f>'balance_raw_63644919'!$E$29</f>
        <v/>
      </c>
      <c r="F51" s="11">
        <f>'balance_raw_63644919'!$F$29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'balance_raw_63644919'!$B$30</f>
        <v/>
      </c>
      <c r="C52" s="5">
        <f>'balance_raw_63644919'!$C$30</f>
        <v/>
      </c>
      <c r="D52" s="5">
        <f>'balance_raw_63644919'!$D$30</f>
        <v/>
      </c>
      <c r="E52" s="5">
        <f>'balance_raw_63644919'!$E$30</f>
        <v/>
      </c>
      <c r="F52" s="5">
        <f>'balance_raw_63644919'!$F$30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udviklingsomkostninger</t>
        </is>
      </c>
      <c r="B53" s="11">
        <f>'balance_raw_63644919'!$B$31</f>
        <v/>
      </c>
      <c r="C53" s="11">
        <f>'balance_raw_63644919'!$C$31</f>
        <v/>
      </c>
      <c r="D53" s="11">
        <f>'balance_raw_63644919'!$D$31</f>
        <v/>
      </c>
      <c r="E53" s="11">
        <f>'balance_raw_63644919'!$E$31</f>
        <v/>
      </c>
      <c r="F53" s="11">
        <f>'balance_raw_63644919'!$F$31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'balance_raw_63644919'!$B$32</f>
        <v/>
      </c>
      <c r="C54" s="5">
        <f>'balance_raw_63644919'!$C$32</f>
        <v/>
      </c>
      <c r="D54" s="5">
        <f>'balance_raw_63644919'!$D$32</f>
        <v/>
      </c>
      <c r="E54" s="5">
        <f>'balance_raw_63644919'!$E$32</f>
        <v/>
      </c>
      <c r="F54" s="5">
        <f>'balance_raw_63644919'!$F$32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Andre reserver</t>
        </is>
      </c>
      <c r="B55" s="11">
        <f>'balance_raw_63644919'!$B$33</f>
        <v/>
      </c>
      <c r="C55" s="11">
        <f>'balance_raw_63644919'!$C$33</f>
        <v/>
      </c>
      <c r="D55" s="11">
        <f>'balance_raw_63644919'!$D$33</f>
        <v/>
      </c>
      <c r="E55" s="11">
        <f>'balance_raw_63644919'!$E$33</f>
        <v/>
      </c>
      <c r="F55" s="11">
        <f>'balance_raw_63644919'!$F$33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'balance_raw_63644919'!$B$34</f>
        <v/>
      </c>
      <c r="C56" s="5">
        <f>'balance_raw_63644919'!$C$34</f>
        <v/>
      </c>
      <c r="D56" s="5">
        <f>'balance_raw_63644919'!$D$34</f>
        <v/>
      </c>
      <c r="E56" s="5">
        <f>'balance_raw_63644919'!$E$34</f>
        <v/>
      </c>
      <c r="F56" s="5">
        <f>'balance_raw_63644919'!$F$34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Egenkapital i alt</t>
        </is>
      </c>
      <c r="B57" s="8">
        <f>'balance_raw_63644919'!$B$35</f>
        <v/>
      </c>
      <c r="C57" s="8">
        <f>'balance_raw_63644919'!$C$35</f>
        <v/>
      </c>
      <c r="D57" s="8">
        <f>'balance_raw_63644919'!$D$35</f>
        <v/>
      </c>
      <c r="E57" s="8">
        <f>'balance_raw_63644919'!$E$35</f>
        <v/>
      </c>
      <c r="F57" s="8">
        <f>'balance_raw_63644919'!$F$35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'balance_raw_63644919'!$B$36</f>
        <v/>
      </c>
      <c r="C58" s="5">
        <f>'balance_raw_63644919'!$C$36</f>
        <v/>
      </c>
      <c r="D58" s="5">
        <f>'balance_raw_63644919'!$D$36</f>
        <v/>
      </c>
      <c r="E58" s="5">
        <f>'balance_raw_63644919'!$E$36</f>
        <v/>
      </c>
      <c r="F58" s="5">
        <f>'balance_raw_63644919'!$F$36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Hensatte forpligtelser</t>
        </is>
      </c>
      <c r="B59" s="8">
        <f>'balance_raw_63644919'!$B$37</f>
        <v/>
      </c>
      <c r="C59" s="8">
        <f>'balance_raw_63644919'!$C$37</f>
        <v/>
      </c>
      <c r="D59" s="8">
        <f>'balance_raw_63644919'!$D$37</f>
        <v/>
      </c>
      <c r="E59" s="8">
        <f>'balance_raw_63644919'!$E$37</f>
        <v/>
      </c>
      <c r="F59" s="8">
        <f>'balance_raw_63644919'!$F$37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'balance_raw_63644919'!$B$38</f>
        <v/>
      </c>
      <c r="C60" s="5">
        <f>'balance_raw_63644919'!$C$38</f>
        <v/>
      </c>
      <c r="D60" s="5">
        <f>'balance_raw_63644919'!$D$38</f>
        <v/>
      </c>
      <c r="E60" s="5">
        <f>'balance_raw_63644919'!$E$38</f>
        <v/>
      </c>
      <c r="F60" s="5">
        <f>'balance_raw_63644919'!$F$38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lån</t>
        </is>
      </c>
      <c r="B61" s="11">
        <f>'balance_raw_63644919'!$B$39</f>
        <v/>
      </c>
      <c r="C61" s="11">
        <f>'balance_raw_63644919'!$C$39</f>
        <v/>
      </c>
      <c r="D61" s="11">
        <f>'balance_raw_63644919'!$D$39</f>
        <v/>
      </c>
      <c r="E61" s="11">
        <f>'balance_raw_63644919'!$E$39</f>
        <v/>
      </c>
      <c r="F61" s="11">
        <f>'balance_raw_63644919'!$F$39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'balance_raw_63644919'!$B$40</f>
        <v/>
      </c>
      <c r="C62" s="5">
        <f>'balance_raw_63644919'!$C$40</f>
        <v/>
      </c>
      <c r="D62" s="5">
        <f>'balance_raw_63644919'!$D$40</f>
        <v/>
      </c>
      <c r="E62" s="5">
        <f>'balance_raw_63644919'!$E$40</f>
        <v/>
      </c>
      <c r="F62" s="5">
        <f>'balance_raw_63644919'!$F$40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Anden gæld (langfristet)</t>
        </is>
      </c>
      <c r="B63" s="11">
        <f>'balance_raw_63644919'!$B$41</f>
        <v/>
      </c>
      <c r="C63" s="11">
        <f>'balance_raw_63644919'!$C$41</f>
        <v/>
      </c>
      <c r="D63" s="11">
        <f>'balance_raw_63644919'!$D$41</f>
        <v/>
      </c>
      <c r="E63" s="11">
        <f>'balance_raw_63644919'!$E$41</f>
        <v/>
      </c>
      <c r="F63" s="11">
        <f>'balance_raw_63644919'!$F$41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7" t="inlineStr">
        <is>
          <t>Langfristede gældsforpligtelser</t>
        </is>
      </c>
      <c r="B64" s="8">
        <f>'balance_raw_63644919'!$B$42</f>
        <v/>
      </c>
      <c r="C64" s="8">
        <f>'balance_raw_63644919'!$C$42</f>
        <v/>
      </c>
      <c r="D64" s="8">
        <f>'balance_raw_63644919'!$D$42</f>
        <v/>
      </c>
      <c r="E64" s="8">
        <f>'balance_raw_63644919'!$E$42</f>
        <v/>
      </c>
      <c r="F64" s="8">
        <f>'balance_raw_63644919'!$F$42</f>
        <v/>
      </c>
      <c r="G64" t="inlineStr"/>
      <c r="H64" s="9">
        <f>IFERROR(B64/$B$64*100,"")</f>
        <v/>
      </c>
      <c r="I64" s="9">
        <f>IFERROR(C64/$B$64*100,"")</f>
        <v/>
      </c>
      <c r="J64" s="9">
        <f>IFERROR(D64/$B$64*100,"")</f>
        <v/>
      </c>
      <c r="K64" s="9">
        <f>IFERROR(E64/$B$64*100,"")</f>
        <v/>
      </c>
      <c r="L64" s="9">
        <f>IFERROR(F64/$B$64*100,"")</f>
        <v/>
      </c>
    </row>
    <row r="65" ht="16" customHeight="1">
      <c r="A65" s="10" t="inlineStr">
        <is>
          <t>Ansvarlig lånekapital (kortfristet)</t>
        </is>
      </c>
      <c r="B65" s="11">
        <f>'balance_raw_63644919'!$B$43</f>
        <v/>
      </c>
      <c r="C65" s="11">
        <f>'balance_raw_63644919'!$C$43</f>
        <v/>
      </c>
      <c r="D65" s="11">
        <f>'balance_raw_63644919'!$D$43</f>
        <v/>
      </c>
      <c r="E65" s="11">
        <f>'balance_raw_63644919'!$E$43</f>
        <v/>
      </c>
      <c r="F65" s="11">
        <f>'balance_raw_63644919'!$F$43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'balance_raw_63644919'!$B$44</f>
        <v/>
      </c>
      <c r="C66" s="5">
        <f>'balance_raw_63644919'!$C$44</f>
        <v/>
      </c>
      <c r="D66" s="5">
        <f>'balance_raw_63644919'!$D$44</f>
        <v/>
      </c>
      <c r="E66" s="5">
        <f>'balance_raw_63644919'!$E$44</f>
        <v/>
      </c>
      <c r="F66" s="5">
        <f>'balance_raw_63644919'!$F$44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Kreditinstitutter</t>
        </is>
      </c>
      <c r="B67" s="11">
        <f>'balance_raw_63644919'!$B$45</f>
        <v/>
      </c>
      <c r="C67" s="11">
        <f>'balance_raw_63644919'!$C$45</f>
        <v/>
      </c>
      <c r="D67" s="11">
        <f>'balance_raw_63644919'!$D$45</f>
        <v/>
      </c>
      <c r="E67" s="11">
        <f>'balance_raw_63644919'!$E$45</f>
        <v/>
      </c>
      <c r="F67" s="11">
        <f>'balance_raw_63644919'!$F$45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'balance_raw_63644919'!$B$46</f>
        <v/>
      </c>
      <c r="C68" s="5">
        <f>'balance_raw_63644919'!$C$46</f>
        <v/>
      </c>
      <c r="D68" s="5">
        <f>'balance_raw_63644919'!$D$46</f>
        <v/>
      </c>
      <c r="E68" s="5">
        <f>'balance_raw_63644919'!$E$46</f>
        <v/>
      </c>
      <c r="F68" s="5">
        <f>'balance_raw_63644919'!$F$46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Leverandører af varer og tjenesteydelser</t>
        </is>
      </c>
      <c r="B69" s="11">
        <f>'balance_raw_63644919'!$B$47</f>
        <v/>
      </c>
      <c r="C69" s="11">
        <f>'balance_raw_63644919'!$C$47</f>
        <v/>
      </c>
      <c r="D69" s="11">
        <f>'balance_raw_63644919'!$D$47</f>
        <v/>
      </c>
      <c r="E69" s="11">
        <f>'balance_raw_63644919'!$E$47</f>
        <v/>
      </c>
      <c r="F69" s="11">
        <f>'balance_raw_63644919'!$F$47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'balance_raw_63644919'!$B$48</f>
        <v/>
      </c>
      <c r="C70" s="5">
        <f>'balance_raw_63644919'!$C$48</f>
        <v/>
      </c>
      <c r="D70" s="5">
        <f>'balance_raw_63644919'!$D$48</f>
        <v/>
      </c>
      <c r="E70" s="5">
        <f>'balance_raw_63644919'!$E$48</f>
        <v/>
      </c>
      <c r="F70" s="5">
        <f>'balance_raw_63644919'!$F$48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selskabsdeltagere og ledelse</t>
        </is>
      </c>
      <c r="B71" s="11">
        <f>'balance_raw_63644919'!$B$49</f>
        <v/>
      </c>
      <c r="C71" s="11">
        <f>'balance_raw_63644919'!$C$49</f>
        <v/>
      </c>
      <c r="D71" s="11">
        <f>'balance_raw_63644919'!$D$49</f>
        <v/>
      </c>
      <c r="E71" s="11">
        <f>'balance_raw_63644919'!$E$49</f>
        <v/>
      </c>
      <c r="F71" s="11">
        <f>'balance_raw_63644919'!$F$49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Selskabsskat</t>
        </is>
      </c>
      <c r="B72" s="5">
        <f>'balance_raw_63644919'!$B$50</f>
        <v/>
      </c>
      <c r="C72" s="5">
        <f>'balance_raw_63644919'!$C$50</f>
        <v/>
      </c>
      <c r="D72" s="5">
        <f>'balance_raw_63644919'!$D$50</f>
        <v/>
      </c>
      <c r="E72" s="5">
        <f>'balance_raw_63644919'!$E$50</f>
        <v/>
      </c>
      <c r="F72" s="5">
        <f>'balance_raw_63644919'!$F$50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 vedr. selskabsskat</t>
        </is>
      </c>
      <c r="B73" s="11">
        <f>'balance_raw_63644919'!$B$51</f>
        <v/>
      </c>
      <c r="C73" s="11">
        <f>'balance_raw_63644919'!$C$51</f>
        <v/>
      </c>
      <c r="D73" s="11">
        <f>'balance_raw_63644919'!$D$51</f>
        <v/>
      </c>
      <c r="E73" s="11">
        <f>'balance_raw_63644919'!$E$51</f>
        <v/>
      </c>
      <c r="F73" s="11">
        <f>'balance_raw_63644919'!$F$51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'balance_raw_63644919'!$B$52</f>
        <v/>
      </c>
      <c r="C74" s="5">
        <f>'balance_raw_63644919'!$C$52</f>
        <v/>
      </c>
      <c r="D74" s="5">
        <f>'balance_raw_63644919'!$D$52</f>
        <v/>
      </c>
      <c r="E74" s="5">
        <f>'balance_raw_63644919'!$E$52</f>
        <v/>
      </c>
      <c r="F74" s="5">
        <f>'balance_raw_63644919'!$F$52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Periodeafgrænsningsposter (passiver)</t>
        </is>
      </c>
      <c r="B75" s="11">
        <f>'balance_raw_63644919'!$B$53</f>
        <v/>
      </c>
      <c r="C75" s="11">
        <f>'balance_raw_63644919'!$C$53</f>
        <v/>
      </c>
      <c r="D75" s="11">
        <f>'balance_raw_63644919'!$D$53</f>
        <v/>
      </c>
      <c r="E75" s="11">
        <f>'balance_raw_63644919'!$E$53</f>
        <v/>
      </c>
      <c r="F75" s="11">
        <f>'balance_raw_63644919'!$F$53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7" t="inlineStr">
        <is>
          <t>Kortfristede gældsforpligtelser</t>
        </is>
      </c>
      <c r="B76" s="8">
        <f>'balance_raw_63644919'!$B$54</f>
        <v/>
      </c>
      <c r="C76" s="8">
        <f>'balance_raw_63644919'!$C$54</f>
        <v/>
      </c>
      <c r="D76" s="8">
        <f>'balance_raw_63644919'!$D$54</f>
        <v/>
      </c>
      <c r="E76" s="8">
        <f>'balance_raw_63644919'!$E$54</f>
        <v/>
      </c>
      <c r="F76" s="8">
        <f>'balance_raw_63644919'!$F$54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Gældsforpligtelser</t>
        </is>
      </c>
      <c r="B77" s="8">
        <f>'balance_raw_63644919'!$B$55</f>
        <v/>
      </c>
      <c r="C77" s="8">
        <f>'balance_raw_63644919'!$C$55</f>
        <v/>
      </c>
      <c r="D77" s="8">
        <f>'balance_raw_63644919'!$D$55</f>
        <v/>
      </c>
      <c r="E77" s="8">
        <f>'balance_raw_63644919'!$E$55</f>
        <v/>
      </c>
      <c r="F77" s="8">
        <f>'balance_raw_63644919'!$F$55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7" t="inlineStr">
        <is>
          <t>Passiver</t>
        </is>
      </c>
      <c r="B78" s="8">
        <f>'balance_raw_63644919'!$B$56</f>
        <v/>
      </c>
      <c r="C78" s="8">
        <f>'balance_raw_63644919'!$C$56</f>
        <v/>
      </c>
      <c r="D78" s="8">
        <f>'balance_raw_63644919'!$D$56</f>
        <v/>
      </c>
      <c r="E78" s="8">
        <f>'balance_raw_63644919'!$E$56</f>
        <v/>
      </c>
      <c r="F78" s="8">
        <f>'balance_raw_63644919'!$F$56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Gns. antal medarbejdere</t>
        </is>
      </c>
      <c r="B81" s="11">
        <f>'res_raw_63644919'!$B$18</f>
        <v/>
      </c>
      <c r="C81" s="11">
        <f>'res_raw_63644919'!$C$18</f>
        <v/>
      </c>
      <c r="D81" s="11">
        <f>'res_raw_63644919'!$D$18</f>
        <v/>
      </c>
      <c r="E81" s="11">
        <f>'res_raw_63644919'!$E$18</f>
        <v/>
      </c>
      <c r="F81" s="11">
        <f>'res_raw_63644919'!$F$18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'res_raw_63644919'!$B$19</f>
        <v/>
      </c>
      <c r="C82" s="5">
        <f>'res_raw_63644919'!$C$19</f>
        <v/>
      </c>
      <c r="D82" s="5">
        <f>'res_raw_63644919'!$D$19</f>
        <v/>
      </c>
      <c r="E82" s="5">
        <f>'res_raw_63644919'!$E$19</f>
        <v/>
      </c>
      <c r="F82" s="5">
        <f>'res_raw_63644919'!$F$19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10" t="inlineStr">
        <is>
          <t>Afkastningsgrad, %</t>
        </is>
      </c>
      <c r="B85" s="13">
        <f>IFERROR(($B$12+$B$14+$B$13)/$B$48*100,"")</f>
        <v/>
      </c>
      <c r="C85" s="13">
        <f>IFERROR(($C$12+$C$14+$C$13)/$C$48*100,"")</f>
        <v/>
      </c>
      <c r="D85" s="13">
        <f>IFERROR(($D$12+$D$14+$D$13)/$D$48*100,"")</f>
        <v/>
      </c>
      <c r="E85" s="13">
        <f>IFERROR(($E$12+$E$14+$E$13)/$E$48*100,"")</f>
        <v/>
      </c>
      <c r="F85" s="13">
        <f>IFERROR(($F$12+$F$14+$F$13)/$F$48*100,"")</f>
        <v/>
      </c>
    </row>
    <row r="86" ht="16" customHeight="1">
      <c r="A86" s="4" t="inlineStr">
        <is>
          <t>Overskudsgrad, %</t>
        </is>
      </c>
      <c r="B86" s="14">
        <f>IFERROR(($B$12+$B$14+$B$13)/$B$4*100,"")</f>
        <v/>
      </c>
      <c r="C86" s="14">
        <f>IFERROR(($C$12+$C$14+$C$13)/$C$4*100,"")</f>
        <v/>
      </c>
      <c r="D86" s="14">
        <f>IFERROR(($D$12+$D$14+$D$13)/$D$4*100,"")</f>
        <v/>
      </c>
      <c r="E86" s="14">
        <f>IFERROR(($E$12+$E$14+$E$13)/$E$4*100,"")</f>
        <v/>
      </c>
      <c r="F86" s="14">
        <f>IFERROR(($F$12+$F$14+$F$13)/$F$4*100,"")</f>
        <v/>
      </c>
    </row>
    <row r="87" ht="16" customHeight="1">
      <c r="A87" s="10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IFERROR($B$17/$B$57*100,"")</f>
        <v/>
      </c>
      <c r="C88" s="14">
        <f>IFERROR($C$17/$C$57*100,"")</f>
        <v/>
      </c>
      <c r="D88" s="14">
        <f>IFERROR($D$17/$D$57*100,"")</f>
        <v/>
      </c>
      <c r="E88" s="14">
        <f>IFERROR($E$17/$E$57*100,"")</f>
        <v/>
      </c>
      <c r="F88" s="14">
        <f>IFERROR($F$17/$F$57*100,"")</f>
        <v/>
      </c>
    </row>
    <row r="89" ht="16" customHeight="1">
      <c r="A89" s="10" t="inlineStr">
        <is>
          <t>Gældsrente, %</t>
        </is>
      </c>
      <c r="B89" s="13">
        <f>IFERROR($B$15/($B$78-$B$57)*100,"")</f>
        <v/>
      </c>
      <c r="C89" s="13">
        <f>IFERROR($C$15/($C$78-$C$57)*100,"")</f>
        <v/>
      </c>
      <c r="D89" s="13">
        <f>IFERROR($D$15/($D$78-$D$57)*100,"")</f>
        <v/>
      </c>
      <c r="E89" s="13">
        <f>IFERROR($E$15/($E$78-$E$57)*100,"")</f>
        <v/>
      </c>
      <c r="F89" s="13">
        <f>IFERROR($F$15/($F$78-$F$57)*100,"")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10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10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10" t="inlineStr">
        <is>
          <t>Kapitalbindingsgrad, %</t>
        </is>
      </c>
      <c r="B95" s="13">
        <f>IFERROR($B$35/($B$57+$B$64)*100,"")</f>
        <v/>
      </c>
      <c r="C95" s="13">
        <f>IFERROR($C$35/($C$57+$C$64)*100,"")</f>
        <v/>
      </c>
      <c r="D95" s="13">
        <f>IFERROR($D$35/($D$57+$D$64)*100,"")</f>
        <v/>
      </c>
      <c r="E95" s="13">
        <f>IFERROR($E$35/($E$57+$E$64)*100,"")</f>
        <v/>
      </c>
      <c r="F95" s="13">
        <f>IFERROR($F$35/($F$57+$F$64)*100,"")</f>
        <v/>
      </c>
    </row>
    <row r="97">
      <c r="A97" s="15" t="inlineStr">
        <is>
          <t>PENGESTRØMSOPGØRELSE t.kr.</t>
        </is>
      </c>
    </row>
    <row r="98">
      <c r="A98" s="16" t="inlineStr">
        <is>
          <t>Pengestrømme fra driftsaktivitet</t>
        </is>
      </c>
      <c r="B98" s="17">
        <f>'pengestrom_raw_63644919'!$B$2</f>
        <v/>
      </c>
      <c r="C98" s="17">
        <f>'pengestrom_raw_63644919'!$C$2</f>
        <v/>
      </c>
      <c r="D98" s="17">
        <f>'pengestrom_raw_63644919'!$D$2</f>
        <v/>
      </c>
      <c r="E98" s="17">
        <f>'pengestrom_raw_63644919'!$E$2</f>
        <v/>
      </c>
      <c r="F98" s="17">
        <f>'pengestrom_raw_63644919'!$F$2</f>
        <v/>
      </c>
    </row>
    <row r="99">
      <c r="A99" s="16" t="inlineStr">
        <is>
          <t>Pengestrømme fra investeringsaktivitet</t>
        </is>
      </c>
      <c r="B99" s="17">
        <f>'pengestrom_raw_63644919'!$B$3</f>
        <v/>
      </c>
      <c r="C99" s="17">
        <f>'pengestrom_raw_63644919'!$C$3</f>
        <v/>
      </c>
      <c r="D99" s="17">
        <f>'pengestrom_raw_63644919'!$D$3</f>
        <v/>
      </c>
      <c r="E99" s="17">
        <f>'pengestrom_raw_63644919'!$E$3</f>
        <v/>
      </c>
      <c r="F99" s="17">
        <f>'pengestrom_raw_63644919'!$F$3</f>
        <v/>
      </c>
    </row>
    <row r="100">
      <c r="A100" s="16" t="inlineStr">
        <is>
          <t>Pengestrømme fra finansieringsaktivitet</t>
        </is>
      </c>
      <c r="B100" s="17">
        <f>'pengestrom_raw_63644919'!$B$4</f>
        <v/>
      </c>
      <c r="C100" s="17">
        <f>'pengestrom_raw_63644919'!$C$4</f>
        <v/>
      </c>
      <c r="D100" s="17">
        <f>'pengestrom_raw_63644919'!$D$4</f>
        <v/>
      </c>
      <c r="E100" s="17">
        <f>'pengestrom_raw_63644919'!$E$4</f>
        <v/>
      </c>
      <c r="F100" s="17">
        <f>'pengestrom_raw_63644919'!$F$4</f>
        <v/>
      </c>
    </row>
    <row r="101">
      <c r="A101" s="16" t="inlineStr">
        <is>
          <t>Årets pengestrøm (rapporteret)</t>
        </is>
      </c>
      <c r="B101" s="17">
        <f>'pengestrom_raw_63644919'!$B$5</f>
        <v/>
      </c>
      <c r="C101" s="17">
        <f>'pengestrom_raw_63644919'!$C$5</f>
        <v/>
      </c>
      <c r="D101" s="17">
        <f>'pengestrom_raw_63644919'!$D$5</f>
        <v/>
      </c>
      <c r="E101" s="17">
        <f>'pengestrom_raw_63644919'!$E$5</f>
        <v/>
      </c>
      <c r="F101" s="17">
        <f>'pengestrom_raw_63644919'!$F$5</f>
        <v/>
      </c>
    </row>
    <row r="102">
      <c r="A102" s="16" t="inlineStr">
        <is>
          <t>Krydstjek: drift + inv. + fin. = årets pengestrøm</t>
        </is>
      </c>
      <c r="B102">
        <f>IF(ABS(('pengestrom_raw_63644919'!$B$2+'pengestrom_raw_63644919'!$B$3+'pengestrom_raw_63644919'!$B$4)-'pengestrom_raw_63644919'!$B$5)&lt;=2,"✓","⚠ "&amp;TEXT(('pengestrom_raw_63644919'!$B$2+'pengestrom_raw_63644919'!$B$3+'pengestrom_raw_63644919'!$B$4)-'pengestrom_raw_63644919'!$B$5,"+#,##0;-#,##0"))</f>
        <v/>
      </c>
      <c r="C102">
        <f>IF(ABS(('pengestrom_raw_63644919'!$C$2+'pengestrom_raw_63644919'!$C$3+'pengestrom_raw_63644919'!$C$4)-'pengestrom_raw_63644919'!$C$5)&lt;=2,"✓","⚠ "&amp;TEXT(('pengestrom_raw_63644919'!$C$2+'pengestrom_raw_63644919'!$C$3+'pengestrom_raw_63644919'!$C$4)-'pengestrom_raw_63644919'!$C$5,"+#,##0;-#,##0"))</f>
        <v/>
      </c>
      <c r="D102">
        <f>IF(ABS(('pengestrom_raw_63644919'!$D$2+'pengestrom_raw_63644919'!$D$3+'pengestrom_raw_63644919'!$D$4)-'pengestrom_raw_63644919'!$D$5)&lt;=2,"✓","⚠ "&amp;TEXT(('pengestrom_raw_63644919'!$D$2+'pengestrom_raw_63644919'!$D$3+'pengestrom_raw_63644919'!$D$4)-'pengestrom_raw_63644919'!$D$5,"+#,##0;-#,##0"))</f>
        <v/>
      </c>
      <c r="E102">
        <f>IF(ABS(('pengestrom_raw_63644919'!$E$2+'pengestrom_raw_63644919'!$E$3+'pengestrom_raw_63644919'!$E$4)-'pengestrom_raw_63644919'!$E$5)&lt;=2,"✓","⚠ "&amp;TEXT(('pengestrom_raw_63644919'!$E$2+'pengestrom_raw_63644919'!$E$3+'pengestrom_raw_63644919'!$E$4)-'pengestrom_raw_63644919'!$E$5,"+#,##0;-#,##0"))</f>
        <v/>
      </c>
      <c r="F102">
        <f>IF(ABS(('pengestrom_raw_63644919'!$F$2+'pengestrom_raw_63644919'!$F$3+'pengestrom_raw_63644919'!$F$4)-'pengestrom_raw_63644919'!$F$5)&lt;=2,"✓","⚠ "&amp;TEXT(('pengestrom_raw_63644919'!$F$2+'pengestrom_raw_63644919'!$F$3+'pengestrom_raw_63644919'!$F$4)-'pengestrom_raw_63644919'!$F$5,"+#,##0;-#,##0"))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Ambu A/S (CVR 63644919)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4013000</v>
      </c>
      <c r="C2" s="17" t="n">
        <v>4444000</v>
      </c>
      <c r="D2" s="17" t="n">
        <v>4775000</v>
      </c>
      <c r="E2" s="17" t="n">
        <v>5391000</v>
      </c>
      <c r="F2" s="17" t="n">
        <v>6037000</v>
      </c>
    </row>
    <row r="3">
      <c r="A3" s="16" t="inlineStr">
        <is>
          <t>Produktionsomkostninger</t>
        </is>
      </c>
      <c r="B3" s="17" t="n">
        <v>1510000</v>
      </c>
      <c r="C3" s="17" t="n">
        <v>1890000</v>
      </c>
      <c r="D3" s="17" t="n">
        <v>2062000</v>
      </c>
      <c r="E3" s="17" t="n">
        <v>2190000</v>
      </c>
      <c r="F3" s="17" t="n">
        <v>2404000</v>
      </c>
    </row>
    <row r="4">
      <c r="A4" s="15" t="inlineStr">
        <is>
          <t>Bruttoresultat</t>
        </is>
      </c>
      <c r="B4" s="17" t="n">
        <v>2503000</v>
      </c>
      <c r="C4" s="17" t="n">
        <v>2554000</v>
      </c>
      <c r="D4" s="17" t="n">
        <v>2713000</v>
      </c>
      <c r="E4" s="17" t="n">
        <v>3201000</v>
      </c>
      <c r="F4" s="17" t="n">
        <v>3633000</v>
      </c>
    </row>
    <row r="5">
      <c r="A5" s="16" t="inlineStr">
        <is>
          <t>Udviklingsomkostninger</t>
        </is>
      </c>
      <c r="B5" s="17" t="n">
        <v>225000</v>
      </c>
      <c r="C5" s="17" t="n">
        <v>281000</v>
      </c>
      <c r="D5" s="17" t="n">
        <v>295000</v>
      </c>
      <c r="E5" s="17" t="n">
        <v>325000</v>
      </c>
      <c r="F5" s="17" t="n">
        <v>347000</v>
      </c>
    </row>
    <row r="6">
      <c r="A6" s="16" t="inlineStr">
        <is>
          <t>Salgs- og distributionsomkostninger</t>
        </is>
      </c>
      <c r="B6" s="17" t="n">
        <v>1468000</v>
      </c>
      <c r="C6" s="17" t="n">
        <v>1634000</v>
      </c>
      <c r="D6" s="17" t="n">
        <v>1522000</v>
      </c>
      <c r="E6" s="17" t="n">
        <v>1571000</v>
      </c>
      <c r="F6" s="17" t="n">
        <v>1792000</v>
      </c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340000</v>
      </c>
      <c r="C10" s="17" t="n">
        <v>-26000</v>
      </c>
      <c r="D10" s="17" t="n">
        <v>294000</v>
      </c>
      <c r="E10" s="17" t="n">
        <v>311000</v>
      </c>
      <c r="F10" s="17" t="n">
        <v>784000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8000</v>
      </c>
      <c r="C12" s="17" t="n">
        <v>169000</v>
      </c>
      <c r="D12" s="17" t="n">
        <v>2000</v>
      </c>
      <c r="E12" s="17" t="n">
        <v>16000</v>
      </c>
      <c r="F12" s="17" t="n">
        <v>15000</v>
      </c>
    </row>
    <row r="13">
      <c r="A13" s="16" t="inlineStr">
        <is>
          <t>Finansielle omkostninger</t>
        </is>
      </c>
      <c r="B13" s="17" t="n">
        <v>40000</v>
      </c>
      <c r="C13" s="17" t="n">
        <v>34000</v>
      </c>
      <c r="D13" s="17" t="n">
        <v>86000</v>
      </c>
      <c r="E13" s="17" t="n">
        <v>27000</v>
      </c>
      <c r="F13" s="17" t="n">
        <v>44000</v>
      </c>
    </row>
    <row r="14">
      <c r="A14" s="15" t="inlineStr">
        <is>
          <t>Finansielle poster, netto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308000</v>
      </c>
      <c r="C15" s="17" t="n">
        <v>109000</v>
      </c>
      <c r="D15" s="17" t="n">
        <v>210000</v>
      </c>
      <c r="E15" s="17" t="n">
        <v>300000</v>
      </c>
      <c r="F15" s="17" t="n">
        <v>755000</v>
      </c>
    </row>
    <row r="16">
      <c r="A16" s="16" t="inlineStr">
        <is>
          <t>Skat af årets resultat</t>
        </is>
      </c>
      <c r="B16" s="17" t="n">
        <v>61000</v>
      </c>
      <c r="C16" s="17" t="n">
        <v>16000</v>
      </c>
      <c r="D16" s="17" t="n">
        <v>42000</v>
      </c>
      <c r="E16" s="17" t="n">
        <v>65000</v>
      </c>
      <c r="F16" s="17" t="n">
        <v>146000</v>
      </c>
    </row>
    <row r="17">
      <c r="A17" s="15" t="inlineStr">
        <is>
          <t>Årets resultat</t>
        </is>
      </c>
      <c r="B17" s="17" t="n">
        <v>247000</v>
      </c>
      <c r="C17" s="17" t="n">
        <v>93000</v>
      </c>
      <c r="D17" s="17" t="n">
        <v>168000</v>
      </c>
      <c r="E17" s="17" t="n">
        <v>235000</v>
      </c>
      <c r="F17" s="17" t="n">
        <v>609000</v>
      </c>
    </row>
    <row r="18">
      <c r="A18" s="16" t="inlineStr">
        <is>
          <t>Gns. antal medarbejdere</t>
        </is>
      </c>
      <c r="B18" s="17" t="n">
        <v>4437</v>
      </c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176000</v>
      </c>
      <c r="C19" s="17" t="n">
        <v>158000</v>
      </c>
      <c r="D19" s="17" t="n">
        <v>71000</v>
      </c>
      <c r="E19" s="17" t="n">
        <v>88000</v>
      </c>
      <c r="F19" s="17" t="n">
        <v>117000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Ambu A/S (CVR 63644919)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572000</v>
      </c>
      <c r="C2" s="17" t="n">
        <v>458000</v>
      </c>
      <c r="D2" s="17" t="n">
        <v>71000</v>
      </c>
      <c r="E2" s="17" t="n">
        <v>72000</v>
      </c>
      <c r="F2" s="17" t="n">
        <v>100000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1504000</v>
      </c>
      <c r="C4" s="17" t="n">
        <v>1623000</v>
      </c>
      <c r="D4" s="17" t="n">
        <v>1565000</v>
      </c>
      <c r="E4" s="17" t="n">
        <v>1527000</v>
      </c>
      <c r="F4" s="17" t="n">
        <v>1497000</v>
      </c>
    </row>
    <row r="5">
      <c r="A5" s="15" t="inlineStr">
        <is>
          <t>Immaterielle anlægsaktiver</t>
        </is>
      </c>
      <c r="B5" s="17" t="n">
        <v>3244000</v>
      </c>
      <c r="C5" s="17" t="n">
        <v>3565000</v>
      </c>
      <c r="D5" s="17" t="n">
        <v>3611000</v>
      </c>
      <c r="E5" s="17" t="n">
        <v>3230000</v>
      </c>
      <c r="F5" s="17" t="n">
        <v>3249000</v>
      </c>
    </row>
    <row r="6">
      <c r="A6" s="16" t="inlineStr">
        <is>
          <t>Grunde og bygninger</t>
        </is>
      </c>
      <c r="B6" s="17" t="n">
        <v>403000</v>
      </c>
      <c r="C6" s="17" t="n">
        <v>732000</v>
      </c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169000</v>
      </c>
      <c r="C8" s="17" t="n">
        <v>185000</v>
      </c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110000</v>
      </c>
      <c r="C10" s="17" t="n">
        <v>181000</v>
      </c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846000</v>
      </c>
      <c r="C11" s="17" t="n">
        <v>1276000</v>
      </c>
      <c r="D11" s="17" t="n">
        <v>584000</v>
      </c>
      <c r="E11" s="17" t="n">
        <v>582000</v>
      </c>
      <c r="F11" s="17" t="n">
        <v>588000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Deposita</t>
        </is>
      </c>
      <c r="B13" s="17" t="n">
        <v>42000</v>
      </c>
      <c r="C13" s="17" t="n">
        <v>70000</v>
      </c>
      <c r="D13" s="17" t="n"/>
      <c r="E13" s="17" t="n"/>
      <c r="F13" s="17" t="n"/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4132000</v>
      </c>
      <c r="C15" s="17" t="n">
        <v>4911000</v>
      </c>
      <c r="D15" s="17" t="n">
        <v>4851000</v>
      </c>
      <c r="E15" s="17" t="n">
        <v>4517000</v>
      </c>
      <c r="F15" s="17" t="n">
        <v>4518000</v>
      </c>
    </row>
    <row r="16">
      <c r="A16" s="15" t="inlineStr">
        <is>
          <t>Varebeholdninger</t>
        </is>
      </c>
      <c r="B16" s="17" t="n">
        <v>748000</v>
      </c>
      <c r="C16" s="17" t="n">
        <v>1222000</v>
      </c>
      <c r="D16" s="17" t="n">
        <v>907000</v>
      </c>
      <c r="E16" s="17" t="n">
        <v>1078000</v>
      </c>
      <c r="F16" s="17" t="n">
        <v>1272000</v>
      </c>
    </row>
    <row r="17">
      <c r="A17" s="16" t="inlineStr">
        <is>
          <t>Tilgodehavender fra salg og tjenesteydelser</t>
        </is>
      </c>
      <c r="B17" s="17" t="n">
        <v>699000</v>
      </c>
      <c r="C17" s="17" t="n">
        <v>747000</v>
      </c>
      <c r="D17" s="17" t="n">
        <v>766000</v>
      </c>
      <c r="E17" s="17" t="n">
        <v>745000</v>
      </c>
      <c r="F17" s="17" t="n">
        <v>834000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/>
      <c r="C19" s="17" t="n">
        <v>11000</v>
      </c>
      <c r="D19" s="17" t="n">
        <v>11000</v>
      </c>
      <c r="E19" s="17" t="n">
        <v>3000</v>
      </c>
      <c r="F19" s="17" t="n"/>
    </row>
    <row r="20">
      <c r="A20" s="16" t="inlineStr">
        <is>
          <t>Periodeafgrænsningsposter (aktiver)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Udskudt skatteaktiv</t>
        </is>
      </c>
      <c r="B21" s="17" t="n">
        <v>42000</v>
      </c>
      <c r="C21" s="17" t="n">
        <v>70000</v>
      </c>
      <c r="D21" s="17" t="n">
        <v>85000</v>
      </c>
      <c r="E21" s="17" t="n">
        <v>160000</v>
      </c>
      <c r="F21" s="17" t="n">
        <v>137000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13000</v>
      </c>
      <c r="C23" s="17" t="n">
        <v>23000</v>
      </c>
      <c r="D23" s="17" t="n">
        <v>50000</v>
      </c>
      <c r="E23" s="17" t="n">
        <v>40000</v>
      </c>
      <c r="F23" s="17" t="n">
        <v>33000</v>
      </c>
    </row>
    <row r="24">
      <c r="A24" s="15" t="inlineStr">
        <is>
          <t>Tilgodehavender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64000</v>
      </c>
      <c r="C26" s="17" t="n">
        <v>187000</v>
      </c>
      <c r="D26" s="17" t="n">
        <v>157000</v>
      </c>
      <c r="E26" s="17" t="n">
        <v>615000</v>
      </c>
      <c r="F26" s="17" t="n">
        <v>866000</v>
      </c>
    </row>
    <row r="27">
      <c r="A27" s="15" t="inlineStr">
        <is>
          <t>Omsætningsaktiver</t>
        </is>
      </c>
      <c r="B27" s="17" t="n">
        <v>1608000</v>
      </c>
      <c r="C27" s="17" t="n">
        <v>2304000</v>
      </c>
      <c r="D27" s="17" t="n">
        <v>2008000</v>
      </c>
      <c r="E27" s="17" t="n">
        <v>2637000</v>
      </c>
      <c r="F27" s="17" t="n">
        <v>3157000</v>
      </c>
    </row>
    <row r="28">
      <c r="A28" s="15" t="inlineStr">
        <is>
          <t>Aktiver</t>
        </is>
      </c>
      <c r="B28" s="17" t="n">
        <v>5740000</v>
      </c>
      <c r="C28" s="17" t="n">
        <v>7215000</v>
      </c>
      <c r="D28" s="17" t="n">
        <v>6859000</v>
      </c>
      <c r="E28" s="17" t="n">
        <v>7154000</v>
      </c>
      <c r="F28" s="17" t="n">
        <v>7675000</v>
      </c>
    </row>
    <row r="29">
      <c r="A29" s="16" t="inlineStr">
        <is>
          <t>Selskabskapital</t>
        </is>
      </c>
      <c r="B29" s="17" t="n">
        <v>129000</v>
      </c>
      <c r="C29" s="17" t="n">
        <v>129000</v>
      </c>
      <c r="D29" s="17" t="n">
        <v>135000</v>
      </c>
      <c r="E29" s="17" t="n">
        <v>135000</v>
      </c>
      <c r="F29" s="17" t="n">
        <v>135000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>
        <v>3823000</v>
      </c>
      <c r="C33" s="17" t="n">
        <v>4132000</v>
      </c>
      <c r="D33" s="17" t="n">
        <v>5258000</v>
      </c>
      <c r="E33" s="17" t="n">
        <v>5459000</v>
      </c>
      <c r="F33" s="17" t="n">
        <v>5900000</v>
      </c>
    </row>
    <row r="34">
      <c r="A34" s="16" t="inlineStr">
        <is>
          <t>Overført resultat</t>
        </is>
      </c>
      <c r="B34" s="17" t="n"/>
      <c r="C34" s="17" t="n"/>
      <c r="D34" s="17" t="n"/>
      <c r="E34" s="17" t="n"/>
      <c r="F34" s="17" t="n"/>
    </row>
    <row r="35">
      <c r="A35" s="15" t="inlineStr">
        <is>
          <t>Egenkapital i alt</t>
        </is>
      </c>
      <c r="B35" s="17" t="n">
        <v>3952000</v>
      </c>
      <c r="C35" s="17" t="n">
        <v>4261000</v>
      </c>
      <c r="D35" s="17" t="n">
        <v>5393000</v>
      </c>
      <c r="E35" s="17" t="n">
        <v>5594000</v>
      </c>
      <c r="F35" s="17" t="n">
        <v>6035000</v>
      </c>
    </row>
    <row r="36">
      <c r="A36" s="16" t="inlineStr">
        <is>
          <t>Hensættelse til udskudt skat</t>
        </is>
      </c>
      <c r="B36" s="17" t="n">
        <v>18000</v>
      </c>
      <c r="C36" s="17" t="n">
        <v>8000</v>
      </c>
      <c r="D36" s="17" t="n">
        <v>3000</v>
      </c>
      <c r="E36" s="17" t="n">
        <v>4000</v>
      </c>
      <c r="F36" s="17" t="n">
        <v>11000</v>
      </c>
    </row>
    <row r="37">
      <c r="A37" s="15" t="inlineStr">
        <is>
          <t>Hensatte forpligtelser</t>
        </is>
      </c>
      <c r="B37" s="17" t="n">
        <v>30000</v>
      </c>
      <c r="C37" s="17" t="n">
        <v>19000</v>
      </c>
      <c r="D37" s="17" t="n">
        <v>9000</v>
      </c>
      <c r="E37" s="17" t="n">
        <v>14000</v>
      </c>
      <c r="F37" s="17" t="n">
        <v>3000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/>
      <c r="C40" s="17" t="n"/>
      <c r="D40" s="17" t="n">
        <v>512000</v>
      </c>
      <c r="E40" s="17" t="n">
        <v>483000</v>
      </c>
      <c r="F40" s="17" t="n">
        <v>462000</v>
      </c>
    </row>
    <row r="41">
      <c r="A41" s="16" t="inlineStr">
        <is>
          <t>Anden gæld (langfristet)</t>
        </is>
      </c>
      <c r="B41" s="17" t="n"/>
      <c r="C41" s="17" t="n"/>
      <c r="D41" s="17" t="n"/>
      <c r="E41" s="17" t="n"/>
      <c r="F41" s="17" t="n"/>
    </row>
    <row r="42">
      <c r="A42" s="15" t="inlineStr">
        <is>
          <t>Langfristede gældsforpligtelser</t>
        </is>
      </c>
      <c r="B42" s="17" t="n">
        <v>808000</v>
      </c>
      <c r="C42" s="17" t="n">
        <v>1793000</v>
      </c>
      <c r="D42" s="17" t="n">
        <v>524000</v>
      </c>
      <c r="E42" s="17" t="n">
        <v>501000</v>
      </c>
      <c r="F42" s="17" t="n">
        <v>5000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Leasingforpligtelser (kortfristet)</t>
        </is>
      </c>
      <c r="B46" s="17" t="n"/>
      <c r="C46" s="17" t="n"/>
      <c r="D46" s="17" t="n">
        <v>72000</v>
      </c>
      <c r="E46" s="17" t="n">
        <v>75000</v>
      </c>
      <c r="F46" s="17" t="n">
        <v>80000</v>
      </c>
    </row>
    <row r="47">
      <c r="A47" s="16" t="inlineStr">
        <is>
          <t>Leverandører af varer og tjenesteydelser</t>
        </is>
      </c>
      <c r="B47" s="17" t="n">
        <v>364000</v>
      </c>
      <c r="C47" s="17" t="n">
        <v>600000</v>
      </c>
      <c r="D47" s="17" t="n">
        <v>359000</v>
      </c>
      <c r="E47" s="17" t="n">
        <v>490000</v>
      </c>
      <c r="F47" s="17" t="n">
        <v>572000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137000</v>
      </c>
      <c r="C52" s="17" t="n">
        <v>0</v>
      </c>
      <c r="D52" s="17" t="n"/>
      <c r="E52" s="17" t="n"/>
      <c r="F52" s="17" t="n"/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/>
      <c r="F53" s="17" t="n"/>
    </row>
    <row r="54">
      <c r="A54" s="15" t="inlineStr">
        <is>
          <t>Kortfristede gældsforpligtelser</t>
        </is>
      </c>
      <c r="B54" s="17" t="n">
        <v>980000</v>
      </c>
      <c r="C54" s="17" t="n">
        <v>1161000</v>
      </c>
      <c r="D54" s="17" t="n">
        <v>942000</v>
      </c>
      <c r="E54" s="17" t="n">
        <v>1059000</v>
      </c>
      <c r="F54" s="17" t="n">
        <v>1159000</v>
      </c>
    </row>
    <row r="55">
      <c r="A55" s="15" t="inlineStr">
        <is>
          <t>Gældsforpligtelser</t>
        </is>
      </c>
      <c r="B55" s="17" t="n">
        <v>1788000</v>
      </c>
      <c r="C55" s="17" t="n">
        <v>2954000</v>
      </c>
      <c r="D55" s="17" t="n">
        <v>1466000</v>
      </c>
      <c r="E55" s="17" t="n">
        <v>1560000</v>
      </c>
      <c r="F55" s="17" t="n">
        <v>1640000</v>
      </c>
    </row>
    <row r="56">
      <c r="A56" s="15" t="inlineStr">
        <is>
          <t>Passiver</t>
        </is>
      </c>
      <c r="B56" s="17" t="n">
        <v>5740000</v>
      </c>
      <c r="C56" s="17" t="n">
        <v>7215000</v>
      </c>
      <c r="D56" s="17" t="n">
        <v>6859000</v>
      </c>
      <c r="E56" s="17" t="n">
        <v>7154000</v>
      </c>
      <c r="F56" s="17" t="n">
        <v>7675000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Ambu A/S (CVR 63644919)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328000</v>
      </c>
      <c r="C2" s="17" t="n">
        <v>95000</v>
      </c>
      <c r="D2" s="17" t="n">
        <v>518000</v>
      </c>
      <c r="E2" s="17" t="n">
        <v>813000</v>
      </c>
      <c r="F2" s="17" t="n">
        <v>791000</v>
      </c>
    </row>
    <row r="3">
      <c r="A3" s="16" t="inlineStr">
        <is>
          <t>Pengestrømme fra investeringsaktivitet</t>
        </is>
      </c>
      <c r="B3" s="17" t="n">
        <v>-874000</v>
      </c>
      <c r="C3" s="17" t="n">
        <v>-558000</v>
      </c>
      <c r="D3" s="17" t="n">
        <v>-326000</v>
      </c>
      <c r="E3" s="17" t="n">
        <v>-289000</v>
      </c>
      <c r="F3" s="17" t="n">
        <v>-384000</v>
      </c>
    </row>
    <row r="4">
      <c r="A4" s="16" t="inlineStr">
        <is>
          <t>Pengestrømme fra finansieringsaktivitet</t>
        </is>
      </c>
      <c r="B4" s="17" t="n">
        <v>512000</v>
      </c>
      <c r="C4" s="17" t="n">
        <v>586000</v>
      </c>
      <c r="D4" s="17" t="n">
        <v>-222000</v>
      </c>
      <c r="E4" s="17" t="n">
        <v>-65000</v>
      </c>
      <c r="F4" s="17" t="n">
        <v>-153000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Ambu A/S (CVR 63644919) — Regnskabs- og nøgletal (CVR: 63644919)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'res_raw_63644919'!$F$2</f>
        <v/>
      </c>
      <c r="C5" s="24">
        <f>'res_raw_63644919'!$E$2</f>
        <v/>
      </c>
      <c r="D5" s="24">
        <f>'res_raw_63644919'!$D$2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-'res_raw_63644919'!$F$3</f>
        <v/>
      </c>
      <c r="C6" s="24">
        <f>-'res_raw_63644919'!$E$3</f>
        <v/>
      </c>
      <c r="D6" s="24">
        <f>-'res_raw_63644919'!$D$3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IF(ABS((SUM(B5:B6))-'res_raw_63644919'!$F$4)&lt;=2,SUM(B5:B6),'res_raw_63644919'!$F$4)</f>
        <v/>
      </c>
      <c r="C7" s="27">
        <f>IF(ABS((SUM(C5:C6))-'res_raw_63644919'!$E$4)&lt;=2,SUM(C5:C6),'res_raw_63644919'!$E$4)</f>
        <v/>
      </c>
      <c r="D7" s="27">
        <f>IF(ABS((SUM(D5:D6))-'res_raw_63644919'!$D$4)&lt;=2,SUM(D5:D6),'res_raw_63644919'!$D$4)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-'res_raw_63644919'!$F$5</f>
        <v/>
      </c>
      <c r="C8" s="24">
        <f>-'res_raw_63644919'!$E$5</f>
        <v/>
      </c>
      <c r="D8" s="24">
        <f>-'res_raw_63644919'!$D$5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-'res_raw_63644919'!$F$6</f>
        <v/>
      </c>
      <c r="C9" s="24">
        <f>-'res_raw_63644919'!$E$6</f>
        <v/>
      </c>
      <c r="D9" s="24">
        <f>-'res_raw_63644919'!$D$6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-'res_raw_63644919'!$F$7</f>
        <v/>
      </c>
      <c r="C10" s="24">
        <f>-'res_raw_63644919'!$E$7</f>
        <v/>
      </c>
      <c r="D10" s="24">
        <f>-'res_raw_63644919'!$D$7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'res_raw_63644919'!$F$8</f>
        <v/>
      </c>
      <c r="C11" s="24">
        <f>'res_raw_63644919'!$E$8</f>
        <v/>
      </c>
      <c r="D11" s="24">
        <f>'res_raw_63644919'!$D$8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-'res_raw_63644919'!$F$9</f>
        <v/>
      </c>
      <c r="C12" s="27">
        <f>-'res_raw_63644919'!$E$9</f>
        <v/>
      </c>
      <c r="D12" s="27">
        <f>-'res_raw_63644919'!$D$9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IF(ABS((SUM(B7:B12))-'res_raw_63644919'!$F$10)&lt;=2,SUM(B7:B12),'res_raw_63644919'!$F$10)</f>
        <v/>
      </c>
      <c r="C13" s="30">
        <f>IF(ABS((SUM(C7:C12))-'res_raw_63644919'!$E$10)&lt;=2,SUM(C7:C12),'res_raw_63644919'!$E$10)</f>
        <v/>
      </c>
      <c r="D13" s="30">
        <f>IF(ABS((SUM(D7:D12))-'res_raw_63644919'!$D$10)&lt;=2,SUM(D7:D12),'res_raw_63644919'!$D$10)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N('res_raw_63644919'!$F$11)+N('res_raw_63644919'!$F$12)</f>
        <v/>
      </c>
      <c r="C14" s="24">
        <f>N('res_raw_63644919'!$E$11)+N('res_raw_63644919'!$E$12)</f>
        <v/>
      </c>
      <c r="D14" s="24">
        <f>N('res_raw_63644919'!$D$11)+N('res_raw_63644919'!$D$12)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-'res_raw_63644919'!$F$13</f>
        <v/>
      </c>
      <c r="C15" s="27">
        <f>-'res_raw_63644919'!$E$13</f>
        <v/>
      </c>
      <c r="D15" s="27">
        <f>-'res_raw_63644919'!$D$13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IF(ABS((SUM(B13:B15))-'res_raw_63644919'!$F$15)&lt;=2,SUM(B13:B15),'res_raw_63644919'!$F$15)</f>
        <v/>
      </c>
      <c r="C16" s="30">
        <f>IF(ABS((SUM(C13:C15))-'res_raw_63644919'!$E$15)&lt;=2,SUM(C13:C15),'res_raw_63644919'!$E$15)</f>
        <v/>
      </c>
      <c r="D16" s="30">
        <f>IF(ABS((SUM(D13:D15))-'res_raw_63644919'!$D$15)&lt;=2,SUM(D13:D15),'res_raw_63644919'!$D$15)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'balance_raw_63644919'!$F$15</f>
        <v/>
      </c>
      <c r="C19" s="24">
        <f>'balance_raw_63644919'!$E$15</f>
        <v/>
      </c>
      <c r="D19" s="24">
        <f>'balance_raw_63644919'!$D$15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'balance_raw_63644919'!$F$27</f>
        <v/>
      </c>
      <c r="C20" s="24">
        <f>'balance_raw_63644919'!$E$27</f>
        <v/>
      </c>
      <c r="D20" s="24">
        <f>'balance_raw_63644919'!$D$27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'balance_raw_63644919'!$F$35</f>
        <v/>
      </c>
      <c r="C23" s="24">
        <f>'balance_raw_63644919'!$E$35</f>
        <v/>
      </c>
      <c r="D23" s="24">
        <f>'balance_raw_63644919'!$D$35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'balance_raw_63644919'!$F$56-'balance_raw_63644919'!$F$35</f>
        <v/>
      </c>
      <c r="C24" s="24">
        <f>'balance_raw_63644919'!$E$56-'balance_raw_63644919'!$E$35</f>
        <v/>
      </c>
      <c r="D24" s="24">
        <f>'balance_raw_63644919'!$D$56-'balance_raw_63644919'!$D$35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'balance_raw_63644919'!$F$16</f>
        <v/>
      </c>
      <c r="C28" s="24">
        <f>'balance_raw_63644919'!$E$16</f>
        <v/>
      </c>
      <c r="D28" s="24">
        <f>'balance_raw_63644919'!$D$16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'balance_raw_63644919'!$F$17</f>
        <v/>
      </c>
      <c r="C29" s="24">
        <f>'balance_raw_63644919'!$E$17</f>
        <v/>
      </c>
      <c r="D29" s="24">
        <f>'balance_raw_63644919'!$D$17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'balance_raw_63644919'!$F$54</f>
        <v/>
      </c>
      <c r="C30" s="24">
        <f>'balance_raw_63644919'!$E$54</f>
        <v/>
      </c>
      <c r="D30" s="24">
        <f>'balance_raw_63644919'!$D$54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IF('balance_raw_63644919'!$F$28="","—",IF(ABS(B21-'balance_raw_63644919'!$F$28)&lt;=1,"✓ OK","❌ "&amp;TEXT(B21-'balance_raw_63644919'!$F$28,"+#,##0;-#,##0")&amp;" t.kr."))</f>
        <v/>
      </c>
      <c r="C62" s="31">
        <f>IF('balance_raw_63644919'!$E$28="","—",IF(ABS(C21-'balance_raw_63644919'!$E$28)&lt;=1,"✓ OK","❌ "&amp;TEXT(C21-'balance_raw_63644919'!$E$28,"+#,##0;-#,##0")&amp;" t.kr."))</f>
        <v/>
      </c>
      <c r="D62" s="31">
        <f>IF('balance_raw_63644919'!$D$28="","—",IF(ABS(D21-'balance_raw_63644919'!$D$28)&lt;=1,"✓ OK","❌ "&amp;TEXT(D21-'balance_raw_63644919'!$D$28,"+#,##0;-#,##0")&amp;"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IF('balance_raw_63644919'!$F$56="","—",IF(ABS(B25-'balance_raw_63644919'!$F$56)&lt;=1,"✓ OK","❌ "&amp;TEXT(B25-'balance_raw_63644919'!$F$56,"+#,##0;-#,##0")&amp;" t.kr."))</f>
        <v/>
      </c>
      <c r="C63" s="31">
        <f>IF('balance_raw_63644919'!$E$56="","—",IF(ABS(C25-'balance_raw_63644919'!$E$56)&lt;=1,"✓ OK","❌ "&amp;TEXT(C25-'balance_raw_63644919'!$E$56,"+#,##0;-#,##0")&amp;" t.kr."))</f>
        <v/>
      </c>
      <c r="D63" s="31">
        <f>IF('balance_raw_63644919'!$D$56="","—",IF(ABS(D25-'balance_raw_63644919'!$D$56)&lt;=1,"✓ OK","❌ "&amp;TEXT(D25-'balance_raw_63644919'!$D$56,"+#,##0;-#,##0")&amp;"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IF('res_raw_63644919'!$F$4="","—",IF(ABS(B7-'res_raw_63644919'!$F$4)&lt;=1,"✓ OK","❌ "&amp;TEXT(B7-'res_raw_63644919'!$F$4,"+#,##0;-#,##0")&amp;" t.kr."))</f>
        <v/>
      </c>
      <c r="C65" s="31">
        <f>IF('res_raw_63644919'!$E$4="","—",IF(ABS(C7-'res_raw_63644919'!$E$4)&lt;=1,"✓ OK","❌ "&amp;TEXT(C7-'res_raw_63644919'!$E$4,"+#,##0;-#,##0")&amp;" t.kr."))</f>
        <v/>
      </c>
      <c r="D65" s="31">
        <f>IF('res_raw_63644919'!$D$4="","—",IF(ABS(D7-'res_raw_63644919'!$D$4)&lt;=1,"✓ OK","❌ "&amp;TEXT(D7-'res_raw_63644919'!$D$4,"+#,##0;-#,##0")&amp;"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IF('res_raw_63644919'!$F$10="","—",IF(ABS(B13-'res_raw_63644919'!$F$10)&lt;=1,"✓ OK","❌ "&amp;TEXT(B13-'res_raw_63644919'!$F$10,"+#,##0;-#,##0")&amp;" t.kr."))</f>
        <v/>
      </c>
      <c r="C66" s="31">
        <f>IF('res_raw_63644919'!$E$10="","—",IF(ABS(C13-'res_raw_63644919'!$E$10)&lt;=1,"✓ OK","❌ "&amp;TEXT(C13-'res_raw_63644919'!$E$10,"+#,##0;-#,##0")&amp;" t.kr."))</f>
        <v/>
      </c>
      <c r="D66" s="31">
        <f>IF('res_raw_63644919'!$D$10="","—",IF(ABS(D13-'res_raw_63644919'!$D$10)&lt;=1,"✓ OK","❌ "&amp;TEXT(D13-'res_raw_63644919'!$D$10,"+#,##0;-#,##0")&amp;"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IF('res_raw_63644919'!$F$15="","—",IF(ABS(B16-'res_raw_63644919'!$F$15)&lt;=1,"✓ OK","❌ "&amp;TEXT(B16-'res_raw_63644919'!$F$15,"+#,##0;-#,##0")&amp;" t.kr."))</f>
        <v/>
      </c>
      <c r="C67" s="31">
        <f>IF('res_raw_63644919'!$E$15="","—",IF(ABS(C16-'res_raw_63644919'!$E$15)&lt;=1,"✓ OK","❌ "&amp;TEXT(C16-'res_raw_63644919'!$E$15,"+#,##0;-#,##0")&amp;" t.kr."))</f>
        <v/>
      </c>
      <c r="D67" s="31">
        <f>IF('res_raw_63644919'!$D$15="","—",IF(ABS(D16-'res_raw_63644919'!$D$15)&lt;=1,"✓ OK","❌ "&amp;TEXT(D16-'res_raw_63644919'!$D$15,"+#,##0;-#,##0")&amp;"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Ambu A/S (CVR 63644919)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ifrs-full:AdjustmentsForFinanceIncomeCost</t>
        </is>
      </c>
      <c r="C3" s="36" t="inlineStr">
        <is>
          <t>ifrs-full:AdjustmentsForFinanceIncomeCost</t>
        </is>
      </c>
      <c r="D3" s="37" t="n"/>
      <c r="E3" s="37" t="n"/>
      <c r="F3" s="37" t="n">
        <v>-84000</v>
      </c>
      <c r="G3" s="37" t="n">
        <v>-11000</v>
      </c>
      <c r="H3" s="37" t="n">
        <v>-29000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ifrs-full:AdjustmentsForIncomeTaxExpense</t>
        </is>
      </c>
      <c r="C4" s="39" t="inlineStr">
        <is>
          <t>ifrs-full:AdjustmentsForIncomeTaxExpense</t>
        </is>
      </c>
      <c r="D4" s="40" t="n"/>
      <c r="E4" s="40" t="n"/>
      <c r="F4" s="40" t="n">
        <v>42000</v>
      </c>
      <c r="G4" s="40" t="n">
        <v>65000</v>
      </c>
      <c r="H4" s="40" t="n">
        <v>146000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ifrs-full:AdjustmentsForReconcileProfitLoss</t>
        </is>
      </c>
      <c r="C5" s="36" t="inlineStr">
        <is>
          <t>ifrs-full:AdjustmentsForReconcileProfitLoss</t>
        </is>
      </c>
      <c r="D5" s="37" t="n">
        <v>227000</v>
      </c>
      <c r="E5" s="37" t="n">
        <v>363000</v>
      </c>
      <c r="F5" s="37" t="n"/>
      <c r="G5" s="37" t="n"/>
      <c r="H5" s="37" t="n"/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ifrs-full:AdjustmentsForSharebasedPayments</t>
        </is>
      </c>
      <c r="C6" s="39" t="inlineStr">
        <is>
          <t>ifrs-full:AdjustmentsForSharebasedPayments</t>
        </is>
      </c>
      <c r="D6" s="40" t="n"/>
      <c r="E6" s="40" t="n"/>
      <c r="F6" s="40" t="n">
        <v>17000</v>
      </c>
      <c r="G6" s="40" t="n">
        <v>26000</v>
      </c>
      <c r="H6" s="40" t="n">
        <v>31000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ifrs-full:BankOverdraftsClassifiedAsCashEquivalents</t>
        </is>
      </c>
      <c r="C7" s="36" t="inlineStr">
        <is>
          <t>ifrs-full:BankOverdraftsClassifiedAsCashEquivalents</t>
        </is>
      </c>
      <c r="D7" s="37" t="n">
        <v>0</v>
      </c>
      <c r="E7" s="37" t="n">
        <v>0</v>
      </c>
      <c r="F7" s="37" t="n"/>
      <c r="G7" s="37" t="n"/>
      <c r="H7" s="37" t="n"/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ifrs-full:CopyrightsPatentsAndOtherIndustrialPropertyRightsServiceAndOperatingRights</t>
        </is>
      </c>
      <c r="C8" s="39" t="inlineStr">
        <is>
          <t>ifrs-full:CopyrightsPatentsAndOtherIndustrialPropertyRightsServiceAndOperatingRights</t>
        </is>
      </c>
      <c r="D8" s="40" t="n">
        <v>42000</v>
      </c>
      <c r="E8" s="40" t="n">
        <v>27000</v>
      </c>
      <c r="F8" s="40" t="n"/>
      <c r="G8" s="40" t="n"/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ifrs-full:CurrentPrepaidExpenses</t>
        </is>
      </c>
      <c r="C9" s="36" t="inlineStr">
        <is>
          <t>ifrs-full:CurrentPrepaidExpenses</t>
        </is>
      </c>
      <c r="D9" s="37" t="n"/>
      <c r="E9" s="37" t="n"/>
      <c r="F9" s="37" t="n"/>
      <c r="G9" s="37" t="n"/>
      <c r="H9" s="37" t="n"/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ifrs-full:GainsLossesOnExchangeDifferencesOnTranslationNetOfTax</t>
        </is>
      </c>
      <c r="C10" s="39" t="inlineStr">
        <is>
          <t>ifrs-full:GainsLossesOnExchangeDifferencesOnTranslationNetOfTax</t>
        </is>
      </c>
      <c r="D10" s="40" t="n">
        <v>33000</v>
      </c>
      <c r="E10" s="40" t="n">
        <v>273000</v>
      </c>
      <c r="F10" s="40" t="n">
        <v>-168000</v>
      </c>
      <c r="G10" s="40" t="n">
        <v>-66000</v>
      </c>
      <c r="H10" s="40" t="n">
        <v>-109000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ifrs-full:GeneralAndAdministrativeExpense</t>
        </is>
      </c>
      <c r="C11" s="36" t="inlineStr">
        <is>
          <t>ifrs-full:GeneralAndAdministrativeExpense</t>
        </is>
      </c>
      <c r="D11" s="37" t="n">
        <v>470000</v>
      </c>
      <c r="E11" s="37" t="n">
        <v>517000</v>
      </c>
      <c r="F11" s="37" t="n">
        <v>594000</v>
      </c>
      <c r="G11" s="37" t="n">
        <v>660000</v>
      </c>
      <c r="H11" s="37" t="n">
        <v>710000</v>
      </c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ifrs-full:Machinery</t>
        </is>
      </c>
      <c r="C12" s="39" t="inlineStr">
        <is>
          <t>ifrs-full:Machinery</t>
        </is>
      </c>
      <c r="D12" s="40" t="n">
        <v>164000</v>
      </c>
      <c r="E12" s="40" t="n">
        <v>178000</v>
      </c>
      <c r="F12" s="40" t="n"/>
      <c r="G12" s="40" t="n"/>
      <c r="H12" s="40" t="n"/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ifrs-full:MiscellaneousOtherProvisions</t>
        </is>
      </c>
      <c r="C13" s="36" t="inlineStr">
        <is>
          <t>ifrs-full:MiscellaneousOtherProvisions</t>
        </is>
      </c>
      <c r="D13" s="37" t="n"/>
      <c r="E13" s="37" t="n"/>
      <c r="F13" s="37" t="n"/>
      <c r="G13" s="37" t="n"/>
      <c r="H13" s="37" t="n"/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ifrs-full:OtherPayables</t>
        </is>
      </c>
      <c r="C14" s="39" t="inlineStr">
        <is>
          <t>ifrs-full:OtherPayables</t>
        </is>
      </c>
      <c r="D14" s="40" t="n">
        <v>378000</v>
      </c>
      <c r="E14" s="40" t="n">
        <v>461000</v>
      </c>
      <c r="F14" s="40" t="n">
        <v>492000</v>
      </c>
      <c r="G14" s="40" t="n">
        <v>439000</v>
      </c>
      <c r="H14" s="40" t="n">
        <v>448000</v>
      </c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ifrs-full:OtherReceivables</t>
        </is>
      </c>
      <c r="C15" s="36" t="inlineStr">
        <is>
          <t>ifrs-full:OtherReceivables</t>
        </is>
      </c>
      <c r="D15" s="37" t="n">
        <v>20000</v>
      </c>
      <c r="E15" s="37" t="n">
        <v>36000</v>
      </c>
      <c r="F15" s="37" t="n">
        <v>44000</v>
      </c>
      <c r="G15" s="37" t="n">
        <v>44000</v>
      </c>
      <c r="H15" s="37" t="n">
        <v>40000</v>
      </c>
      <c r="I15" s="38" t="inlineStr">
        <is>
          <t>Ingen forklaring tilgængelig.</t>
        </is>
      </c>
    </row>
    <row r="16" ht="30" customHeight="1">
      <c r="A16" s="39" t="inlineStr">
        <is>
          <t>Øvrige (ukendt)</t>
        </is>
      </c>
      <c r="B16" s="39" t="inlineStr">
        <is>
          <t>ifrs-full:Prepayments</t>
        </is>
      </c>
      <c r="C16" s="39" t="inlineStr">
        <is>
          <t>ifrs-full:Prepayments</t>
        </is>
      </c>
      <c r="D16" s="40" t="n">
        <v>64000</v>
      </c>
      <c r="E16" s="40" t="n">
        <v>78000</v>
      </c>
      <c r="F16" s="40" t="n">
        <v>73000</v>
      </c>
      <c r="G16" s="40" t="n">
        <v>112000</v>
      </c>
      <c r="H16" s="40" t="n">
        <v>112000</v>
      </c>
      <c r="I16" s="41" t="inlineStr">
        <is>
          <t>Ingen forklaring tilgængelig.</t>
        </is>
      </c>
    </row>
    <row r="17" ht="30" customHeight="1">
      <c r="A17" s="36" t="inlineStr">
        <is>
          <t>Øvrige (ukendt)</t>
        </is>
      </c>
      <c r="B17" s="36" t="inlineStr">
        <is>
          <t>ifrs-full:ProceedsFromExerciseOfOptions</t>
        </is>
      </c>
      <c r="C17" s="36" t="inlineStr">
        <is>
          <t>ifrs-full:ProceedsFromExerciseOfOptions</t>
        </is>
      </c>
      <c r="D17" s="37" t="n">
        <v>37000</v>
      </c>
      <c r="E17" s="37" t="n">
        <v>11000</v>
      </c>
      <c r="F17" s="37" t="n">
        <v>14000</v>
      </c>
      <c r="G17" s="37" t="n">
        <v>0</v>
      </c>
      <c r="H17" s="37" t="n">
        <v>11000</v>
      </c>
      <c r="I17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2026-09-29T14:45:40Z</dcterms:created>
  <dcterms:modified xmlns:dcterms="http://purl.org/dc/terms/" xmlns:xsi="http://www.w3.org/2001/XMLSchema-instance" xsi:type="dcterms:W3CDTF">2026-09-29T14:45:41Z</dcterms:modified>
</cp:coreProperties>
</file>