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34482" sheetId="1" state="visible" r:id="rId1"/>
    <sheet xmlns:r="http://schemas.openxmlformats.org/officeDocument/2006/relationships" name="res_raw_33034482" sheetId="2" state="visible" r:id="rId2"/>
    <sheet xmlns:r="http://schemas.openxmlformats.org/officeDocument/2006/relationships" name="balance_raw_33034482" sheetId="3" state="visible" r:id="rId3"/>
    <sheet xmlns:r="http://schemas.openxmlformats.org/officeDocument/2006/relationships" name="pengestrom_raw_3303448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Danske Lotteri Spil A/S (CVR 33034482)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'res_raw_33034482'!$B$2</f>
        <v/>
      </c>
      <c r="C4" s="5">
        <f>'res_raw_33034482'!$C$2</f>
        <v/>
      </c>
      <c r="D4" s="5">
        <f>'res_raw_33034482'!$D$2</f>
        <v/>
      </c>
      <c r="E4" s="5">
        <f>'res_raw_33034482'!$E$2</f>
        <v/>
      </c>
      <c r="F4" s="5">
        <f>'res_raw_33034482'!$F$2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'res_raw_33034482'!$B$3</f>
        <v/>
      </c>
      <c r="C5" s="8">
        <f>'res_raw_33034482'!$C$3</f>
        <v/>
      </c>
      <c r="D5" s="8">
        <f>'res_raw_33034482'!$D$3</f>
        <v/>
      </c>
      <c r="E5" s="8">
        <f>'res_raw_33034482'!$E$3</f>
        <v/>
      </c>
      <c r="F5" s="8">
        <f>'res_raw_33034482'!$F$3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'res_raw_33034482'!$B$4</f>
        <v/>
      </c>
      <c r="C6" s="5">
        <f>'res_raw_33034482'!$C$4</f>
        <v/>
      </c>
      <c r="D6" s="5">
        <f>'res_raw_33034482'!$D$4</f>
        <v/>
      </c>
      <c r="E6" s="5">
        <f>'res_raw_33034482'!$E$4</f>
        <v/>
      </c>
      <c r="F6" s="5">
        <f>'res_raw_33034482'!$F$4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'res_raw_33034482'!$B$5</f>
        <v/>
      </c>
      <c r="C7" s="8">
        <f>'res_raw_33034482'!$C$5</f>
        <v/>
      </c>
      <c r="D7" s="8">
        <f>'res_raw_33034482'!$D$5</f>
        <v/>
      </c>
      <c r="E7" s="8">
        <f>'res_raw_33034482'!$E$5</f>
        <v/>
      </c>
      <c r="F7" s="8">
        <f>'res_raw_33034482'!$F$5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'res_raw_33034482'!$B$6</f>
        <v/>
      </c>
      <c r="C8" s="11">
        <f>'res_raw_33034482'!$C$6</f>
        <v/>
      </c>
      <c r="D8" s="11">
        <f>'res_raw_33034482'!$D$6</f>
        <v/>
      </c>
      <c r="E8" s="11">
        <f>'res_raw_33034482'!$E$6</f>
        <v/>
      </c>
      <c r="F8" s="11">
        <f>'res_raw_33034482'!$F$6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'res_raw_33034482'!$B$7</f>
        <v/>
      </c>
      <c r="C9" s="8">
        <f>'res_raw_33034482'!$C$7</f>
        <v/>
      </c>
      <c r="D9" s="8">
        <f>'res_raw_33034482'!$D$7</f>
        <v/>
      </c>
      <c r="E9" s="8">
        <f>'res_raw_33034482'!$E$7</f>
        <v/>
      </c>
      <c r="F9" s="8">
        <f>'res_raw_33034482'!$F$7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'res_raw_33034482'!$B$9</f>
        <v/>
      </c>
      <c r="C11" s="8">
        <f>'res_raw_33034482'!$C$9</f>
        <v/>
      </c>
      <c r="D11" s="8">
        <f>'res_raw_33034482'!$D$9</f>
        <v/>
      </c>
      <c r="E11" s="8">
        <f>'res_raw_33034482'!$E$9</f>
        <v/>
      </c>
      <c r="F11" s="8">
        <f>'res_raw_33034482'!$F$9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'res_raw_33034482'!$B$10</f>
        <v/>
      </c>
      <c r="C12" s="5">
        <f>'res_raw_33034482'!$C$10</f>
        <v/>
      </c>
      <c r="D12" s="5">
        <f>'res_raw_33034482'!$D$10</f>
        <v/>
      </c>
      <c r="E12" s="5">
        <f>'res_raw_33034482'!$E$10</f>
        <v/>
      </c>
      <c r="F12" s="5">
        <f>'res_raw_33034482'!$F$10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'res_raw_33034482'!$B$11</f>
        <v/>
      </c>
      <c r="C13" s="11">
        <f>'res_raw_33034482'!$C$11</f>
        <v/>
      </c>
      <c r="D13" s="11">
        <f>'res_raw_33034482'!$D$11</f>
        <v/>
      </c>
      <c r="E13" s="11">
        <f>'res_raw_33034482'!$E$11</f>
        <v/>
      </c>
      <c r="F13" s="11">
        <f>'res_raw_33034482'!$F$11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'res_raw_33034482'!$B$12</f>
        <v/>
      </c>
      <c r="C14" s="5">
        <f>'res_raw_33034482'!$C$12</f>
        <v/>
      </c>
      <c r="D14" s="5">
        <f>'res_raw_33034482'!$D$12</f>
        <v/>
      </c>
      <c r="E14" s="5">
        <f>'res_raw_33034482'!$E$12</f>
        <v/>
      </c>
      <c r="F14" s="5">
        <f>'res_raw_33034482'!$F$12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'res_raw_33034482'!$B$13</f>
        <v/>
      </c>
      <c r="C15" s="8">
        <f>'res_raw_33034482'!$C$13</f>
        <v/>
      </c>
      <c r="D15" s="8">
        <f>'res_raw_33034482'!$D$13</f>
        <v/>
      </c>
      <c r="E15" s="8">
        <f>'res_raw_33034482'!$E$13</f>
        <v/>
      </c>
      <c r="F15" s="8">
        <f>'res_raw_33034482'!$F$13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'res_raw_33034482'!$B$14</f>
        <v/>
      </c>
      <c r="C16" s="5">
        <f>'res_raw_33034482'!$C$14</f>
        <v/>
      </c>
      <c r="D16" s="5">
        <f>'res_raw_33034482'!$D$14</f>
        <v/>
      </c>
      <c r="E16" s="5">
        <f>'res_raw_33034482'!$E$14</f>
        <v/>
      </c>
      <c r="F16" s="5">
        <f>'res_raw_33034482'!$F$14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'res_raw_33034482'!$B$15</f>
        <v/>
      </c>
      <c r="C17" s="11">
        <f>'res_raw_33034482'!$C$15</f>
        <v/>
      </c>
      <c r="D17" s="11">
        <f>'res_raw_33034482'!$D$15</f>
        <v/>
      </c>
      <c r="E17" s="11">
        <f>'res_raw_33034482'!$E$15</f>
        <v/>
      </c>
      <c r="F17" s="11">
        <f>'res_raw_33034482'!$F$15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'res_raw_33034482'!$B$16</f>
        <v/>
      </c>
      <c r="C18" s="11">
        <f>'res_raw_33034482'!$C$16</f>
        <v/>
      </c>
      <c r="D18" s="11">
        <f>'res_raw_33034482'!$D$16</f>
        <v/>
      </c>
      <c r="E18" s="11">
        <f>'res_raw_33034482'!$E$16</f>
        <v/>
      </c>
      <c r="F18" s="11">
        <f>'res_raw_33034482'!$F$16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'res_raw_33034482'!$B$17</f>
        <v/>
      </c>
      <c r="C19" s="8">
        <f>'res_raw_33034482'!$C$17</f>
        <v/>
      </c>
      <c r="D19" s="8">
        <f>'res_raw_33034482'!$D$17</f>
        <v/>
      </c>
      <c r="E19" s="8">
        <f>'res_raw_33034482'!$E$17</f>
        <v/>
      </c>
      <c r="F19" s="8">
        <f>'res_raw_33034482'!$F$17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'res_raw_33034482'!$B$18</f>
        <v/>
      </c>
      <c r="C20" s="11">
        <f>'res_raw_33034482'!$C$18</f>
        <v/>
      </c>
      <c r="D20" s="11">
        <f>'res_raw_33034482'!$D$18</f>
        <v/>
      </c>
      <c r="E20" s="11">
        <f>'res_raw_33034482'!$E$18</f>
        <v/>
      </c>
      <c r="F20" s="11">
        <f>'res_raw_33034482'!$F$18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'balance_raw_33034482'!$B$2</f>
        <v/>
      </c>
      <c r="C23" s="8">
        <f>'balance_raw_33034482'!$C$2</f>
        <v/>
      </c>
      <c r="D23" s="8">
        <f>'balance_raw_33034482'!$D$2</f>
        <v/>
      </c>
      <c r="E23" s="8">
        <f>'balance_raw_33034482'!$E$2</f>
        <v/>
      </c>
      <c r="F23" s="8">
        <f>'balance_raw_33034482'!$F$2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'balance_raw_33034482'!$B$3</f>
        <v/>
      </c>
      <c r="C24" s="5">
        <f>'balance_raw_33034482'!$C$3</f>
        <v/>
      </c>
      <c r="D24" s="5">
        <f>'balance_raw_33034482'!$D$3</f>
        <v/>
      </c>
      <c r="E24" s="5">
        <f>'balance_raw_33034482'!$E$3</f>
        <v/>
      </c>
      <c r="F24" s="5">
        <f>'balance_raw_33034482'!$F$3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'balance_raw_33034482'!$B$4</f>
        <v/>
      </c>
      <c r="C25" s="8">
        <f>'balance_raw_33034482'!$C$4</f>
        <v/>
      </c>
      <c r="D25" s="8">
        <f>'balance_raw_33034482'!$D$4</f>
        <v/>
      </c>
      <c r="E25" s="8">
        <f>'balance_raw_33034482'!$E$4</f>
        <v/>
      </c>
      <c r="F25" s="8">
        <f>'balance_raw_33034482'!$F$4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'balance_raw_33034482'!$B$5</f>
        <v/>
      </c>
      <c r="C26" s="11">
        <f>'balance_raw_33034482'!$C$5</f>
        <v/>
      </c>
      <c r="D26" s="11">
        <f>'balance_raw_33034482'!$D$5</f>
        <v/>
      </c>
      <c r="E26" s="11">
        <f>'balance_raw_33034482'!$E$5</f>
        <v/>
      </c>
      <c r="F26" s="11">
        <f>'balance_raw_33034482'!$F$5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10" t="inlineStr">
        <is>
          <t>Materielle anlægsaktiver</t>
        </is>
      </c>
      <c r="B27" s="11">
        <f>'balance_raw_33034482'!$B$6</f>
        <v/>
      </c>
      <c r="C27" s="11">
        <f>'balance_raw_33034482'!$C$6</f>
        <v/>
      </c>
      <c r="D27" s="11">
        <f>'balance_raw_33034482'!$D$6</f>
        <v/>
      </c>
      <c r="E27" s="11">
        <f>'balance_raw_33034482'!$E$6</f>
        <v/>
      </c>
      <c r="F27" s="11">
        <f>'balance_raw_33034482'!$F$6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'balance_raw_33034482'!$B$7</f>
        <v/>
      </c>
      <c r="C28" s="5">
        <f>'balance_raw_33034482'!$C$7</f>
        <v/>
      </c>
      <c r="D28" s="5">
        <f>'balance_raw_33034482'!$D$7</f>
        <v/>
      </c>
      <c r="E28" s="5">
        <f>'balance_raw_33034482'!$E$7</f>
        <v/>
      </c>
      <c r="F28" s="5">
        <f>'balance_raw_33034482'!$F$7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Deposita</t>
        </is>
      </c>
      <c r="B29" s="8">
        <f>'balance_raw_33034482'!$B$8</f>
        <v/>
      </c>
      <c r="C29" s="8">
        <f>'balance_raw_33034482'!$C$8</f>
        <v/>
      </c>
      <c r="D29" s="8">
        <f>'balance_raw_33034482'!$D$8</f>
        <v/>
      </c>
      <c r="E29" s="8">
        <f>'balance_raw_33034482'!$E$8</f>
        <v/>
      </c>
      <c r="F29" s="8">
        <f>'balance_raw_33034482'!$F$8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Finansielle anlægsaktiver</t>
        </is>
      </c>
      <c r="B30" s="11">
        <f>'balance_raw_33034482'!$B$9</f>
        <v/>
      </c>
      <c r="C30" s="11">
        <f>'balance_raw_33034482'!$C$9</f>
        <v/>
      </c>
      <c r="D30" s="11">
        <f>'balance_raw_33034482'!$D$9</f>
        <v/>
      </c>
      <c r="E30" s="11">
        <f>'balance_raw_33034482'!$E$9</f>
        <v/>
      </c>
      <c r="F30" s="11">
        <f>'balance_raw_33034482'!$F$9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10" t="inlineStr">
        <is>
          <t>Anlægsaktiver</t>
        </is>
      </c>
      <c r="B31" s="11">
        <f>'balance_raw_33034482'!$B$10</f>
        <v/>
      </c>
      <c r="C31" s="11">
        <f>'balance_raw_33034482'!$C$10</f>
        <v/>
      </c>
      <c r="D31" s="11">
        <f>'balance_raw_33034482'!$D$10</f>
        <v/>
      </c>
      <c r="E31" s="11">
        <f>'balance_raw_33034482'!$E$10</f>
        <v/>
      </c>
      <c r="F31" s="11">
        <f>'balance_raw_33034482'!$F$10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'balance_raw_33034482'!$B$11</f>
        <v/>
      </c>
      <c r="C32" s="11">
        <f>'balance_raw_33034482'!$C$11</f>
        <v/>
      </c>
      <c r="D32" s="11">
        <f>'balance_raw_33034482'!$D$11</f>
        <v/>
      </c>
      <c r="E32" s="11">
        <f>'balance_raw_33034482'!$E$11</f>
        <v/>
      </c>
      <c r="F32" s="11">
        <f>'balance_raw_33034482'!$F$11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'balance_raw_33034482'!$B$12</f>
        <v/>
      </c>
      <c r="C33" s="8">
        <f>'balance_raw_33034482'!$C$12</f>
        <v/>
      </c>
      <c r="D33" s="8">
        <f>'balance_raw_33034482'!$D$12</f>
        <v/>
      </c>
      <c r="E33" s="8">
        <f>'balance_raw_33034482'!$E$12</f>
        <v/>
      </c>
      <c r="F33" s="8">
        <f>'balance_raw_33034482'!$F$12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'balance_raw_33034482'!$B$13</f>
        <v/>
      </c>
      <c r="C34" s="5">
        <f>'balance_raw_33034482'!$C$13</f>
        <v/>
      </c>
      <c r="D34" s="5">
        <f>'balance_raw_33034482'!$D$13</f>
        <v/>
      </c>
      <c r="E34" s="5">
        <f>'balance_raw_33034482'!$E$13</f>
        <v/>
      </c>
      <c r="F34" s="5">
        <f>'balance_raw_33034482'!$F$13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'balance_raw_33034482'!$B$14</f>
        <v/>
      </c>
      <c r="C35" s="8">
        <f>'balance_raw_33034482'!$C$14</f>
        <v/>
      </c>
      <c r="D35" s="8">
        <f>'balance_raw_33034482'!$D$14</f>
        <v/>
      </c>
      <c r="E35" s="8">
        <f>'balance_raw_33034482'!$E$14</f>
        <v/>
      </c>
      <c r="F35" s="8">
        <f>'balance_raw_33034482'!$F$14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'balance_raw_33034482'!$B$15</f>
        <v/>
      </c>
      <c r="C36" s="5">
        <f>'balance_raw_33034482'!$C$15</f>
        <v/>
      </c>
      <c r="D36" s="5">
        <f>'balance_raw_33034482'!$D$15</f>
        <v/>
      </c>
      <c r="E36" s="5">
        <f>'balance_raw_33034482'!$E$15</f>
        <v/>
      </c>
      <c r="F36" s="5">
        <f>'balance_raw_33034482'!$F$15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'balance_raw_33034482'!$B$16</f>
        <v/>
      </c>
      <c r="C37" s="8">
        <f>'balance_raw_33034482'!$C$16</f>
        <v/>
      </c>
      <c r="D37" s="8">
        <f>'balance_raw_33034482'!$D$16</f>
        <v/>
      </c>
      <c r="E37" s="8">
        <f>'balance_raw_33034482'!$E$16</f>
        <v/>
      </c>
      <c r="F37" s="8">
        <f>'balance_raw_33034482'!$F$16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'balance_raw_33034482'!$B$17</f>
        <v/>
      </c>
      <c r="C38" s="5">
        <f>'balance_raw_33034482'!$C$17</f>
        <v/>
      </c>
      <c r="D38" s="5">
        <f>'balance_raw_33034482'!$D$17</f>
        <v/>
      </c>
      <c r="E38" s="5">
        <f>'balance_raw_33034482'!$E$17</f>
        <v/>
      </c>
      <c r="F38" s="5">
        <f>'balance_raw_33034482'!$F$17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'balance_raw_33034482'!$B$18</f>
        <v/>
      </c>
      <c r="C39" s="8">
        <f>'balance_raw_33034482'!$C$18</f>
        <v/>
      </c>
      <c r="D39" s="8">
        <f>'balance_raw_33034482'!$D$18</f>
        <v/>
      </c>
      <c r="E39" s="8">
        <f>'balance_raw_33034482'!$E$18</f>
        <v/>
      </c>
      <c r="F39" s="8">
        <f>'balance_raw_33034482'!$F$18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'balance_raw_33034482'!$B$19</f>
        <v/>
      </c>
      <c r="C40" s="11">
        <f>'balance_raw_33034482'!$C$19</f>
        <v/>
      </c>
      <c r="D40" s="11">
        <f>'balance_raw_33034482'!$D$19</f>
        <v/>
      </c>
      <c r="E40" s="11">
        <f>'balance_raw_33034482'!$E$19</f>
        <v/>
      </c>
      <c r="F40" s="11">
        <f>'balance_raw_33034482'!$F$19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'balance_raw_33034482'!$B$20</f>
        <v/>
      </c>
      <c r="C41" s="8">
        <f>'balance_raw_33034482'!$C$20</f>
        <v/>
      </c>
      <c r="D41" s="8">
        <f>'balance_raw_33034482'!$D$20</f>
        <v/>
      </c>
      <c r="E41" s="8">
        <f>'balance_raw_33034482'!$E$20</f>
        <v/>
      </c>
      <c r="F41" s="8">
        <f>'balance_raw_33034482'!$F$20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'balance_raw_33034482'!$B$21</f>
        <v/>
      </c>
      <c r="C42" s="5">
        <f>'balance_raw_33034482'!$C$21</f>
        <v/>
      </c>
      <c r="D42" s="5">
        <f>'balance_raw_33034482'!$D$21</f>
        <v/>
      </c>
      <c r="E42" s="5">
        <f>'balance_raw_33034482'!$E$21</f>
        <v/>
      </c>
      <c r="F42" s="5">
        <f>'balance_raw_33034482'!$F$21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'balance_raw_33034482'!$B$22</f>
        <v/>
      </c>
      <c r="C43" s="11">
        <f>'balance_raw_33034482'!$C$22</f>
        <v/>
      </c>
      <c r="D43" s="11">
        <f>'balance_raw_33034482'!$D$22</f>
        <v/>
      </c>
      <c r="E43" s="11">
        <f>'balance_raw_33034482'!$E$22</f>
        <v/>
      </c>
      <c r="F43" s="11">
        <f>'balance_raw_33034482'!$F$22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'balance_raw_33034482'!$B$23</f>
        <v/>
      </c>
      <c r="C44" s="11">
        <f>'balance_raw_33034482'!$C$23</f>
        <v/>
      </c>
      <c r="D44" s="11">
        <f>'balance_raw_33034482'!$D$23</f>
        <v/>
      </c>
      <c r="E44" s="11">
        <f>'balance_raw_33034482'!$E$23</f>
        <v/>
      </c>
      <c r="F44" s="11">
        <f>'balance_raw_33034482'!$F$23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'balance_raw_33034482'!$B$24</f>
        <v/>
      </c>
      <c r="C47" s="8">
        <f>'balance_raw_33034482'!$C$24</f>
        <v/>
      </c>
      <c r="D47" s="8">
        <f>'balance_raw_33034482'!$D$24</f>
        <v/>
      </c>
      <c r="E47" s="8">
        <f>'balance_raw_33034482'!$E$24</f>
        <v/>
      </c>
      <c r="F47" s="8">
        <f>'balance_raw_33034482'!$F$24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'balance_raw_33034482'!$B$25</f>
        <v/>
      </c>
      <c r="C48" s="5">
        <f>'balance_raw_33034482'!$C$25</f>
        <v/>
      </c>
      <c r="D48" s="5">
        <f>'balance_raw_33034482'!$D$25</f>
        <v/>
      </c>
      <c r="E48" s="5">
        <f>'balance_raw_33034482'!$E$25</f>
        <v/>
      </c>
      <c r="F48" s="5">
        <f>'balance_raw_33034482'!$F$25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'balance_raw_33034482'!$B$26</f>
        <v/>
      </c>
      <c r="C49" s="8">
        <f>'balance_raw_33034482'!$C$26</f>
        <v/>
      </c>
      <c r="D49" s="8">
        <f>'balance_raw_33034482'!$D$26</f>
        <v/>
      </c>
      <c r="E49" s="8">
        <f>'balance_raw_33034482'!$E$26</f>
        <v/>
      </c>
      <c r="F49" s="8">
        <f>'balance_raw_33034482'!$F$26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'balance_raw_33034482'!$B$27</f>
        <v/>
      </c>
      <c r="C50" s="5">
        <f>'balance_raw_33034482'!$C$27</f>
        <v/>
      </c>
      <c r="D50" s="5">
        <f>'balance_raw_33034482'!$D$27</f>
        <v/>
      </c>
      <c r="E50" s="5">
        <f>'balance_raw_33034482'!$E$27</f>
        <v/>
      </c>
      <c r="F50" s="5">
        <f>'balance_raw_33034482'!$F$27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'balance_raw_33034482'!$B$28</f>
        <v/>
      </c>
      <c r="C51" s="8">
        <f>'balance_raw_33034482'!$C$28</f>
        <v/>
      </c>
      <c r="D51" s="8">
        <f>'balance_raw_33034482'!$D$28</f>
        <v/>
      </c>
      <c r="E51" s="8">
        <f>'balance_raw_33034482'!$E$28</f>
        <v/>
      </c>
      <c r="F51" s="8">
        <f>'balance_raw_33034482'!$F$28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'balance_raw_33034482'!$B$29</f>
        <v/>
      </c>
      <c r="C52" s="5">
        <f>'balance_raw_33034482'!$C$29</f>
        <v/>
      </c>
      <c r="D52" s="5">
        <f>'balance_raw_33034482'!$D$29</f>
        <v/>
      </c>
      <c r="E52" s="5">
        <f>'balance_raw_33034482'!$E$29</f>
        <v/>
      </c>
      <c r="F52" s="5">
        <f>'balance_raw_33034482'!$F$29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'balance_raw_33034482'!$B$30</f>
        <v/>
      </c>
      <c r="C53" s="11">
        <f>'balance_raw_33034482'!$C$30</f>
        <v/>
      </c>
      <c r="D53" s="11">
        <f>'balance_raw_33034482'!$D$30</f>
        <v/>
      </c>
      <c r="E53" s="11">
        <f>'balance_raw_33034482'!$E$30</f>
        <v/>
      </c>
      <c r="F53" s="11">
        <f>'balance_raw_33034482'!$F$30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'balance_raw_33034482'!$B$31</f>
        <v/>
      </c>
      <c r="C54" s="5">
        <f>'balance_raw_33034482'!$C$31</f>
        <v/>
      </c>
      <c r="D54" s="5">
        <f>'balance_raw_33034482'!$D$31</f>
        <v/>
      </c>
      <c r="E54" s="5">
        <f>'balance_raw_33034482'!$E$31</f>
        <v/>
      </c>
      <c r="F54" s="5">
        <f>'balance_raw_33034482'!$F$31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'balance_raw_33034482'!$B$32</f>
        <v/>
      </c>
      <c r="C55" s="11">
        <f>'balance_raw_33034482'!$C$32</f>
        <v/>
      </c>
      <c r="D55" s="11">
        <f>'balance_raw_33034482'!$D$32</f>
        <v/>
      </c>
      <c r="E55" s="11">
        <f>'balance_raw_33034482'!$E$32</f>
        <v/>
      </c>
      <c r="F55" s="11">
        <f>'balance_raw_33034482'!$F$32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'balance_raw_33034482'!$B$33</f>
        <v/>
      </c>
      <c r="C56" s="11">
        <f>'balance_raw_33034482'!$C$33</f>
        <v/>
      </c>
      <c r="D56" s="11">
        <f>'balance_raw_33034482'!$D$33</f>
        <v/>
      </c>
      <c r="E56" s="11">
        <f>'balance_raw_33034482'!$E$33</f>
        <v/>
      </c>
      <c r="F56" s="11">
        <f>'balance_raw_33034482'!$F$33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'balance_raw_33034482'!$B$34</f>
        <v/>
      </c>
      <c r="C57" s="8">
        <f>'balance_raw_33034482'!$C$34</f>
        <v/>
      </c>
      <c r="D57" s="8">
        <f>'balance_raw_33034482'!$D$34</f>
        <v/>
      </c>
      <c r="E57" s="8">
        <f>'balance_raw_33034482'!$E$34</f>
        <v/>
      </c>
      <c r="F57" s="8">
        <f>'balance_raw_33034482'!$F$34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'balance_raw_33034482'!$B$35</f>
        <v/>
      </c>
      <c r="C58" s="5">
        <f>'balance_raw_33034482'!$C$35</f>
        <v/>
      </c>
      <c r="D58" s="5">
        <f>'balance_raw_33034482'!$D$35</f>
        <v/>
      </c>
      <c r="E58" s="5">
        <f>'balance_raw_33034482'!$E$35</f>
        <v/>
      </c>
      <c r="F58" s="5">
        <f>'balance_raw_33034482'!$F$35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'balance_raw_33034482'!$B$36</f>
        <v/>
      </c>
      <c r="C59" s="8">
        <f>'balance_raw_33034482'!$C$36</f>
        <v/>
      </c>
      <c r="D59" s="8">
        <f>'balance_raw_33034482'!$D$36</f>
        <v/>
      </c>
      <c r="E59" s="8">
        <f>'balance_raw_33034482'!$E$36</f>
        <v/>
      </c>
      <c r="F59" s="8">
        <f>'balance_raw_33034482'!$F$36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'balance_raw_33034482'!$B$37</f>
        <v/>
      </c>
      <c r="C60" s="5">
        <f>'balance_raw_33034482'!$C$37</f>
        <v/>
      </c>
      <c r="D60" s="5">
        <f>'balance_raw_33034482'!$D$37</f>
        <v/>
      </c>
      <c r="E60" s="5">
        <f>'balance_raw_33034482'!$E$37</f>
        <v/>
      </c>
      <c r="F60" s="5">
        <f>'balance_raw_33034482'!$F$37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'balance_raw_33034482'!$B$38</f>
        <v/>
      </c>
      <c r="C61" s="8">
        <f>'balance_raw_33034482'!$C$38</f>
        <v/>
      </c>
      <c r="D61" s="8">
        <f>'balance_raw_33034482'!$D$38</f>
        <v/>
      </c>
      <c r="E61" s="8">
        <f>'balance_raw_33034482'!$E$38</f>
        <v/>
      </c>
      <c r="F61" s="8">
        <f>'balance_raw_33034482'!$F$38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'balance_raw_33034482'!$B$39</f>
        <v/>
      </c>
      <c r="C62" s="5">
        <f>'balance_raw_33034482'!$C$39</f>
        <v/>
      </c>
      <c r="D62" s="5">
        <f>'balance_raw_33034482'!$D$39</f>
        <v/>
      </c>
      <c r="E62" s="5">
        <f>'balance_raw_33034482'!$E$39</f>
        <v/>
      </c>
      <c r="F62" s="5">
        <f>'balance_raw_33034482'!$F$39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'balance_raw_33034482'!$B$40</f>
        <v/>
      </c>
      <c r="C63" s="8">
        <f>'balance_raw_33034482'!$C$40</f>
        <v/>
      </c>
      <c r="D63" s="8">
        <f>'balance_raw_33034482'!$D$40</f>
        <v/>
      </c>
      <c r="E63" s="8">
        <f>'balance_raw_33034482'!$E$40</f>
        <v/>
      </c>
      <c r="F63" s="8">
        <f>'balance_raw_33034482'!$F$40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'balance_raw_33034482'!$B$41</f>
        <v/>
      </c>
      <c r="C64" s="5">
        <f>'balance_raw_33034482'!$C$41</f>
        <v/>
      </c>
      <c r="D64" s="5">
        <f>'balance_raw_33034482'!$D$41</f>
        <v/>
      </c>
      <c r="E64" s="5">
        <f>'balance_raw_33034482'!$E$41</f>
        <v/>
      </c>
      <c r="F64" s="5">
        <f>'balance_raw_33034482'!$F$41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'balance_raw_33034482'!$B$42</f>
        <v/>
      </c>
      <c r="C65" s="8">
        <f>'balance_raw_33034482'!$C$42</f>
        <v/>
      </c>
      <c r="D65" s="8">
        <f>'balance_raw_33034482'!$D$42</f>
        <v/>
      </c>
      <c r="E65" s="8">
        <f>'balance_raw_33034482'!$E$42</f>
        <v/>
      </c>
      <c r="F65" s="8">
        <f>'balance_raw_33034482'!$F$42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'balance_raw_33034482'!$B$43</f>
        <v/>
      </c>
      <c r="C66" s="5">
        <f>'balance_raw_33034482'!$C$43</f>
        <v/>
      </c>
      <c r="D66" s="5">
        <f>'balance_raw_33034482'!$D$43</f>
        <v/>
      </c>
      <c r="E66" s="5">
        <f>'balance_raw_33034482'!$E$43</f>
        <v/>
      </c>
      <c r="F66" s="5">
        <f>'balance_raw_33034482'!$F$43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'balance_raw_33034482'!$B$44</f>
        <v/>
      </c>
      <c r="C67" s="8">
        <f>'balance_raw_33034482'!$C$44</f>
        <v/>
      </c>
      <c r="D67" s="8">
        <f>'balance_raw_33034482'!$D$44</f>
        <v/>
      </c>
      <c r="E67" s="8">
        <f>'balance_raw_33034482'!$E$44</f>
        <v/>
      </c>
      <c r="F67" s="8">
        <f>'balance_raw_33034482'!$F$44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'balance_raw_33034482'!$B$45</f>
        <v/>
      </c>
      <c r="C68" s="11">
        <f>'balance_raw_33034482'!$C$45</f>
        <v/>
      </c>
      <c r="D68" s="11">
        <f>'balance_raw_33034482'!$D$45</f>
        <v/>
      </c>
      <c r="E68" s="11">
        <f>'balance_raw_33034482'!$E$45</f>
        <v/>
      </c>
      <c r="F68" s="11">
        <f>'balance_raw_33034482'!$F$45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'balance_raw_33034482'!$B$46</f>
        <v/>
      </c>
      <c r="C69" s="11">
        <f>'balance_raw_33034482'!$C$46</f>
        <v/>
      </c>
      <c r="D69" s="11">
        <f>'balance_raw_33034482'!$D$46</f>
        <v/>
      </c>
      <c r="E69" s="11">
        <f>'balance_raw_33034482'!$E$46</f>
        <v/>
      </c>
      <c r="F69" s="11">
        <f>'balance_raw_33034482'!$F$46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'balance_raw_33034482'!$B$47</f>
        <v/>
      </c>
      <c r="C70" s="11">
        <f>'balance_raw_33034482'!$C$47</f>
        <v/>
      </c>
      <c r="D70" s="11">
        <f>'balance_raw_33034482'!$D$47</f>
        <v/>
      </c>
      <c r="E70" s="11">
        <f>'balance_raw_33034482'!$E$47</f>
        <v/>
      </c>
      <c r="F70" s="11">
        <f>'balance_raw_33034482'!$F$47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Gns. antal medarbejdere</t>
        </is>
      </c>
      <c r="B73" s="8">
        <f>'res_raw_33034482'!$B$19</f>
        <v/>
      </c>
      <c r="C73" s="8">
        <f>'res_raw_33034482'!$C$19</f>
        <v/>
      </c>
      <c r="D73" s="8">
        <f>'res_raw_33034482'!$D$19</f>
        <v/>
      </c>
      <c r="E73" s="8">
        <f>'res_raw_33034482'!$E$19</f>
        <v/>
      </c>
      <c r="F73" s="8">
        <f>'res_raw_33034482'!$F$19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'res_raw_33034482'!$B$20</f>
        <v/>
      </c>
      <c r="C74" s="5">
        <f>'res_raw_33034482'!$C$20</f>
        <v/>
      </c>
      <c r="D74" s="5">
        <f>'res_raw_33034482'!$D$20</f>
        <v/>
      </c>
      <c r="E74" s="5">
        <f>'res_raw_33034482'!$E$20</f>
        <v/>
      </c>
      <c r="F74" s="5">
        <f>'res_raw_33034482'!$F$20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Afkastningsgrad, %</t>
        </is>
      </c>
      <c r="B77" s="13">
        <f>IFERROR(($B$13+$B$15+$B$14)/$B$44*100,"")</f>
        <v/>
      </c>
      <c r="C77" s="13">
        <f>IFERROR(($C$13+$C$15+$C$14)/$C$44*100,"")</f>
        <v/>
      </c>
      <c r="D77" s="13">
        <f>IFERROR(($D$13+$D$15+$D$14)/$D$44*100,"")</f>
        <v/>
      </c>
      <c r="E77" s="13">
        <f>IFERROR(($E$13+$E$15+$E$14)/$E$44*100,"")</f>
        <v/>
      </c>
      <c r="F77" s="13">
        <f>IFERROR(($F$13+$F$15+$F$14)/$F$44*100,"")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IFERROR($B$4/$B$44,"")</f>
        <v/>
      </c>
      <c r="C79" s="13">
        <f>IFERROR($C$4/$C$44,"")</f>
        <v/>
      </c>
      <c r="D79" s="13">
        <f>IFERROR($D$4/$D$44,"")</f>
        <v/>
      </c>
      <c r="E79" s="13">
        <f>IFERROR($E$4/$E$44,"")</f>
        <v/>
      </c>
      <c r="F79" s="13">
        <f>IFERROR($F$4/$F$44,"")</f>
        <v/>
      </c>
    </row>
    <row r="80" ht="16" customHeight="1">
      <c r="A80" s="4" t="inlineStr">
        <is>
          <t>Egenkapitalens forrentning, %</t>
        </is>
      </c>
      <c r="B80" s="14">
        <f>IFERROR($B$18/$B$53*100,"")</f>
        <v/>
      </c>
      <c r="C80" s="14">
        <f>IFERROR($C$18/$C$53*100,"")</f>
        <v/>
      </c>
      <c r="D80" s="14">
        <f>IFERROR($D$18/$D$53*100,"")</f>
        <v/>
      </c>
      <c r="E80" s="14">
        <f>IFERROR($E$18/$E$53*100,"")</f>
        <v/>
      </c>
      <c r="F80" s="14">
        <f>IFERROR($F$18/$F$53*100,"")</f>
        <v/>
      </c>
    </row>
    <row r="81" ht="16" customHeight="1">
      <c r="A81" s="7" t="inlineStr">
        <is>
          <t>Gældsrente, %</t>
        </is>
      </c>
      <c r="B81" s="13">
        <f>IFERROR($B$16/($B$70-$B$53)*100,"")</f>
        <v/>
      </c>
      <c r="C81" s="13">
        <f>IFERROR($C$16/($C$70-$C$53)*100,"")</f>
        <v/>
      </c>
      <c r="D81" s="13">
        <f>IFERROR($D$16/($D$70-$D$53)*100,"")</f>
        <v/>
      </c>
      <c r="E81" s="13">
        <f>IFERROR($E$16/($E$70-$E$53)*100,"")</f>
        <v/>
      </c>
      <c r="F81" s="13">
        <f>IFERROR($F$16/($F$70-$F$53)*100,"")</f>
        <v/>
      </c>
    </row>
    <row r="82" ht="16" customHeight="1">
      <c r="A82" s="4" t="inlineStr">
        <is>
          <t>Soliditetsgrad, %</t>
        </is>
      </c>
      <c r="B82" s="14">
        <f>IFERROR($B$53/$B$44*100,"")</f>
        <v/>
      </c>
      <c r="C82" s="14">
        <f>IFERROR($C$53/$C$44*100,"")</f>
        <v/>
      </c>
      <c r="D82" s="14">
        <f>IFERROR($D$53/$D$44*100,"")</f>
        <v/>
      </c>
      <c r="E82" s="14">
        <f>IFERROR($E$53/$E$44*100,"")</f>
        <v/>
      </c>
      <c r="F82" s="14">
        <f>IFERROR($F$53/$F$44*100,"")</f>
        <v/>
      </c>
    </row>
    <row r="83" ht="16" customHeight="1">
      <c r="A83" s="7" t="inlineStr">
        <is>
          <t>Gearing</t>
        </is>
      </c>
      <c r="B83" s="13">
        <f>IFERROR(($B$70-$B$53)/$B$53,"")</f>
        <v/>
      </c>
      <c r="C83" s="13">
        <f>IFERROR(($C$70-$C$53)/$C$53,"")</f>
        <v/>
      </c>
      <c r="D83" s="13">
        <f>IFERROR(($D$70-$D$53)/$D$53,"")</f>
        <v/>
      </c>
      <c r="E83" s="13">
        <f>IFERROR(($E$70-$E$53)/$E$53,"")</f>
        <v/>
      </c>
      <c r="F83" s="13">
        <f>IFERROR(($F$70-$F$53)/$F$53,"")</f>
        <v/>
      </c>
    </row>
    <row r="84" ht="16" customHeight="1">
      <c r="A84" s="4" t="inlineStr">
        <is>
          <t>Likviditetsgrad, %</t>
        </is>
      </c>
      <c r="B84" s="14">
        <f>IFERROR($B$43/$B$68*100,"")</f>
        <v/>
      </c>
      <c r="C84" s="14">
        <f>IFERROR($C$43/$C$68*100,"")</f>
        <v/>
      </c>
      <c r="D84" s="14">
        <f>IFERROR($D$43/$D$68*100,"")</f>
        <v/>
      </c>
      <c r="E84" s="14">
        <f>IFERROR($E$43/$E$68*100,"")</f>
        <v/>
      </c>
      <c r="F84" s="14">
        <f>IFERROR($F$43/$F$68*100,"")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IFERROR(($B$70-$B$53)/$B$44*100,"")</f>
        <v/>
      </c>
      <c r="C86" s="14">
        <f>IFERROR(($C$70-$C$53)/$C$44*100,"")</f>
        <v/>
      </c>
      <c r="D86" s="14">
        <f>IFERROR(($D$70-$D$53)/$D$44*100,"")</f>
        <v/>
      </c>
      <c r="E86" s="14">
        <f>IFERROR(($E$70-$E$53)/$E$44*100,"")</f>
        <v/>
      </c>
      <c r="F86" s="14">
        <f>IFERROR(($F$70-$F$53)/$F$44*100,"")</f>
        <v/>
      </c>
    </row>
    <row r="87" ht="16" customHeight="1">
      <c r="A87" s="7" t="inlineStr">
        <is>
          <t>Kapitalbindingsgrad, %</t>
        </is>
      </c>
      <c r="B87" s="13">
        <f>IFERROR($B$31/($B$53+$B$56)*100,"")</f>
        <v/>
      </c>
      <c r="C87" s="13">
        <f>IFERROR($C$31/($C$53+$C$56)*100,"")</f>
        <v/>
      </c>
      <c r="D87" s="13">
        <f>IFERROR($D$31/($D$53+$D$56)*100,"")</f>
        <v/>
      </c>
      <c r="E87" s="13">
        <f>IFERROR($E$31/($E$53+$E$56)*100,"")</f>
        <v/>
      </c>
      <c r="F87" s="13">
        <f>IFERROR($F$31/($F$53+$F$56)*100,"")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'pengestrom_raw_33034482'!$B$2</f>
        <v/>
      </c>
      <c r="C90" s="17">
        <f>'pengestrom_raw_33034482'!$C$2</f>
        <v/>
      </c>
      <c r="D90" s="17">
        <f>'pengestrom_raw_33034482'!$D$2</f>
        <v/>
      </c>
      <c r="E90" s="17">
        <f>'pengestrom_raw_33034482'!$E$2</f>
        <v/>
      </c>
      <c r="F90" s="17">
        <f>'pengestrom_raw_33034482'!$F$2</f>
        <v/>
      </c>
    </row>
    <row r="91">
      <c r="A91" s="16" t="inlineStr">
        <is>
          <t>Pengestrømme fra investeringsaktivitet</t>
        </is>
      </c>
      <c r="B91" s="17">
        <f>'pengestrom_raw_33034482'!$B$3</f>
        <v/>
      </c>
      <c r="C91" s="17">
        <f>'pengestrom_raw_33034482'!$C$3</f>
        <v/>
      </c>
      <c r="D91" s="17">
        <f>'pengestrom_raw_33034482'!$D$3</f>
        <v/>
      </c>
      <c r="E91" s="17">
        <f>'pengestrom_raw_33034482'!$E$3</f>
        <v/>
      </c>
      <c r="F91" s="17">
        <f>'pengestrom_raw_33034482'!$F$3</f>
        <v/>
      </c>
    </row>
    <row r="92">
      <c r="A92" s="16" t="inlineStr">
        <is>
          <t>Pengestrømme fra finansieringsaktivitet</t>
        </is>
      </c>
      <c r="B92" s="17">
        <f>'pengestrom_raw_33034482'!$B$4</f>
        <v/>
      </c>
      <c r="C92" s="17">
        <f>'pengestrom_raw_33034482'!$C$4</f>
        <v/>
      </c>
      <c r="D92" s="17">
        <f>'pengestrom_raw_33034482'!$D$4</f>
        <v/>
      </c>
      <c r="E92" s="17">
        <f>'pengestrom_raw_33034482'!$E$4</f>
        <v/>
      </c>
      <c r="F92" s="17">
        <f>'pengestrom_raw_33034482'!$F$4</f>
        <v/>
      </c>
    </row>
    <row r="93">
      <c r="A93" s="16" t="inlineStr">
        <is>
          <t>Årets pengestrøm (rapporteret)</t>
        </is>
      </c>
      <c r="B93" s="17">
        <f>'pengestrom_raw_33034482'!$B$5</f>
        <v/>
      </c>
      <c r="C93" s="17">
        <f>'pengestrom_raw_33034482'!$C$5</f>
        <v/>
      </c>
      <c r="D93" s="17">
        <f>'pengestrom_raw_33034482'!$D$5</f>
        <v/>
      </c>
      <c r="E93" s="17">
        <f>'pengestrom_raw_33034482'!$E$5</f>
        <v/>
      </c>
      <c r="F93" s="17">
        <f>'pengestrom_raw_33034482'!$F$5</f>
        <v/>
      </c>
    </row>
    <row r="94">
      <c r="A94" s="16" t="inlineStr">
        <is>
          <t>Krydstjek: drift + inv. + fin. = årets pengestrøm</t>
        </is>
      </c>
      <c r="B94">
        <f>IF(ABS(('pengestrom_raw_33034482'!$B$2+'pengestrom_raw_33034482'!$B$3+'pengestrom_raw_33034482'!$B$4)-'pengestrom_raw_33034482'!$B$5)&lt;=2,"✓","⚠ "&amp;TEXT(('pengestrom_raw_33034482'!$B$2+'pengestrom_raw_33034482'!$B$3+'pengestrom_raw_33034482'!$B$4)-'pengestrom_raw_33034482'!$B$5,"+#,##0;-#,##0"))</f>
        <v/>
      </c>
      <c r="C94">
        <f>IF(ABS(('pengestrom_raw_33034482'!$C$2+'pengestrom_raw_33034482'!$C$3+'pengestrom_raw_33034482'!$C$4)-'pengestrom_raw_33034482'!$C$5)&lt;=2,"✓","⚠ "&amp;TEXT(('pengestrom_raw_33034482'!$C$2+'pengestrom_raw_33034482'!$C$3+'pengestrom_raw_33034482'!$C$4)-'pengestrom_raw_33034482'!$C$5,"+#,##0;-#,##0"))</f>
        <v/>
      </c>
      <c r="D94">
        <f>IF(ABS(('pengestrom_raw_33034482'!$D$2+'pengestrom_raw_33034482'!$D$3+'pengestrom_raw_33034482'!$D$4)-'pengestrom_raw_33034482'!$D$5)&lt;=2,"✓","⚠ "&amp;TEXT(('pengestrom_raw_33034482'!$D$2+'pengestrom_raw_33034482'!$D$3+'pengestrom_raw_33034482'!$D$4)-'pengestrom_raw_33034482'!$D$5,"+#,##0;-#,##0"))</f>
        <v/>
      </c>
      <c r="E94">
        <f>IF(ABS(('pengestrom_raw_33034482'!$E$2+'pengestrom_raw_33034482'!$E$3+'pengestrom_raw_33034482'!$E$4)-'pengestrom_raw_33034482'!$E$5)&lt;=2,"✓","⚠ "&amp;TEXT(('pengestrom_raw_33034482'!$E$2+'pengestrom_raw_33034482'!$E$3+'pengestrom_raw_33034482'!$E$4)-'pengestrom_raw_33034482'!$E$5,"+#,##0;-#,##0"))</f>
        <v/>
      </c>
      <c r="F94">
        <f>IF(ABS(('pengestrom_raw_33034482'!$F$2+'pengestrom_raw_33034482'!$F$3+'pengestrom_raw_33034482'!$F$4)-'pengestrom_raw_33034482'!$F$5)&lt;=2,"✓","⚠ "&amp;TEXT(('pengestrom_raw_33034482'!$F$2+'pengestrom_raw_33034482'!$F$3+'pengestrom_raw_33034482'!$F$4)-'pengestrom_raw_33034482'!$F$5,"+#,##0;-#,##0"))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Lotteri Spil A/S (CVR 33034482)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2787090</v>
      </c>
      <c r="C2" s="17" t="n">
        <v>2805411</v>
      </c>
      <c r="D2" s="17" t="n">
        <v>2874551</v>
      </c>
      <c r="E2" s="17" t="n">
        <v>3079640</v>
      </c>
      <c r="F2" s="17" t="n">
        <v>3011072</v>
      </c>
    </row>
    <row r="3">
      <c r="A3" s="16" t="inlineStr">
        <is>
          <t>Andre driftsindtægter</t>
        </is>
      </c>
      <c r="B3" s="17" t="n">
        <v>31561</v>
      </c>
      <c r="C3" s="17" t="n">
        <v>33152</v>
      </c>
      <c r="D3" s="17" t="n">
        <v>30140</v>
      </c>
      <c r="E3" s="17" t="n">
        <v>28919</v>
      </c>
      <c r="F3" s="17" t="n">
        <v>30614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473491</v>
      </c>
      <c r="C5" s="17" t="n">
        <v>460536</v>
      </c>
      <c r="D5" s="17" t="n">
        <v>460972</v>
      </c>
      <c r="E5" s="17" t="n">
        <v>487839</v>
      </c>
      <c r="F5" s="17" t="n">
        <v>477818</v>
      </c>
    </row>
    <row r="6">
      <c r="A6" s="15" t="inlineStr">
        <is>
          <t>Bruttoresultat</t>
        </is>
      </c>
      <c r="B6" s="17" t="n">
        <v>2449969</v>
      </c>
      <c r="C6" s="17" t="n">
        <v>2469296</v>
      </c>
      <c r="D6" s="17" t="n">
        <v>2528242</v>
      </c>
      <c r="E6" s="17" t="n">
        <v>2736773</v>
      </c>
      <c r="F6" s="17" t="n">
        <v>2695981</v>
      </c>
    </row>
    <row r="7">
      <c r="A7" s="16" t="inlineStr">
        <is>
          <t>Personaleomkostninger</t>
        </is>
      </c>
      <c r="B7" s="17" t="n">
        <v>55221</v>
      </c>
      <c r="C7" s="17" t="n">
        <v>59265</v>
      </c>
      <c r="D7" s="17" t="n">
        <v>65764</v>
      </c>
      <c r="E7" s="17" t="n">
        <v>64044</v>
      </c>
      <c r="F7" s="17" t="n">
        <v>66029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84163</v>
      </c>
      <c r="C9" s="17" t="n">
        <v>50642</v>
      </c>
      <c r="D9" s="17" t="n">
        <v>45945</v>
      </c>
      <c r="E9" s="17" t="n">
        <v>60154</v>
      </c>
      <c r="F9" s="17" t="n">
        <v>26865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1868655</v>
      </c>
      <c r="C11" s="17" t="n">
        <v>1932005</v>
      </c>
      <c r="D11" s="17" t="n">
        <v>1985700</v>
      </c>
      <c r="E11" s="17" t="n">
        <v>2153655</v>
      </c>
      <c r="F11" s="17" t="n">
        <v>2155883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27099</v>
      </c>
      <c r="C13" s="17" t="n">
        <v>8542</v>
      </c>
      <c r="D13" s="17" t="n">
        <v>46819</v>
      </c>
      <c r="E13" s="17" t="n">
        <v>50646</v>
      </c>
      <c r="F13" s="17" t="n">
        <v>29575</v>
      </c>
    </row>
    <row r="14">
      <c r="A14" s="16" t="inlineStr">
        <is>
          <t>Finansielle omkostninger</t>
        </is>
      </c>
      <c r="B14" s="17" t="n">
        <v>3908</v>
      </c>
      <c r="C14" s="17" t="n">
        <v>37171</v>
      </c>
      <c r="D14" s="17" t="n">
        <v>1507</v>
      </c>
      <c r="E14" s="17" t="n">
        <v>1580</v>
      </c>
      <c r="F14" s="17" t="n">
        <v>3916</v>
      </c>
    </row>
    <row r="15">
      <c r="A15" s="15" t="inlineStr">
        <is>
          <t>Finansielle poster, netto</t>
        </is>
      </c>
      <c r="B15" s="17" t="n">
        <v>23191</v>
      </c>
      <c r="C15" s="17" t="n">
        <v>-28629</v>
      </c>
      <c r="D15" s="17" t="n">
        <v>45312</v>
      </c>
      <c r="E15" s="17" t="n">
        <v>49066</v>
      </c>
      <c r="F15" s="17" t="n">
        <v>25659</v>
      </c>
    </row>
    <row r="16">
      <c r="A16" s="15" t="inlineStr">
        <is>
          <t>Resultat før skat</t>
        </is>
      </c>
      <c r="B16" s="17" t="n">
        <v>1891846</v>
      </c>
      <c r="C16" s="17" t="n">
        <v>1903376</v>
      </c>
      <c r="D16" s="17" t="n">
        <v>2031012</v>
      </c>
      <c r="E16" s="17" t="n">
        <v>2202721</v>
      </c>
      <c r="F16" s="17" t="n">
        <v>2181542</v>
      </c>
    </row>
    <row r="17">
      <c r="A17" s="16" t="inlineStr">
        <is>
          <t>Skat af årets resultat</t>
        </is>
      </c>
      <c r="B17" s="17" t="n">
        <v>414203</v>
      </c>
      <c r="C17" s="17" t="n">
        <v>421125</v>
      </c>
      <c r="D17" s="17" t="n">
        <v>446997</v>
      </c>
      <c r="E17" s="17" t="n">
        <v>487348</v>
      </c>
      <c r="F17" s="17" t="n">
        <v>480697</v>
      </c>
    </row>
    <row r="18">
      <c r="A18" s="15" t="inlineStr">
        <is>
          <t>Årets resultat</t>
        </is>
      </c>
      <c r="B18" s="17" t="n">
        <v>1477643</v>
      </c>
      <c r="C18" s="17" t="n">
        <v>1482251</v>
      </c>
      <c r="D18" s="17" t="n">
        <v>1584014</v>
      </c>
      <c r="E18" s="17" t="n">
        <v>1715373</v>
      </c>
      <c r="F18" s="17" t="n">
        <v>1700845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22975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Lotteri Spil A/S (CVR 33034482)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114755</v>
      </c>
      <c r="C2" s="17" t="n">
        <v>95298</v>
      </c>
      <c r="D2" s="17" t="n">
        <v>63955</v>
      </c>
      <c r="E2" s="17" t="n">
        <v>55636</v>
      </c>
      <c r="F2" s="17" t="n">
        <v>72554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140450</v>
      </c>
      <c r="C5" s="17" t="n">
        <v>115893</v>
      </c>
      <c r="D5" s="17" t="n">
        <v>103761</v>
      </c>
      <c r="E5" s="17" t="n">
        <v>108253</v>
      </c>
      <c r="F5" s="17" t="n">
        <v>148206</v>
      </c>
    </row>
    <row r="6">
      <c r="A6" s="15" t="inlineStr">
        <is>
          <t>Materielle anlægsaktiver</t>
        </is>
      </c>
      <c r="B6" s="17" t="n">
        <v>14027</v>
      </c>
      <c r="C6" s="17" t="n">
        <v>7994</v>
      </c>
      <c r="D6" s="17" t="n">
        <v>5641</v>
      </c>
      <c r="E6" s="17" t="n">
        <v>12239</v>
      </c>
      <c r="F6" s="17" t="n">
        <v>9886</v>
      </c>
    </row>
    <row r="7">
      <c r="A7" s="16" t="inlineStr">
        <is>
          <t>Kapitalandele, dattervirksomheder</t>
        </is>
      </c>
      <c r="B7" s="17" t="n">
        <v>937</v>
      </c>
      <c r="C7" s="17" t="n">
        <v>937</v>
      </c>
      <c r="D7" s="17" t="n">
        <v>937</v>
      </c>
      <c r="E7" s="17" t="n">
        <v>937</v>
      </c>
      <c r="F7" s="17" t="n">
        <v>937</v>
      </c>
    </row>
    <row r="8">
      <c r="A8" s="16" t="inlineStr">
        <is>
          <t>Deposita</t>
        </is>
      </c>
      <c r="B8" s="17" t="n"/>
      <c r="C8" s="17" t="n"/>
      <c r="D8" s="17" t="n"/>
      <c r="E8" s="17" t="n"/>
      <c r="F8" s="17" t="n"/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169220</v>
      </c>
      <c r="C10" s="17" t="n">
        <v>139279</v>
      </c>
      <c r="D10" s="17" t="n">
        <v>137680</v>
      </c>
      <c r="E10" s="17" t="n">
        <v>139200</v>
      </c>
      <c r="F10" s="17" t="n">
        <v>204982</v>
      </c>
    </row>
    <row r="11">
      <c r="A11" s="15" t="inlineStr">
        <is>
          <t>Varebeholdninger</t>
        </is>
      </c>
      <c r="B11" s="17" t="n">
        <v>6087</v>
      </c>
      <c r="C11" s="17" t="n">
        <v>5809</v>
      </c>
      <c r="D11" s="17" t="n">
        <v>6880</v>
      </c>
      <c r="E11" s="17" t="n">
        <v>5917</v>
      </c>
      <c r="F11" s="17" t="n">
        <v>10371</v>
      </c>
    </row>
    <row r="12">
      <c r="A12" s="16" t="inlineStr">
        <is>
          <t>Tilgodehavender fra salg og tjenesteydelser</t>
        </is>
      </c>
      <c r="B12" s="17" t="n">
        <v>79399</v>
      </c>
      <c r="C12" s="17" t="n">
        <v>102151</v>
      </c>
      <c r="D12" s="17" t="n">
        <v>64628</v>
      </c>
      <c r="E12" s="17" t="n">
        <v>118724</v>
      </c>
      <c r="F12" s="17" t="n">
        <v>86278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6537</v>
      </c>
      <c r="C15" s="17" t="n">
        <v>4352</v>
      </c>
      <c r="D15" s="17" t="n">
        <v>4130</v>
      </c>
      <c r="E15" s="17" t="n">
        <v>4112</v>
      </c>
      <c r="F15" s="17" t="n">
        <v>10262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0</v>
      </c>
      <c r="C18" s="17" t="n">
        <v>14658</v>
      </c>
      <c r="D18" s="17" t="n">
        <v>4855</v>
      </c>
      <c r="E18" s="17" t="n">
        <v>0</v>
      </c>
      <c r="F18" s="17" t="n">
        <v>0</v>
      </c>
    </row>
    <row r="19">
      <c r="A19" s="15" t="inlineStr">
        <is>
          <t>Tilgodehavender</t>
        </is>
      </c>
      <c r="B19" s="17" t="n">
        <v>982</v>
      </c>
      <c r="C19" s="17" t="n">
        <v>1737</v>
      </c>
      <c r="D19" s="17" t="n">
        <v>3597</v>
      </c>
      <c r="E19" s="17" t="n">
        <v>4023</v>
      </c>
      <c r="F19" s="17" t="n">
        <v>4811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155073</v>
      </c>
      <c r="C21" s="17" t="n">
        <v>354305</v>
      </c>
      <c r="D21" s="17" t="n">
        <v>224138</v>
      </c>
      <c r="E21" s="17" t="n">
        <v>168288</v>
      </c>
      <c r="F21" s="17" t="n">
        <v>208490</v>
      </c>
    </row>
    <row r="22">
      <c r="A22" s="15" t="inlineStr">
        <is>
          <t>Omsætningsaktiver</t>
        </is>
      </c>
      <c r="B22" s="17" t="n">
        <v>669406</v>
      </c>
      <c r="C22" s="17" t="n">
        <v>865982</v>
      </c>
      <c r="D22" s="17" t="n">
        <v>725813</v>
      </c>
      <c r="E22" s="17" t="n">
        <v>956853</v>
      </c>
      <c r="F22" s="17" t="n">
        <v>790893</v>
      </c>
    </row>
    <row r="23">
      <c r="A23" s="15" t="inlineStr">
        <is>
          <t>Aktiver</t>
        </is>
      </c>
      <c r="B23" s="17" t="n">
        <v>838626</v>
      </c>
      <c r="C23" s="17" t="n">
        <v>1005261</v>
      </c>
      <c r="D23" s="17" t="n">
        <v>863493</v>
      </c>
      <c r="E23" s="17" t="n">
        <v>1096053</v>
      </c>
      <c r="F23" s="17" t="n">
        <v>995875</v>
      </c>
    </row>
    <row r="24">
      <c r="A24" s="16" t="inlineStr">
        <is>
          <t>Selskabskapital</t>
        </is>
      </c>
      <c r="B24" s="17" t="n">
        <v>10000</v>
      </c>
      <c r="C24" s="17" t="n">
        <v>10000</v>
      </c>
      <c r="D24" s="17" t="n">
        <v>10000</v>
      </c>
      <c r="E24" s="17" t="n">
        <v>10000</v>
      </c>
      <c r="F24" s="17" t="n">
        <v>10000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5" t="inlineStr">
        <is>
          <t>Egenkapital i alt</t>
        </is>
      </c>
      <c r="B30" s="17" t="n">
        <v>153914</v>
      </c>
      <c r="C30" s="17" t="n">
        <v>138521</v>
      </c>
      <c r="D30" s="17" t="n">
        <v>136253</v>
      </c>
      <c r="E30" s="17" t="n">
        <v>145411</v>
      </c>
      <c r="F30" s="17" t="n">
        <v>182273</v>
      </c>
    </row>
    <row r="31">
      <c r="A31" s="16" t="inlineStr">
        <is>
          <t>Hensættelse til udskudt skat</t>
        </is>
      </c>
      <c r="B31" s="17" t="n">
        <v>20542</v>
      </c>
      <c r="C31" s="17" t="n">
        <v>13513</v>
      </c>
      <c r="D31" s="17" t="n">
        <v>10490</v>
      </c>
      <c r="E31" s="17" t="n">
        <v>9599</v>
      </c>
      <c r="F31" s="17" t="n">
        <v>9523</v>
      </c>
    </row>
    <row r="32">
      <c r="A32" s="15" t="inlineStr">
        <is>
          <t>Hensatte forpligtelser</t>
        </is>
      </c>
      <c r="B32" s="17" t="n">
        <v>20542</v>
      </c>
      <c r="C32" s="17" t="n">
        <v>13513</v>
      </c>
      <c r="D32" s="17" t="n">
        <v>10490</v>
      </c>
      <c r="E32" s="17" t="n">
        <v>9599</v>
      </c>
      <c r="F32" s="17" t="n">
        <v>9523</v>
      </c>
    </row>
    <row r="33">
      <c r="A33" s="15" t="inlineStr">
        <is>
          <t>Langfristede gældsforpligtelser</t>
        </is>
      </c>
      <c r="B33" s="17" t="n">
        <v>45492</v>
      </c>
      <c r="C33" s="17" t="n">
        <v>46967</v>
      </c>
      <c r="D33" s="17" t="n">
        <v>41037</v>
      </c>
      <c r="E33" s="17" t="n">
        <v>43667</v>
      </c>
      <c r="F33" s="17" t="n">
        <v>44666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25028</v>
      </c>
      <c r="C38" s="17" t="n">
        <v>25100</v>
      </c>
      <c r="D38" s="17" t="n">
        <v>25273</v>
      </c>
      <c r="E38" s="17" t="n">
        <v>40362</v>
      </c>
      <c r="F38" s="17" t="n">
        <v>28753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176809</v>
      </c>
      <c r="C43" s="17" t="n">
        <v>234703</v>
      </c>
      <c r="D43" s="17" t="n">
        <v>138381</v>
      </c>
      <c r="E43" s="17" t="n">
        <v>169189</v>
      </c>
      <c r="F43" s="17" t="n">
        <v>220391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639220</v>
      </c>
      <c r="C45" s="17" t="n">
        <v>819773</v>
      </c>
      <c r="D45" s="17" t="n">
        <v>686203</v>
      </c>
      <c r="E45" s="17" t="n">
        <v>906975</v>
      </c>
      <c r="F45" s="17" t="n">
        <v>768936</v>
      </c>
    </row>
    <row r="46">
      <c r="A46" s="15" t="inlineStr">
        <is>
          <t>Gældsforpligtelser</t>
        </is>
      </c>
      <c r="B46" s="17" t="n">
        <v>684711</v>
      </c>
      <c r="C46" s="17" t="n">
        <v>866740</v>
      </c>
      <c r="D46" s="17" t="n">
        <v>727240</v>
      </c>
      <c r="E46" s="17" t="n">
        <v>950642</v>
      </c>
      <c r="F46" s="17" t="n">
        <v>813602</v>
      </c>
    </row>
    <row r="47">
      <c r="A47" s="15" t="inlineStr">
        <is>
          <t>Passiver</t>
        </is>
      </c>
      <c r="B47" s="17" t="n">
        <v>838626</v>
      </c>
      <c r="C47" s="17" t="n">
        <v>1005261</v>
      </c>
      <c r="D47" s="17" t="n">
        <v>863493</v>
      </c>
      <c r="E47" s="17" t="n">
        <v>1096053</v>
      </c>
      <c r="F47" s="17" t="n">
        <v>995875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Lotteri Spil A/S (CVR 33034482)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1545427</v>
      </c>
      <c r="C2" s="17" t="n">
        <v>1737508</v>
      </c>
      <c r="D2" s="17" t="n">
        <v>1483673</v>
      </c>
      <c r="E2" s="17" t="n">
        <v>1723326</v>
      </c>
      <c r="F2" s="17" t="n">
        <v>1824621</v>
      </c>
    </row>
    <row r="3">
      <c r="A3" s="16" t="inlineStr">
        <is>
          <t>Pengestrømme fra investeringsaktivitet</t>
        </is>
      </c>
      <c r="B3" s="17" t="n">
        <v>-28358</v>
      </c>
      <c r="C3" s="17" t="n">
        <v>-17770</v>
      </c>
      <c r="D3" s="17" t="n">
        <v>-58147</v>
      </c>
      <c r="E3" s="17" t="n">
        <v>-69601</v>
      </c>
      <c r="F3" s="17" t="n">
        <v>-123902</v>
      </c>
    </row>
    <row r="4">
      <c r="A4" s="16" t="inlineStr">
        <is>
          <t>Pengestrømme fra finansieringsaktivitet</t>
        </is>
      </c>
      <c r="B4" s="17" t="n">
        <v>-1516595</v>
      </c>
      <c r="C4" s="17" t="n">
        <v>-1520506</v>
      </c>
      <c r="D4" s="17" t="n">
        <v>-1555693</v>
      </c>
      <c r="E4" s="17" t="n">
        <v>-1709574</v>
      </c>
      <c r="F4" s="17" t="n">
        <v>-1660516</v>
      </c>
    </row>
    <row r="5">
      <c r="A5" s="16" t="inlineStr">
        <is>
          <t>Årets pengestrøm</t>
        </is>
      </c>
      <c r="B5" s="17" t="n">
        <v>474</v>
      </c>
      <c r="C5" s="17" t="n">
        <v>199232</v>
      </c>
      <c r="D5" s="17" t="n">
        <v>-130167</v>
      </c>
      <c r="E5" s="17" t="n">
        <v>-55850</v>
      </c>
      <c r="F5" s="17" t="n">
        <v>40202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Danske Lotteri Spil A/S (CVR 33034482) — Regnskabs- og nøgletal (CVR: 33034482)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'res_raw_33034482'!$F$2</f>
        <v/>
      </c>
      <c r="C5" s="24">
        <f>'res_raw_33034482'!$E$2</f>
        <v/>
      </c>
      <c r="D5" s="24">
        <f>'res_raw_33034482'!$D$2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'res_raw_33034482'!$F$3</f>
        <v/>
      </c>
      <c r="C6" s="24">
        <f>'res_raw_33034482'!$E$3</f>
        <v/>
      </c>
      <c r="D6" s="24">
        <f>'res_raw_33034482'!$D$3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-'res_raw_33034482'!$F$4</f>
        <v/>
      </c>
      <c r="C7" s="24">
        <f>-'res_raw_33034482'!$E$4</f>
        <v/>
      </c>
      <c r="D7" s="24">
        <f>-'res_raw_33034482'!$D$4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-'res_raw_33034482'!$F$5</f>
        <v/>
      </c>
      <c r="C8" s="24">
        <f>-'res_raw_33034482'!$E$5</f>
        <v/>
      </c>
      <c r="D8" s="24">
        <f>-'res_raw_33034482'!$D$5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IF(ABS((SUM(B5:B8))-'res_raw_33034482'!$F$6)&lt;=2,SUM(B5:B8),'res_raw_33034482'!$F$6)</f>
        <v/>
      </c>
      <c r="C9" s="27">
        <f>IF(ABS((SUM(C5:C8))-'res_raw_33034482'!$E$6)&lt;=2,SUM(C5:C8),'res_raw_33034482'!$E$6)</f>
        <v/>
      </c>
      <c r="D9" s="27">
        <f>IF(ABS((SUM(D5:D8))-'res_raw_33034482'!$D$6)&lt;=2,SUM(D5:D8),'res_raw_33034482'!$D$6)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-'res_raw_33034482'!$F$7</f>
        <v/>
      </c>
      <c r="C10" s="24">
        <f>-'res_raw_33034482'!$E$7</f>
        <v/>
      </c>
      <c r="D10" s="24">
        <f>-'res_raw_33034482'!$D$7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-'res_raw_33034482'!$F$9</f>
        <v/>
      </c>
      <c r="C11" s="24">
        <f>-'res_raw_33034482'!$E$9</f>
        <v/>
      </c>
      <c r="D11" s="24">
        <f>-'res_raw_33034482'!$D$9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-'res_raw_33034482'!$F$10</f>
        <v/>
      </c>
      <c r="C12" s="24">
        <f>-'res_raw_33034482'!$E$10</f>
        <v/>
      </c>
      <c r="D12" s="24">
        <f>-'res_raw_33034482'!$D$10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IF(ABS((SUM(B9:B12))-'res_raw_33034482'!$F$11)&lt;=2,SUM(B9:B12),'res_raw_33034482'!$F$11)</f>
        <v/>
      </c>
      <c r="C13" s="27">
        <f>IF(ABS((SUM(C9:C12))-'res_raw_33034482'!$E$11)&lt;=2,SUM(C9:C12),'res_raw_33034482'!$E$11)</f>
        <v/>
      </c>
      <c r="D13" s="27">
        <f>IF(ABS((SUM(D9:D12))-'res_raw_33034482'!$D$11)&lt;=2,SUM(D9:D12),'res_raw_33034482'!$D$11)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N('res_raw_33034482'!$F$12)+N('res_raw_33034482'!$F$13)</f>
        <v/>
      </c>
      <c r="C14" s="24">
        <f>N('res_raw_33034482'!$E$12)+N('res_raw_33034482'!$E$13)</f>
        <v/>
      </c>
      <c r="D14" s="24">
        <f>N('res_raw_33034482'!$D$12)+N('res_raw_33034482'!$D$13)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-'res_raw_33034482'!$F$14</f>
        <v/>
      </c>
      <c r="C15" s="24">
        <f>-'res_raw_33034482'!$E$14</f>
        <v/>
      </c>
      <c r="D15" s="24">
        <f>-'res_raw_33034482'!$D$14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IF(ABS((SUM(B13:B15))-'res_raw_33034482'!$F$16)&lt;=2,SUM(B13:B15),'res_raw_33034482'!$F$16)</f>
        <v/>
      </c>
      <c r="C16" s="27">
        <f>IF(ABS((SUM(C13:C15))-'res_raw_33034482'!$E$16)&lt;=2,SUM(C13:C15),'res_raw_33034482'!$E$16)</f>
        <v/>
      </c>
      <c r="D16" s="27">
        <f>IF(ABS((SUM(D13:D15))-'res_raw_33034482'!$D$16)&lt;=2,SUM(D13:D15),'res_raw_33034482'!$D$16)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'balance_raw_33034482'!$F$10</f>
        <v/>
      </c>
      <c r="C19" s="24">
        <f>'balance_raw_33034482'!$E$10</f>
        <v/>
      </c>
      <c r="D19" s="24">
        <f>'balance_raw_33034482'!$D$10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'balance_raw_33034482'!$F$22</f>
        <v/>
      </c>
      <c r="C20" s="24">
        <f>'balance_raw_33034482'!$E$22</f>
        <v/>
      </c>
      <c r="D20" s="24">
        <f>'balance_raw_33034482'!$D$22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'balance_raw_33034482'!$F$30</f>
        <v/>
      </c>
      <c r="C23" s="24">
        <f>'balance_raw_33034482'!$E$30</f>
        <v/>
      </c>
      <c r="D23" s="24">
        <f>'balance_raw_33034482'!$D$30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'balance_raw_33034482'!$F$47-'balance_raw_33034482'!$F$30</f>
        <v/>
      </c>
      <c r="C24" s="24">
        <f>'balance_raw_33034482'!$E$47-'balance_raw_33034482'!$E$30</f>
        <v/>
      </c>
      <c r="D24" s="24">
        <f>'balance_raw_33034482'!$D$47-'balance_raw_33034482'!$D$30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'balance_raw_33034482'!$F$11</f>
        <v/>
      </c>
      <c r="C28" s="24">
        <f>'balance_raw_33034482'!$E$11</f>
        <v/>
      </c>
      <c r="D28" s="24">
        <f>'balance_raw_33034482'!$D$11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'balance_raw_33034482'!$F$12</f>
        <v/>
      </c>
      <c r="C29" s="24">
        <f>'balance_raw_33034482'!$E$12</f>
        <v/>
      </c>
      <c r="D29" s="24">
        <f>'balance_raw_33034482'!$D$12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'balance_raw_33034482'!$F$45</f>
        <v/>
      </c>
      <c r="C30" s="24">
        <f>'balance_raw_33034482'!$E$45</f>
        <v/>
      </c>
      <c r="D30" s="24">
        <f>'balance_raw_33034482'!$D$45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IF('balance_raw_33034482'!$F$23="","—",IF(ABS(B21-'balance_raw_33034482'!$F$23)&lt;=1,"✓ OK","❌ "&amp;TEXT(B21-'balance_raw_33034482'!$F$23,"+#,##0;-#,##0")&amp;" t.kr."))</f>
        <v/>
      </c>
      <c r="C61" s="29">
        <f>IF('balance_raw_33034482'!$E$23="","—",IF(ABS(C21-'balance_raw_33034482'!$E$23)&lt;=1,"✓ OK","❌ "&amp;TEXT(C21-'balance_raw_33034482'!$E$23,"+#,##0;-#,##0")&amp;" t.kr."))</f>
        <v/>
      </c>
      <c r="D61" s="29">
        <f>IF('balance_raw_33034482'!$D$23="","—",IF(ABS(D21-'balance_raw_33034482'!$D$23)&lt;=1,"✓ OK","❌ "&amp;TEXT(D21-'balance_raw_33034482'!$D$23,"+#,##0;-#,##0")&amp;"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IF('balance_raw_33034482'!$F$47="","—",IF(ABS(B25-'balance_raw_33034482'!$F$47)&lt;=1,"✓ OK","❌ "&amp;TEXT(B25-'balance_raw_33034482'!$F$47,"+#,##0;-#,##0")&amp;" t.kr."))</f>
        <v/>
      </c>
      <c r="C62" s="29">
        <f>IF('balance_raw_33034482'!$E$47="","—",IF(ABS(C25-'balance_raw_33034482'!$E$47)&lt;=1,"✓ OK","❌ "&amp;TEXT(C25-'balance_raw_33034482'!$E$47,"+#,##0;-#,##0")&amp;" t.kr."))</f>
        <v/>
      </c>
      <c r="D62" s="29">
        <f>IF('balance_raw_33034482'!$D$47="","—",IF(ABS(D25-'balance_raw_33034482'!$D$47)&lt;=1,"✓ OK","❌ "&amp;TEXT(D25-'balance_raw_33034482'!$D$47,"+#,##0;-#,##0")&amp;"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IF('res_raw_33034482'!$F$6="","—",IF(ABS(B9-'res_raw_33034482'!$F$6)&lt;=1,"✓ OK","❌ "&amp;TEXT(B9-'res_raw_33034482'!$F$6,"+#,##0;-#,##0")&amp;" t.kr."))</f>
        <v/>
      </c>
      <c r="C64" s="29">
        <f>IF('res_raw_33034482'!$E$6="","—",IF(ABS(C9-'res_raw_33034482'!$E$6)&lt;=1,"✓ OK","❌ "&amp;TEXT(C9-'res_raw_33034482'!$E$6,"+#,##0;-#,##0")&amp;" t.kr."))</f>
        <v/>
      </c>
      <c r="D64" s="29">
        <f>IF('res_raw_33034482'!$D$6="","—",IF(ABS(D9-'res_raw_33034482'!$D$6)&lt;=1,"✓ OK","❌ "&amp;TEXT(D9-'res_raw_33034482'!$D$6,"+#,##0;-#,##0")&amp;"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IF('res_raw_33034482'!$F$11="","—",IF(ABS(B13-'res_raw_33034482'!$F$11)&lt;=1,"✓ OK","❌ "&amp;TEXT(B13-'res_raw_33034482'!$F$11,"+#,##0;-#,##0")&amp;" t.kr."))</f>
        <v/>
      </c>
      <c r="C65" s="29">
        <f>IF('res_raw_33034482'!$E$11="","—",IF(ABS(C13-'res_raw_33034482'!$E$11)&lt;=1,"✓ OK","❌ "&amp;TEXT(C13-'res_raw_33034482'!$E$11,"+#,##0;-#,##0")&amp;" t.kr."))</f>
        <v/>
      </c>
      <c r="D65" s="29">
        <f>IF('res_raw_33034482'!$D$11="","—",IF(ABS(D13-'res_raw_33034482'!$D$11)&lt;=1,"✓ OK","❌ "&amp;TEXT(D13-'res_raw_33034482'!$D$11,"+#,##0;-#,##0")&amp;"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IF('res_raw_33034482'!$F$16="","—",IF(ABS(B16-'res_raw_33034482'!$F$16)&lt;=1,"✓ OK","❌ "&amp;TEXT(B16-'res_raw_33034482'!$F$16,"+#,##0;-#,##0")&amp;" t.kr."))</f>
        <v/>
      </c>
      <c r="C66" s="29">
        <f>IF('res_raw_33034482'!$E$16="","—",IF(ABS(C16-'res_raw_33034482'!$E$16)&lt;=1,"✓ OK","❌ "&amp;TEXT(C16-'res_raw_33034482'!$E$16,"+#,##0;-#,##0")&amp;" t.kr."))</f>
        <v/>
      </c>
      <c r="D66" s="29">
        <f>IF('res_raw_33034482'!$D$16="","—",IF(ABS(D16-'res_raw_33034482'!$D$16)&lt;=1,"✓ OK","❌ "&amp;TEXT(D16-'res_raw_33034482'!$D$16,"+#,##0;-#,##0")&amp;"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Danske Lotteri Spil A/S (CVR 33034482)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414203</v>
      </c>
      <c r="E5" s="35" t="n">
        <v>421125</v>
      </c>
      <c r="F5" s="35" t="n">
        <v>446997</v>
      </c>
      <c r="G5" s="35" t="n">
        <v>487348</v>
      </c>
      <c r="H5" s="35" t="n">
        <v>480697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ifrs-full:AdjustmentsForInterestExpense</t>
        </is>
      </c>
      <c r="C6" s="37" t="inlineStr">
        <is>
          <t>ifrs-full:AdjustmentsForInterestExpense</t>
        </is>
      </c>
      <c r="D6" s="38" t="n">
        <v>3908</v>
      </c>
      <c r="E6" s="38" t="n">
        <v>37171</v>
      </c>
      <c r="F6" s="38" t="n">
        <v>1507</v>
      </c>
      <c r="G6" s="38" t="n">
        <v>1580</v>
      </c>
      <c r="H6" s="38" t="n">
        <v>3916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ifrs-full:AdjustmentsForInterestIncome</t>
        </is>
      </c>
      <c r="C7" s="34" t="inlineStr">
        <is>
          <t>ifrs-full:AdjustmentsForInterestIncome</t>
        </is>
      </c>
      <c r="D7" s="35" t="n">
        <v>27099</v>
      </c>
      <c r="E7" s="35" t="n">
        <v>8542</v>
      </c>
      <c r="F7" s="35" t="n">
        <v>46819</v>
      </c>
      <c r="G7" s="35" t="n">
        <v>50646</v>
      </c>
      <c r="H7" s="35" t="n">
        <v>29575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ifrs-full:CurrentDividendPayables</t>
        </is>
      </c>
      <c r="C8" s="37" t="inlineStr">
        <is>
          <t>ifrs-full:CurrentDividendPayables</t>
        </is>
      </c>
      <c r="D8" s="38" t="n">
        <v>19676</v>
      </c>
      <c r="E8" s="38" t="n">
        <v>23767</v>
      </c>
      <c r="F8" s="38" t="n">
        <v>24737</v>
      </c>
      <c r="G8" s="38" t="n">
        <v>21378</v>
      </c>
      <c r="H8" s="38" t="n">
        <v>24845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ifrs-full:CurrentFinancialAssetsAtFairValueThroughProfitOrLoss</t>
        </is>
      </c>
      <c r="C9" s="34" t="inlineStr">
        <is>
          <t>ifrs-full:CurrentFinancialAssetsAtFairValueThroughProfitOrLoss</t>
        </is>
      </c>
      <c r="D9" s="35" t="n">
        <v>421328</v>
      </c>
      <c r="E9" s="35" t="n">
        <v>382970</v>
      </c>
      <c r="F9" s="35" t="n">
        <v>416141</v>
      </c>
      <c r="G9" s="35" t="n">
        <v>438969</v>
      </c>
      <c r="H9" s="35" t="n">
        <v>470681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ifrs-full:CurrentFinancialLiabilitiesAtFairValueThroughProfitOrLoss</t>
        </is>
      </c>
      <c r="C10" s="37" t="inlineStr">
        <is>
          <t>ifrs-full:CurrentFinancialLiabilitiesAtFairValueThroughProfitOrLoss</t>
        </is>
      </c>
      <c r="D10" s="38" t="n">
        <v>52817</v>
      </c>
      <c r="E10" s="38" t="n">
        <v>40835</v>
      </c>
      <c r="F10" s="38" t="n">
        <v>44563</v>
      </c>
      <c r="G10" s="38" t="n">
        <v>42092</v>
      </c>
      <c r="H10" s="38" t="n">
        <v>40691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ifrs-full:FeeAndCommissionExpense</t>
        </is>
      </c>
      <c r="C11" s="34" t="inlineStr">
        <is>
          <t>ifrs-full:FeeAndCommissionExpense</t>
        </is>
      </c>
      <c r="D11" s="35" t="n">
        <v>279912</v>
      </c>
      <c r="E11" s="35" t="n">
        <v>263289</v>
      </c>
      <c r="F11" s="35" t="n">
        <v>254880</v>
      </c>
      <c r="G11" s="35" t="n">
        <v>252804</v>
      </c>
      <c r="H11" s="35" t="n">
        <v>226777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ifrs-full:InvestmentsInJointVentures</t>
        </is>
      </c>
      <c r="C12" s="37" t="inlineStr">
        <is>
          <t>ifrs-full:InvestmentsInJointVentures</t>
        </is>
      </c>
      <c r="D12" s="38" t="n"/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ifrs-full:TaxExpenseOtherThanIncomeTaxExpense</t>
        </is>
      </c>
      <c r="C13" s="34" t="inlineStr">
        <is>
          <t>ifrs-full:TaxExpenseOtherThanIncomeTaxExpense</t>
        </is>
      </c>
      <c r="D13" s="35" t="n">
        <v>9879</v>
      </c>
      <c r="E13" s="35" t="n">
        <v>9834</v>
      </c>
      <c r="F13" s="35" t="n">
        <v>9921</v>
      </c>
      <c r="G13" s="35" t="n">
        <v>8545</v>
      </c>
      <c r="H13" s="35" t="n">
        <v>9851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1443</v>
      </c>
      <c r="G14" s="38" t="n">
        <v>216820</v>
      </c>
      <c r="H14" s="38" t="n">
        <v>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2026-10-02T21:55:41Z</dcterms:created>
  <dcterms:modified xmlns:dcterms="http://purl.org/dc/terms/" xmlns:xsi="http://www.w3.org/2001/XMLSchema-instance" xsi:type="dcterms:W3CDTF">2026-10-02T21:55:41Z</dcterms:modified>
</cp:coreProperties>
</file>