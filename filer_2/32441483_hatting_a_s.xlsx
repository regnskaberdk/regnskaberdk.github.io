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2441483" sheetId="1" state="visible" r:id="rId1"/>
    <sheet xmlns:r="http://schemas.openxmlformats.org/officeDocument/2006/relationships" name="res_raw_32441483" sheetId="2" state="visible" r:id="rId2"/>
    <sheet xmlns:r="http://schemas.openxmlformats.org/officeDocument/2006/relationships" name="balance_raw_32441483" sheetId="3" state="visible" r:id="rId3"/>
    <sheet xmlns:r="http://schemas.openxmlformats.org/officeDocument/2006/relationships" name="pengestrom_raw_32441483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Hatting A/S (CVR 32441483)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'res_raw_32441483'!$B$2</f>
        <v/>
      </c>
      <c r="C4" s="5">
        <f>'res_raw_32441483'!$C$2</f>
        <v/>
      </c>
      <c r="D4" s="5">
        <f>'res_raw_32441483'!$D$2</f>
        <v/>
      </c>
      <c r="E4" s="5">
        <f>'res_raw_32441483'!$E$2</f>
        <v/>
      </c>
      <c r="F4" s="5">
        <f>'res_raw_32441483'!$F$2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'res_raw_32441483'!$B$3</f>
        <v/>
      </c>
      <c r="C5" s="8">
        <f>'res_raw_32441483'!$C$3</f>
        <v/>
      </c>
      <c r="D5" s="8">
        <f>'res_raw_32441483'!$D$3</f>
        <v/>
      </c>
      <c r="E5" s="8">
        <f>'res_raw_32441483'!$E$3</f>
        <v/>
      </c>
      <c r="F5" s="8">
        <f>'res_raw_32441483'!$F$3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'res_raw_32441483'!$B$4</f>
        <v/>
      </c>
      <c r="C6" s="8">
        <f>'res_raw_32441483'!$C$4</f>
        <v/>
      </c>
      <c r="D6" s="8">
        <f>'res_raw_32441483'!$D$4</f>
        <v/>
      </c>
      <c r="E6" s="8">
        <f>'res_raw_32441483'!$E$4</f>
        <v/>
      </c>
      <c r="F6" s="8">
        <f>'res_raw_32441483'!$F$4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'res_raw_32441483'!$B$5</f>
        <v/>
      </c>
      <c r="C7" s="8">
        <f>'res_raw_32441483'!$C$5</f>
        <v/>
      </c>
      <c r="D7" s="8">
        <f>'res_raw_32441483'!$D$5</f>
        <v/>
      </c>
      <c r="E7" s="8">
        <f>'res_raw_32441483'!$E$5</f>
        <v/>
      </c>
      <c r="F7" s="8">
        <f>'res_raw_32441483'!$F$5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'res_raw_32441483'!$B$6</f>
        <v/>
      </c>
      <c r="C8" s="8">
        <f>'res_raw_32441483'!$C$6</f>
        <v/>
      </c>
      <c r="D8" s="8">
        <f>'res_raw_32441483'!$D$6</f>
        <v/>
      </c>
      <c r="E8" s="8">
        <f>'res_raw_32441483'!$E$6</f>
        <v/>
      </c>
      <c r="F8" s="8">
        <f>'res_raw_32441483'!$F$6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'res_raw_32441483'!$B$7</f>
        <v/>
      </c>
      <c r="C9" s="11">
        <f>'res_raw_32441483'!$C$7</f>
        <v/>
      </c>
      <c r="D9" s="11">
        <f>'res_raw_32441483'!$D$7</f>
        <v/>
      </c>
      <c r="E9" s="11">
        <f>'res_raw_32441483'!$E$7</f>
        <v/>
      </c>
      <c r="F9" s="11">
        <f>'res_raw_32441483'!$F$7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'res_raw_32441483'!$B$8</f>
        <v/>
      </c>
      <c r="C10" s="5">
        <f>'res_raw_32441483'!$C$8</f>
        <v/>
      </c>
      <c r="D10" s="5">
        <f>'res_raw_32441483'!$D$8</f>
        <v/>
      </c>
      <c r="E10" s="5">
        <f>'res_raw_32441483'!$E$8</f>
        <v/>
      </c>
      <c r="F10" s="5">
        <f>'res_raw_32441483'!$F$8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'res_raw_32441483'!$B$9</f>
        <v/>
      </c>
      <c r="C11" s="8">
        <f>'res_raw_32441483'!$C$9</f>
        <v/>
      </c>
      <c r="D11" s="8">
        <f>'res_raw_32441483'!$D$9</f>
        <v/>
      </c>
      <c r="E11" s="8">
        <f>'res_raw_32441483'!$E$9</f>
        <v/>
      </c>
      <c r="F11" s="8">
        <f>'res_raw_32441483'!$F$9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'res_raw_32441483'!$B$10</f>
        <v/>
      </c>
      <c r="C12" s="5">
        <f>'res_raw_32441483'!$C$10</f>
        <v/>
      </c>
      <c r="D12" s="5">
        <f>'res_raw_32441483'!$D$10</f>
        <v/>
      </c>
      <c r="E12" s="5">
        <f>'res_raw_32441483'!$E$10</f>
        <v/>
      </c>
      <c r="F12" s="5">
        <f>'res_raw_32441483'!$F$10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'res_raw_32441483'!$B$11</f>
        <v/>
      </c>
      <c r="C13" s="11">
        <f>'res_raw_32441483'!$C$11</f>
        <v/>
      </c>
      <c r="D13" s="11">
        <f>'res_raw_32441483'!$D$11</f>
        <v/>
      </c>
      <c r="E13" s="11">
        <f>'res_raw_32441483'!$E$11</f>
        <v/>
      </c>
      <c r="F13" s="11">
        <f>'res_raw_32441483'!$F$11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'res_raw_32441483'!$B$12</f>
        <v/>
      </c>
      <c r="C14" s="5">
        <f>'res_raw_32441483'!$C$12</f>
        <v/>
      </c>
      <c r="D14" s="5">
        <f>'res_raw_32441483'!$D$12</f>
        <v/>
      </c>
      <c r="E14" s="5">
        <f>'res_raw_32441483'!$E$12</f>
        <v/>
      </c>
      <c r="F14" s="5">
        <f>'res_raw_32441483'!$F$12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'res_raw_32441483'!$B$13</f>
        <v/>
      </c>
      <c r="C15" s="8">
        <f>'res_raw_32441483'!$C$13</f>
        <v/>
      </c>
      <c r="D15" s="8">
        <f>'res_raw_32441483'!$D$13</f>
        <v/>
      </c>
      <c r="E15" s="8">
        <f>'res_raw_32441483'!$E$13</f>
        <v/>
      </c>
      <c r="F15" s="8">
        <f>'res_raw_32441483'!$F$13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'res_raw_32441483'!$B$14</f>
        <v/>
      </c>
      <c r="C16" s="8">
        <f>'res_raw_32441483'!$C$14</f>
        <v/>
      </c>
      <c r="D16" s="8">
        <f>'res_raw_32441483'!$D$14</f>
        <v/>
      </c>
      <c r="E16" s="8">
        <f>'res_raw_32441483'!$E$14</f>
        <v/>
      </c>
      <c r="F16" s="8">
        <f>'res_raw_32441483'!$F$14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'res_raw_32441483'!$B$15</f>
        <v/>
      </c>
      <c r="C17" s="11">
        <f>'res_raw_32441483'!$C$15</f>
        <v/>
      </c>
      <c r="D17" s="11">
        <f>'res_raw_32441483'!$D$15</f>
        <v/>
      </c>
      <c r="E17" s="11">
        <f>'res_raw_32441483'!$E$15</f>
        <v/>
      </c>
      <c r="F17" s="11">
        <f>'res_raw_32441483'!$F$15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'res_raw_32441483'!$B$16</f>
        <v/>
      </c>
      <c r="C18" s="8">
        <f>'res_raw_32441483'!$C$16</f>
        <v/>
      </c>
      <c r="D18" s="8">
        <f>'res_raw_32441483'!$D$16</f>
        <v/>
      </c>
      <c r="E18" s="8">
        <f>'res_raw_32441483'!$E$16</f>
        <v/>
      </c>
      <c r="F18" s="8">
        <f>'res_raw_32441483'!$F$16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'balance_raw_32441483'!$B$2</f>
        <v/>
      </c>
      <c r="C21" s="11">
        <f>'balance_raw_32441483'!$C$2</f>
        <v/>
      </c>
      <c r="D21" s="11">
        <f>'balance_raw_32441483'!$D$2</f>
        <v/>
      </c>
      <c r="E21" s="11">
        <f>'balance_raw_32441483'!$E$2</f>
        <v/>
      </c>
      <c r="F21" s="11">
        <f>'balance_raw_32441483'!$F$2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'balance_raw_32441483'!$B$3</f>
        <v/>
      </c>
      <c r="C22" s="5">
        <f>'balance_raw_32441483'!$C$3</f>
        <v/>
      </c>
      <c r="D22" s="5">
        <f>'balance_raw_32441483'!$D$3</f>
        <v/>
      </c>
      <c r="E22" s="5">
        <f>'balance_raw_32441483'!$E$3</f>
        <v/>
      </c>
      <c r="F22" s="5">
        <f>'balance_raw_32441483'!$F$3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'balance_raw_32441483'!$B$4</f>
        <v/>
      </c>
      <c r="C23" s="11">
        <f>'balance_raw_32441483'!$C$4</f>
        <v/>
      </c>
      <c r="D23" s="11">
        <f>'balance_raw_32441483'!$D$4</f>
        <v/>
      </c>
      <c r="E23" s="11">
        <f>'balance_raw_32441483'!$E$4</f>
        <v/>
      </c>
      <c r="F23" s="11">
        <f>'balance_raw_32441483'!$F$4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'balance_raw_32441483'!$B$5</f>
        <v/>
      </c>
      <c r="C24" s="8">
        <f>'balance_raw_32441483'!$C$5</f>
        <v/>
      </c>
      <c r="D24" s="8">
        <f>'balance_raw_32441483'!$D$5</f>
        <v/>
      </c>
      <c r="E24" s="8">
        <f>'balance_raw_32441483'!$E$5</f>
        <v/>
      </c>
      <c r="F24" s="8">
        <f>'balance_raw_32441483'!$F$5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'balance_raw_32441483'!$B$6</f>
        <v/>
      </c>
      <c r="C25" s="11">
        <f>'balance_raw_32441483'!$C$6</f>
        <v/>
      </c>
      <c r="D25" s="11">
        <f>'balance_raw_32441483'!$D$6</f>
        <v/>
      </c>
      <c r="E25" s="11">
        <f>'balance_raw_32441483'!$E$6</f>
        <v/>
      </c>
      <c r="F25" s="11">
        <f>'balance_raw_32441483'!$F$6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'balance_raw_32441483'!$B$7</f>
        <v/>
      </c>
      <c r="C26" s="5">
        <f>'balance_raw_32441483'!$C$7</f>
        <v/>
      </c>
      <c r="D26" s="5">
        <f>'balance_raw_32441483'!$D$7</f>
        <v/>
      </c>
      <c r="E26" s="5">
        <f>'balance_raw_32441483'!$E$7</f>
        <v/>
      </c>
      <c r="F26" s="5">
        <f>'balance_raw_32441483'!$F$7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'balance_raw_32441483'!$B$8</f>
        <v/>
      </c>
      <c r="C27" s="11">
        <f>'balance_raw_32441483'!$C$8</f>
        <v/>
      </c>
      <c r="D27" s="11">
        <f>'balance_raw_32441483'!$D$8</f>
        <v/>
      </c>
      <c r="E27" s="11">
        <f>'balance_raw_32441483'!$E$8</f>
        <v/>
      </c>
      <c r="F27" s="11">
        <f>'balance_raw_32441483'!$F$8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'balance_raw_32441483'!$B$9</f>
        <v/>
      </c>
      <c r="C28" s="5">
        <f>'balance_raw_32441483'!$C$9</f>
        <v/>
      </c>
      <c r="D28" s="5">
        <f>'balance_raw_32441483'!$D$9</f>
        <v/>
      </c>
      <c r="E28" s="5">
        <f>'balance_raw_32441483'!$E$9</f>
        <v/>
      </c>
      <c r="F28" s="5">
        <f>'balance_raw_32441483'!$F$9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'balance_raw_32441483'!$B$10</f>
        <v/>
      </c>
      <c r="C29" s="11">
        <f>'balance_raw_32441483'!$C$10</f>
        <v/>
      </c>
      <c r="D29" s="11">
        <f>'balance_raw_32441483'!$D$10</f>
        <v/>
      </c>
      <c r="E29" s="11">
        <f>'balance_raw_32441483'!$E$10</f>
        <v/>
      </c>
      <c r="F29" s="11">
        <f>'balance_raw_32441483'!$F$10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'balance_raw_32441483'!$B$11</f>
        <v/>
      </c>
      <c r="C30" s="8">
        <f>'balance_raw_32441483'!$C$11</f>
        <v/>
      </c>
      <c r="D30" s="8">
        <f>'balance_raw_32441483'!$D$11</f>
        <v/>
      </c>
      <c r="E30" s="8">
        <f>'balance_raw_32441483'!$E$11</f>
        <v/>
      </c>
      <c r="F30" s="8">
        <f>'balance_raw_32441483'!$F$11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'balance_raw_32441483'!$B$12</f>
        <v/>
      </c>
      <c r="C31" s="11">
        <f>'balance_raw_32441483'!$C$12</f>
        <v/>
      </c>
      <c r="D31" s="11">
        <f>'balance_raw_32441483'!$D$12</f>
        <v/>
      </c>
      <c r="E31" s="11">
        <f>'balance_raw_32441483'!$E$12</f>
        <v/>
      </c>
      <c r="F31" s="11">
        <f>'balance_raw_32441483'!$F$12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'balance_raw_32441483'!$B$13</f>
        <v/>
      </c>
      <c r="C32" s="5">
        <f>'balance_raw_32441483'!$C$13</f>
        <v/>
      </c>
      <c r="D32" s="5">
        <f>'balance_raw_32441483'!$D$13</f>
        <v/>
      </c>
      <c r="E32" s="5">
        <f>'balance_raw_32441483'!$E$13</f>
        <v/>
      </c>
      <c r="F32" s="5">
        <f>'balance_raw_32441483'!$F$13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'balance_raw_32441483'!$B$14</f>
        <v/>
      </c>
      <c r="C33" s="8">
        <f>'balance_raw_32441483'!$C$14</f>
        <v/>
      </c>
      <c r="D33" s="8">
        <f>'balance_raw_32441483'!$D$14</f>
        <v/>
      </c>
      <c r="E33" s="8">
        <f>'balance_raw_32441483'!$E$14</f>
        <v/>
      </c>
      <c r="F33" s="8">
        <f>'balance_raw_32441483'!$F$14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'balance_raw_32441483'!$B$15</f>
        <v/>
      </c>
      <c r="C34" s="8">
        <f>'balance_raw_32441483'!$C$15</f>
        <v/>
      </c>
      <c r="D34" s="8">
        <f>'balance_raw_32441483'!$D$15</f>
        <v/>
      </c>
      <c r="E34" s="8">
        <f>'balance_raw_32441483'!$E$15</f>
        <v/>
      </c>
      <c r="F34" s="8">
        <f>'balance_raw_32441483'!$F$15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'balance_raw_32441483'!$B$16</f>
        <v/>
      </c>
      <c r="C35" s="11">
        <f>'balance_raw_32441483'!$C$16</f>
        <v/>
      </c>
      <c r="D35" s="11">
        <f>'balance_raw_32441483'!$D$16</f>
        <v/>
      </c>
      <c r="E35" s="11">
        <f>'balance_raw_32441483'!$E$16</f>
        <v/>
      </c>
      <c r="F35" s="11">
        <f>'balance_raw_32441483'!$F$16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'balance_raw_32441483'!$B$17</f>
        <v/>
      </c>
      <c r="C36" s="5">
        <f>'balance_raw_32441483'!$C$17</f>
        <v/>
      </c>
      <c r="D36" s="5">
        <f>'balance_raw_32441483'!$D$17</f>
        <v/>
      </c>
      <c r="E36" s="5">
        <f>'balance_raw_32441483'!$E$17</f>
        <v/>
      </c>
      <c r="F36" s="5">
        <f>'balance_raw_32441483'!$F$17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'balance_raw_32441483'!$B$18</f>
        <v/>
      </c>
      <c r="C37" s="11">
        <f>'balance_raw_32441483'!$C$18</f>
        <v/>
      </c>
      <c r="D37" s="11">
        <f>'balance_raw_32441483'!$D$18</f>
        <v/>
      </c>
      <c r="E37" s="11">
        <f>'balance_raw_32441483'!$E$18</f>
        <v/>
      </c>
      <c r="F37" s="11">
        <f>'balance_raw_32441483'!$F$18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'balance_raw_32441483'!$B$19</f>
        <v/>
      </c>
      <c r="C38" s="8">
        <f>'balance_raw_32441483'!$C$19</f>
        <v/>
      </c>
      <c r="D38" s="8">
        <f>'balance_raw_32441483'!$D$19</f>
        <v/>
      </c>
      <c r="E38" s="8">
        <f>'balance_raw_32441483'!$E$19</f>
        <v/>
      </c>
      <c r="F38" s="8">
        <f>'balance_raw_32441483'!$F$19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'balance_raw_32441483'!$B$20</f>
        <v/>
      </c>
      <c r="C39" s="11">
        <f>'balance_raw_32441483'!$C$20</f>
        <v/>
      </c>
      <c r="D39" s="11">
        <f>'balance_raw_32441483'!$D$20</f>
        <v/>
      </c>
      <c r="E39" s="11">
        <f>'balance_raw_32441483'!$E$20</f>
        <v/>
      </c>
      <c r="F39" s="11">
        <f>'balance_raw_32441483'!$F$20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'balance_raw_32441483'!$B$21</f>
        <v/>
      </c>
      <c r="C40" s="5">
        <f>'balance_raw_32441483'!$C$21</f>
        <v/>
      </c>
      <c r="D40" s="5">
        <f>'balance_raw_32441483'!$D$21</f>
        <v/>
      </c>
      <c r="E40" s="5">
        <f>'balance_raw_32441483'!$E$21</f>
        <v/>
      </c>
      <c r="F40" s="5">
        <f>'balance_raw_32441483'!$F$21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'balance_raw_32441483'!$B$22</f>
        <v/>
      </c>
      <c r="C41" s="11">
        <f>'balance_raw_32441483'!$C$22</f>
        <v/>
      </c>
      <c r="D41" s="11">
        <f>'balance_raw_32441483'!$D$22</f>
        <v/>
      </c>
      <c r="E41" s="11">
        <f>'balance_raw_32441483'!$E$22</f>
        <v/>
      </c>
      <c r="F41" s="11">
        <f>'balance_raw_32441483'!$F$22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'balance_raw_32441483'!$B$23</f>
        <v/>
      </c>
      <c r="C42" s="5">
        <f>'balance_raw_32441483'!$C$23</f>
        <v/>
      </c>
      <c r="D42" s="5">
        <f>'balance_raw_32441483'!$D$23</f>
        <v/>
      </c>
      <c r="E42" s="5">
        <f>'balance_raw_32441483'!$E$23</f>
        <v/>
      </c>
      <c r="F42" s="5">
        <f>'balance_raw_32441483'!$F$23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'balance_raw_32441483'!$B$24</f>
        <v/>
      </c>
      <c r="C43" s="11">
        <f>'balance_raw_32441483'!$C$24</f>
        <v/>
      </c>
      <c r="D43" s="11">
        <f>'balance_raw_32441483'!$D$24</f>
        <v/>
      </c>
      <c r="E43" s="11">
        <f>'balance_raw_32441483'!$E$24</f>
        <v/>
      </c>
      <c r="F43" s="11">
        <f>'balance_raw_32441483'!$F$24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'balance_raw_32441483'!$B$25</f>
        <v/>
      </c>
      <c r="C44" s="5">
        <f>'balance_raw_32441483'!$C$25</f>
        <v/>
      </c>
      <c r="D44" s="5">
        <f>'balance_raw_32441483'!$D$25</f>
        <v/>
      </c>
      <c r="E44" s="5">
        <f>'balance_raw_32441483'!$E$25</f>
        <v/>
      </c>
      <c r="F44" s="5">
        <f>'balance_raw_32441483'!$F$25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'balance_raw_32441483'!$B$26</f>
        <v/>
      </c>
      <c r="C45" s="11">
        <f>'balance_raw_32441483'!$C$26</f>
        <v/>
      </c>
      <c r="D45" s="11">
        <f>'balance_raw_32441483'!$D$26</f>
        <v/>
      </c>
      <c r="E45" s="11">
        <f>'balance_raw_32441483'!$E$26</f>
        <v/>
      </c>
      <c r="F45" s="11">
        <f>'balance_raw_32441483'!$F$26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'balance_raw_32441483'!$B$27</f>
        <v/>
      </c>
      <c r="C46" s="8">
        <f>'balance_raw_32441483'!$C$27</f>
        <v/>
      </c>
      <c r="D46" s="8">
        <f>'balance_raw_32441483'!$D$27</f>
        <v/>
      </c>
      <c r="E46" s="8">
        <f>'balance_raw_32441483'!$E$27</f>
        <v/>
      </c>
      <c r="F46" s="8">
        <f>'balance_raw_32441483'!$F$27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'balance_raw_32441483'!$B$28</f>
        <v/>
      </c>
      <c r="C47" s="11">
        <f>'balance_raw_32441483'!$C$28</f>
        <v/>
      </c>
      <c r="D47" s="11">
        <f>'balance_raw_32441483'!$D$28</f>
        <v/>
      </c>
      <c r="E47" s="11">
        <f>'balance_raw_32441483'!$E$28</f>
        <v/>
      </c>
      <c r="F47" s="11">
        <f>'balance_raw_32441483'!$F$28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'balance_raw_32441483'!$B$29</f>
        <v/>
      </c>
      <c r="C48" s="5">
        <f>'balance_raw_32441483'!$C$29</f>
        <v/>
      </c>
      <c r="D48" s="5">
        <f>'balance_raw_32441483'!$D$29</f>
        <v/>
      </c>
      <c r="E48" s="5">
        <f>'balance_raw_32441483'!$E$29</f>
        <v/>
      </c>
      <c r="F48" s="5">
        <f>'balance_raw_32441483'!$F$29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'balance_raw_32441483'!$B$30</f>
        <v/>
      </c>
      <c r="C49" s="8">
        <f>'balance_raw_32441483'!$C$30</f>
        <v/>
      </c>
      <c r="D49" s="8">
        <f>'balance_raw_32441483'!$D$30</f>
        <v/>
      </c>
      <c r="E49" s="8">
        <f>'balance_raw_32441483'!$E$30</f>
        <v/>
      </c>
      <c r="F49" s="8">
        <f>'balance_raw_32441483'!$F$30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'balance_raw_32441483'!$B$31</f>
        <v/>
      </c>
      <c r="C50" s="8">
        <f>'balance_raw_32441483'!$C$31</f>
        <v/>
      </c>
      <c r="D50" s="8">
        <f>'balance_raw_32441483'!$D$31</f>
        <v/>
      </c>
      <c r="E50" s="8">
        <f>'balance_raw_32441483'!$E$31</f>
        <v/>
      </c>
      <c r="F50" s="8">
        <f>'balance_raw_32441483'!$F$31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'balance_raw_32441483'!$B$32</f>
        <v/>
      </c>
      <c r="C53" s="11">
        <f>'balance_raw_32441483'!$C$32</f>
        <v/>
      </c>
      <c r="D53" s="11">
        <f>'balance_raw_32441483'!$D$32</f>
        <v/>
      </c>
      <c r="E53" s="11">
        <f>'balance_raw_32441483'!$E$32</f>
        <v/>
      </c>
      <c r="F53" s="11">
        <f>'balance_raw_32441483'!$F$32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'balance_raw_32441483'!$B$33</f>
        <v/>
      </c>
      <c r="C54" s="5">
        <f>'balance_raw_32441483'!$C$33</f>
        <v/>
      </c>
      <c r="D54" s="5">
        <f>'balance_raw_32441483'!$D$33</f>
        <v/>
      </c>
      <c r="E54" s="5">
        <f>'balance_raw_32441483'!$E$33</f>
        <v/>
      </c>
      <c r="F54" s="5">
        <f>'balance_raw_32441483'!$F$33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'balance_raw_32441483'!$B$34</f>
        <v/>
      </c>
      <c r="C55" s="11">
        <f>'balance_raw_32441483'!$C$34</f>
        <v/>
      </c>
      <c r="D55" s="11">
        <f>'balance_raw_32441483'!$D$34</f>
        <v/>
      </c>
      <c r="E55" s="11">
        <f>'balance_raw_32441483'!$E$34</f>
        <v/>
      </c>
      <c r="F55" s="11">
        <f>'balance_raw_32441483'!$F$34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'balance_raw_32441483'!$B$35</f>
        <v/>
      </c>
      <c r="C56" s="5">
        <f>'balance_raw_32441483'!$C$35</f>
        <v/>
      </c>
      <c r="D56" s="5">
        <f>'balance_raw_32441483'!$D$35</f>
        <v/>
      </c>
      <c r="E56" s="5">
        <f>'balance_raw_32441483'!$E$35</f>
        <v/>
      </c>
      <c r="F56" s="5">
        <f>'balance_raw_32441483'!$F$35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'balance_raw_32441483'!$B$36</f>
        <v/>
      </c>
      <c r="C57" s="11">
        <f>'balance_raw_32441483'!$C$36</f>
        <v/>
      </c>
      <c r="D57" s="11">
        <f>'balance_raw_32441483'!$D$36</f>
        <v/>
      </c>
      <c r="E57" s="11">
        <f>'balance_raw_32441483'!$E$36</f>
        <v/>
      </c>
      <c r="F57" s="11">
        <f>'balance_raw_32441483'!$F$36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'balance_raw_32441483'!$B$37</f>
        <v/>
      </c>
      <c r="C58" s="5">
        <f>'balance_raw_32441483'!$C$37</f>
        <v/>
      </c>
      <c r="D58" s="5">
        <f>'balance_raw_32441483'!$D$37</f>
        <v/>
      </c>
      <c r="E58" s="5">
        <f>'balance_raw_32441483'!$E$37</f>
        <v/>
      </c>
      <c r="F58" s="5">
        <f>'balance_raw_32441483'!$F$37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'balance_raw_32441483'!$B$38</f>
        <v/>
      </c>
      <c r="C59" s="8">
        <f>'balance_raw_32441483'!$C$38</f>
        <v/>
      </c>
      <c r="D59" s="8">
        <f>'balance_raw_32441483'!$D$38</f>
        <v/>
      </c>
      <c r="E59" s="8">
        <f>'balance_raw_32441483'!$E$38</f>
        <v/>
      </c>
      <c r="F59" s="8">
        <f>'balance_raw_32441483'!$F$38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7" t="inlineStr">
        <is>
          <t>Hensatte forpligtelser</t>
        </is>
      </c>
      <c r="B60" s="8">
        <f>'balance_raw_32441483'!$B$39</f>
        <v/>
      </c>
      <c r="C60" s="8">
        <f>'balance_raw_32441483'!$C$39</f>
        <v/>
      </c>
      <c r="D60" s="8">
        <f>'balance_raw_32441483'!$D$39</f>
        <v/>
      </c>
      <c r="E60" s="8">
        <f>'balance_raw_32441483'!$E$39</f>
        <v/>
      </c>
      <c r="F60" s="8">
        <f>'balance_raw_32441483'!$F$39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Ansvarlig lånekapital (langfristet)</t>
        </is>
      </c>
      <c r="B61" s="11">
        <f>'balance_raw_32441483'!$B$40</f>
        <v/>
      </c>
      <c r="C61" s="11">
        <f>'balance_raw_32441483'!$C$40</f>
        <v/>
      </c>
      <c r="D61" s="11">
        <f>'balance_raw_32441483'!$D$40</f>
        <v/>
      </c>
      <c r="E61" s="11">
        <f>'balance_raw_32441483'!$E$40</f>
        <v/>
      </c>
      <c r="F61" s="11">
        <f>'balance_raw_32441483'!$F$40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'balance_raw_32441483'!$B$41</f>
        <v/>
      </c>
      <c r="C62" s="5">
        <f>'balance_raw_32441483'!$C$41</f>
        <v/>
      </c>
      <c r="D62" s="5">
        <f>'balance_raw_32441483'!$D$41</f>
        <v/>
      </c>
      <c r="E62" s="5">
        <f>'balance_raw_32441483'!$E$41</f>
        <v/>
      </c>
      <c r="F62" s="5">
        <f>'balance_raw_32441483'!$F$41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Leasingforpligtelser (langfristet)</t>
        </is>
      </c>
      <c r="B63" s="11">
        <f>'balance_raw_32441483'!$B$42</f>
        <v/>
      </c>
      <c r="C63" s="11">
        <f>'balance_raw_32441483'!$C$42</f>
        <v/>
      </c>
      <c r="D63" s="11">
        <f>'balance_raw_32441483'!$D$42</f>
        <v/>
      </c>
      <c r="E63" s="11">
        <f>'balance_raw_32441483'!$E$42</f>
        <v/>
      </c>
      <c r="F63" s="11">
        <f>'balance_raw_32441483'!$F$42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'balance_raw_32441483'!$B$43</f>
        <v/>
      </c>
      <c r="C64" s="5">
        <f>'balance_raw_32441483'!$C$43</f>
        <v/>
      </c>
      <c r="D64" s="5">
        <f>'balance_raw_32441483'!$D$43</f>
        <v/>
      </c>
      <c r="E64" s="5">
        <f>'balance_raw_32441483'!$E$43</f>
        <v/>
      </c>
      <c r="F64" s="5">
        <f>'balance_raw_32441483'!$F$43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gældsforpligtelser</t>
        </is>
      </c>
      <c r="B65" s="8">
        <f>'balance_raw_32441483'!$B$44</f>
        <v/>
      </c>
      <c r="C65" s="8">
        <f>'balance_raw_32441483'!$C$44</f>
        <v/>
      </c>
      <c r="D65" s="8">
        <f>'balance_raw_32441483'!$D$44</f>
        <v/>
      </c>
      <c r="E65" s="8">
        <f>'balance_raw_32441483'!$E$44</f>
        <v/>
      </c>
      <c r="F65" s="8">
        <f>'balance_raw_32441483'!$F$44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'balance_raw_32441483'!$B$45</f>
        <v/>
      </c>
      <c r="C66" s="5">
        <f>'balance_raw_32441483'!$C$45</f>
        <v/>
      </c>
      <c r="D66" s="5">
        <f>'balance_raw_32441483'!$D$45</f>
        <v/>
      </c>
      <c r="E66" s="5">
        <f>'balance_raw_32441483'!$E$45</f>
        <v/>
      </c>
      <c r="F66" s="5">
        <f>'balance_raw_32441483'!$F$45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Kortfristet del af langfristede gældsforpligtelser</t>
        </is>
      </c>
      <c r="B67" s="11">
        <f>'balance_raw_32441483'!$B$46</f>
        <v/>
      </c>
      <c r="C67" s="11">
        <f>'balance_raw_32441483'!$C$46</f>
        <v/>
      </c>
      <c r="D67" s="11">
        <f>'balance_raw_32441483'!$D$46</f>
        <v/>
      </c>
      <c r="E67" s="11">
        <f>'balance_raw_32441483'!$E$46</f>
        <v/>
      </c>
      <c r="F67" s="11">
        <f>'balance_raw_32441483'!$F$46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'balance_raw_32441483'!$B$47</f>
        <v/>
      </c>
      <c r="C68" s="5">
        <f>'balance_raw_32441483'!$C$47</f>
        <v/>
      </c>
      <c r="D68" s="5">
        <f>'balance_raw_32441483'!$D$47</f>
        <v/>
      </c>
      <c r="E68" s="5">
        <f>'balance_raw_32441483'!$E$47</f>
        <v/>
      </c>
      <c r="F68" s="5">
        <f>'balance_raw_32441483'!$F$47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Leasingforpligtelser (kortfristet)</t>
        </is>
      </c>
      <c r="B69" s="11">
        <f>'balance_raw_32441483'!$B$48</f>
        <v/>
      </c>
      <c r="C69" s="11">
        <f>'balance_raw_32441483'!$C$48</f>
        <v/>
      </c>
      <c r="D69" s="11">
        <f>'balance_raw_32441483'!$D$48</f>
        <v/>
      </c>
      <c r="E69" s="11">
        <f>'balance_raw_32441483'!$E$48</f>
        <v/>
      </c>
      <c r="F69" s="11">
        <f>'balance_raw_32441483'!$F$48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'balance_raw_32441483'!$B$49</f>
        <v/>
      </c>
      <c r="C70" s="5">
        <f>'balance_raw_32441483'!$C$49</f>
        <v/>
      </c>
      <c r="D70" s="5">
        <f>'balance_raw_32441483'!$D$49</f>
        <v/>
      </c>
      <c r="E70" s="5">
        <f>'balance_raw_32441483'!$E$49</f>
        <v/>
      </c>
      <c r="F70" s="5">
        <f>'balance_raw_32441483'!$F$49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tilknyttede virksomheder</t>
        </is>
      </c>
      <c r="B71" s="11">
        <f>'balance_raw_32441483'!$B$50</f>
        <v/>
      </c>
      <c r="C71" s="11">
        <f>'balance_raw_32441483'!$C$50</f>
        <v/>
      </c>
      <c r="D71" s="11">
        <f>'balance_raw_32441483'!$D$50</f>
        <v/>
      </c>
      <c r="E71" s="11">
        <f>'balance_raw_32441483'!$E$50</f>
        <v/>
      </c>
      <c r="F71" s="11">
        <f>'balance_raw_32441483'!$F$50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'balance_raw_32441483'!$B$51</f>
        <v/>
      </c>
      <c r="C72" s="5">
        <f>'balance_raw_32441483'!$C$51</f>
        <v/>
      </c>
      <c r="D72" s="5">
        <f>'balance_raw_32441483'!$D$51</f>
        <v/>
      </c>
      <c r="E72" s="5">
        <f>'balance_raw_32441483'!$E$51</f>
        <v/>
      </c>
      <c r="F72" s="5">
        <f>'balance_raw_32441483'!$F$51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Selskabsskat</t>
        </is>
      </c>
      <c r="B73" s="11">
        <f>'balance_raw_32441483'!$B$52</f>
        <v/>
      </c>
      <c r="C73" s="11">
        <f>'balance_raw_32441483'!$C$52</f>
        <v/>
      </c>
      <c r="D73" s="11">
        <f>'balance_raw_32441483'!$D$52</f>
        <v/>
      </c>
      <c r="E73" s="11">
        <f>'balance_raw_32441483'!$E$52</f>
        <v/>
      </c>
      <c r="F73" s="11">
        <f>'balance_raw_32441483'!$F$52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'balance_raw_32441483'!$B$53</f>
        <v/>
      </c>
      <c r="C74" s="5">
        <f>'balance_raw_32441483'!$C$53</f>
        <v/>
      </c>
      <c r="D74" s="5">
        <f>'balance_raw_32441483'!$D$53</f>
        <v/>
      </c>
      <c r="E74" s="5">
        <f>'balance_raw_32441483'!$E$53</f>
        <v/>
      </c>
      <c r="F74" s="5">
        <f>'balance_raw_32441483'!$F$53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Anden gæld (kortfristet)</t>
        </is>
      </c>
      <c r="B75" s="11">
        <f>'balance_raw_32441483'!$B$54</f>
        <v/>
      </c>
      <c r="C75" s="11">
        <f>'balance_raw_32441483'!$C$54</f>
        <v/>
      </c>
      <c r="D75" s="11">
        <f>'balance_raw_32441483'!$D$54</f>
        <v/>
      </c>
      <c r="E75" s="11">
        <f>'balance_raw_32441483'!$E$54</f>
        <v/>
      </c>
      <c r="F75" s="11">
        <f>'balance_raw_32441483'!$F$54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'balance_raw_32441483'!$B$55</f>
        <v/>
      </c>
      <c r="C76" s="5">
        <f>'balance_raw_32441483'!$C$55</f>
        <v/>
      </c>
      <c r="D76" s="5">
        <f>'balance_raw_32441483'!$D$55</f>
        <v/>
      </c>
      <c r="E76" s="5">
        <f>'balance_raw_32441483'!$E$55</f>
        <v/>
      </c>
      <c r="F76" s="5">
        <f>'balance_raw_32441483'!$F$55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Kortfristede gældsforpligtelser</t>
        </is>
      </c>
      <c r="B77" s="8">
        <f>'balance_raw_32441483'!$B$56</f>
        <v/>
      </c>
      <c r="C77" s="8">
        <f>'balance_raw_32441483'!$C$56</f>
        <v/>
      </c>
      <c r="D77" s="8">
        <f>'balance_raw_32441483'!$D$56</f>
        <v/>
      </c>
      <c r="E77" s="8">
        <f>'balance_raw_32441483'!$E$56</f>
        <v/>
      </c>
      <c r="F77" s="8">
        <f>'balance_raw_32441483'!$F$56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7" t="inlineStr">
        <is>
          <t>Gældsforpligtelser</t>
        </is>
      </c>
      <c r="B78" s="8">
        <f>'balance_raw_32441483'!$B$57</f>
        <v/>
      </c>
      <c r="C78" s="8">
        <f>'balance_raw_32441483'!$C$57</f>
        <v/>
      </c>
      <c r="D78" s="8">
        <f>'balance_raw_32441483'!$D$57</f>
        <v/>
      </c>
      <c r="E78" s="8">
        <f>'balance_raw_32441483'!$E$57</f>
        <v/>
      </c>
      <c r="F78" s="8">
        <f>'balance_raw_32441483'!$F$57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Passiver</t>
        </is>
      </c>
      <c r="B79" s="8">
        <f>'balance_raw_32441483'!$B$58</f>
        <v/>
      </c>
      <c r="C79" s="8">
        <f>'balance_raw_32441483'!$C$58</f>
        <v/>
      </c>
      <c r="D79" s="8">
        <f>'balance_raw_32441483'!$D$58</f>
        <v/>
      </c>
      <c r="E79" s="8">
        <f>'balance_raw_32441483'!$E$58</f>
        <v/>
      </c>
      <c r="F79" s="8">
        <f>'balance_raw_32441483'!$F$58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'res_raw_32441483'!$B$17</f>
        <v/>
      </c>
      <c r="C82" s="5">
        <f>'res_raw_32441483'!$C$17</f>
        <v/>
      </c>
      <c r="D82" s="5">
        <f>'res_raw_32441483'!$D$17</f>
        <v/>
      </c>
      <c r="E82" s="5">
        <f>'res_raw_32441483'!$E$17</f>
        <v/>
      </c>
      <c r="F82" s="5">
        <f>'res_raw_32441483'!$F$17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10" t="inlineStr">
        <is>
          <t>Investering i materielle anlægsaktiver</t>
        </is>
      </c>
      <c r="B83" s="11">
        <f>'res_raw_32441483'!$B$18</f>
        <v/>
      </c>
      <c r="C83" s="11">
        <f>'res_raw_32441483'!$C$18</f>
        <v/>
      </c>
      <c r="D83" s="11">
        <f>'res_raw_32441483'!$D$18</f>
        <v/>
      </c>
      <c r="E83" s="11">
        <f>'res_raw_32441483'!$E$18</f>
        <v/>
      </c>
      <c r="F83" s="11">
        <f>'res_raw_32441483'!$F$18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IFERROR(($B$11+$B$13+$B$12)/$B$50*100,"")</f>
        <v/>
      </c>
      <c r="C86" s="13">
        <f>IFERROR(($C$11+$C$13+$C$12)/$C$50*100,"")</f>
        <v/>
      </c>
      <c r="D86" s="13">
        <f>IFERROR(($D$11+$D$13+$D$12)/$D$50*100,"")</f>
        <v/>
      </c>
      <c r="E86" s="13">
        <f>IFERROR(($E$11+$E$13+$E$12)/$E$50*100,"")</f>
        <v/>
      </c>
      <c r="F86" s="13">
        <f>IFERROR(($F$11+$F$13+$F$12)/$F$50*100,"")</f>
        <v/>
      </c>
    </row>
    <row r="87" ht="16" customHeight="1">
      <c r="A87" s="10" t="inlineStr">
        <is>
          <t>Overskudsgrad (af bruttofortjeneste), %</t>
        </is>
      </c>
      <c r="B87" s="14">
        <f>IFERROR(($B$11+$B$13+$B$12)/$B$6*100,"")</f>
        <v/>
      </c>
      <c r="C87" s="14">
        <f>IFERROR(($C$11+$C$13+$C$12)/$C$6*100,"")</f>
        <v/>
      </c>
      <c r="D87" s="14">
        <f>IFERROR(($D$11+$D$13+$D$12)/$D$6*100,"")</f>
        <v/>
      </c>
      <c r="E87" s="14">
        <f>IFERROR(($E$11+$E$13+$E$12)/$E$6*100,"")</f>
        <v/>
      </c>
      <c r="F87" s="14">
        <f>IFERROR(($F$11+$F$13+$F$12)/$F$6*100,"")</f>
        <v/>
      </c>
    </row>
    <row r="88" ht="16" customHeight="1">
      <c r="A88" s="4" t="inlineStr">
        <is>
          <t>Aktivernes omsætningshastighed (af bruttofortjeneste), gange</t>
        </is>
      </c>
      <c r="B88" s="13">
        <f>IFERROR($B$6/$B$50,"")</f>
        <v/>
      </c>
      <c r="C88" s="13">
        <f>IFERROR($C$6/$C$50,"")</f>
        <v/>
      </c>
      <c r="D88" s="13">
        <f>IFERROR($D$6/$D$50,"")</f>
        <v/>
      </c>
      <c r="E88" s="13">
        <f>IFERROR($E$6/$E$50,"")</f>
        <v/>
      </c>
      <c r="F88" s="13">
        <f>IFERROR($F$6/$F$50,"")</f>
        <v/>
      </c>
    </row>
    <row r="89" ht="16" customHeight="1">
      <c r="A89" s="10" t="inlineStr">
        <is>
          <t>Egenkapitalens forrentning, %</t>
        </is>
      </c>
      <c r="B89" s="14">
        <f>IFERROR($B$16/$B$59*100,"")</f>
        <v/>
      </c>
      <c r="C89" s="14">
        <f>IFERROR($C$16/$C$59*100,"")</f>
        <v/>
      </c>
      <c r="D89" s="14">
        <f>IFERROR($D$16/$D$59*100,"")</f>
        <v/>
      </c>
      <c r="E89" s="14">
        <f>IFERROR($E$16/$E$59*100,"")</f>
        <v/>
      </c>
      <c r="F89" s="14">
        <f>IFERROR($F$16/$F$59*100,"")</f>
        <v/>
      </c>
    </row>
    <row r="90" ht="16" customHeight="1">
      <c r="A90" s="4" t="inlineStr">
        <is>
          <t>Gældsrente, %</t>
        </is>
      </c>
      <c r="B90" s="13">
        <f>IFERROR($B$14/($B$79-$B$59)*100,"")</f>
        <v/>
      </c>
      <c r="C90" s="13">
        <f>IFERROR($C$14/($C$79-$C$59)*100,"")</f>
        <v/>
      </c>
      <c r="D90" s="13">
        <f>IFERROR($D$14/($D$79-$D$59)*100,"")</f>
        <v/>
      </c>
      <c r="E90" s="13">
        <f>IFERROR($E$14/($E$79-$E$59)*100,"")</f>
        <v/>
      </c>
      <c r="F90" s="13">
        <f>IFERROR($F$14/($F$79-$F$59)*100,"")</f>
        <v/>
      </c>
    </row>
    <row r="91" ht="16" customHeight="1">
      <c r="A91" s="10" t="inlineStr">
        <is>
          <t>Soliditetsgrad, %</t>
        </is>
      </c>
      <c r="B91" s="14">
        <f>IFERROR($B$59/$B$50*100,"")</f>
        <v/>
      </c>
      <c r="C91" s="14">
        <f>IFERROR($C$59/$C$50*100,"")</f>
        <v/>
      </c>
      <c r="D91" s="14">
        <f>IFERROR($D$59/$D$50*100,"")</f>
        <v/>
      </c>
      <c r="E91" s="14">
        <f>IFERROR($E$59/$E$50*100,"")</f>
        <v/>
      </c>
      <c r="F91" s="14">
        <f>IFERROR($F$59/$F$50*100,"")</f>
        <v/>
      </c>
    </row>
    <row r="92" ht="16" customHeight="1">
      <c r="A92" s="4" t="inlineStr">
        <is>
          <t>Gearing</t>
        </is>
      </c>
      <c r="B92" s="13">
        <f>IFERROR(($B$79-$B$59)/$B$59,"")</f>
        <v/>
      </c>
      <c r="C92" s="13">
        <f>IFERROR(($C$79-$C$59)/$C$59,"")</f>
        <v/>
      </c>
      <c r="D92" s="13">
        <f>IFERROR(($D$79-$D$59)/$D$59,"")</f>
        <v/>
      </c>
      <c r="E92" s="13">
        <f>IFERROR(($E$79-$E$59)/$E$59,"")</f>
        <v/>
      </c>
      <c r="F92" s="13">
        <f>IFERROR(($F$79-$F$59)/$F$59,"")</f>
        <v/>
      </c>
    </row>
    <row r="93" ht="16" customHeight="1">
      <c r="A93" s="10" t="inlineStr">
        <is>
          <t>Likviditetsgrad, %</t>
        </is>
      </c>
      <c r="B93" s="14">
        <f>IFERROR($B$49/$B$77*100,"")</f>
        <v/>
      </c>
      <c r="C93" s="14">
        <f>IFERROR($C$49/$C$77*100,"")</f>
        <v/>
      </c>
      <c r="D93" s="14">
        <f>IFERROR($D$49/$D$77*100,"")</f>
        <v/>
      </c>
      <c r="E93" s="14">
        <f>IFERROR($E$49/$E$77*100,"")</f>
        <v/>
      </c>
      <c r="F93" s="14">
        <f>IFERROR($F$49/$F$77*100,"")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10" t="inlineStr">
        <is>
          <t>Gældsandel, %</t>
        </is>
      </c>
      <c r="B95" s="14">
        <f>IFERROR(($B$79-$B$59)/$B$50*100,"")</f>
        <v/>
      </c>
      <c r="C95" s="14">
        <f>IFERROR(($C$79-$C$59)/$C$50*100,"")</f>
        <v/>
      </c>
      <c r="D95" s="14">
        <f>IFERROR(($D$79-$D$59)/$D$50*100,"")</f>
        <v/>
      </c>
      <c r="E95" s="14">
        <f>IFERROR(($E$79-$E$59)/$E$50*100,"")</f>
        <v/>
      </c>
      <c r="F95" s="14">
        <f>IFERROR(($F$79-$F$59)/$F$50*100,"")</f>
        <v/>
      </c>
    </row>
    <row r="96" ht="16" customHeight="1">
      <c r="A96" s="4" t="inlineStr">
        <is>
          <t>Kapitalbindingsgrad, %</t>
        </is>
      </c>
      <c r="B96" s="13">
        <f>IFERROR($B$34/($B$59+$B$65)*100,"")</f>
        <v/>
      </c>
      <c r="C96" s="13">
        <f>IFERROR($C$34/($C$59+$C$65)*100,"")</f>
        <v/>
      </c>
      <c r="D96" s="13">
        <f>IFERROR($D$34/($D$59+$D$65)*100,"")</f>
        <v/>
      </c>
      <c r="E96" s="13">
        <f>IFERROR($E$34/($E$59+$E$65)*100,"")</f>
        <v/>
      </c>
      <c r="F96" s="13">
        <f>IFERROR($F$34/($F$59+$F$65)*100,"")</f>
        <v/>
      </c>
    </row>
    <row r="98">
      <c r="A98" s="15" t="inlineStr">
        <is>
          <t>PENGESTRØMSOPGØRELSE t.kr.</t>
        </is>
      </c>
    </row>
    <row r="99">
      <c r="A99" s="16" t="inlineStr">
        <is>
          <t>Pengestrømme fra driftsaktivitet</t>
        </is>
      </c>
      <c r="B99" s="17">
        <f>'pengestrom_raw_32441483'!$B$2</f>
        <v/>
      </c>
      <c r="C99" s="17">
        <f>'pengestrom_raw_32441483'!$C$2</f>
        <v/>
      </c>
      <c r="D99" s="17">
        <f>'pengestrom_raw_32441483'!$D$2</f>
        <v/>
      </c>
      <c r="E99" s="17">
        <f>'pengestrom_raw_32441483'!$E$2</f>
        <v/>
      </c>
      <c r="F99" s="17">
        <f>'pengestrom_raw_32441483'!$F$2</f>
        <v/>
      </c>
    </row>
    <row r="100">
      <c r="A100" s="16" t="inlineStr">
        <is>
          <t>Pengestrømme fra investeringsaktivitet</t>
        </is>
      </c>
      <c r="B100" s="17">
        <f>'pengestrom_raw_32441483'!$B$3</f>
        <v/>
      </c>
      <c r="C100" s="17">
        <f>'pengestrom_raw_32441483'!$C$3</f>
        <v/>
      </c>
      <c r="D100" s="17">
        <f>'pengestrom_raw_32441483'!$D$3</f>
        <v/>
      </c>
      <c r="E100" s="17">
        <f>'pengestrom_raw_32441483'!$E$3</f>
        <v/>
      </c>
      <c r="F100" s="17">
        <f>'pengestrom_raw_32441483'!$F$3</f>
        <v/>
      </c>
    </row>
    <row r="101">
      <c r="A101" s="16" t="inlineStr">
        <is>
          <t>Pengestrømme fra finansieringsaktivitet</t>
        </is>
      </c>
      <c r="B101" s="17">
        <f>'pengestrom_raw_32441483'!$B$4</f>
        <v/>
      </c>
      <c r="C101" s="17">
        <f>'pengestrom_raw_32441483'!$C$4</f>
        <v/>
      </c>
      <c r="D101" s="17">
        <f>'pengestrom_raw_32441483'!$D$4</f>
        <v/>
      </c>
      <c r="E101" s="17">
        <f>'pengestrom_raw_32441483'!$E$4</f>
        <v/>
      </c>
      <c r="F101" s="17">
        <f>'pengestrom_raw_32441483'!$F$4</f>
        <v/>
      </c>
    </row>
    <row r="102">
      <c r="A102" s="16" t="inlineStr">
        <is>
          <t>Årets pengestrøm (rapporteret)</t>
        </is>
      </c>
      <c r="B102" s="17">
        <f>'pengestrom_raw_32441483'!$B$5</f>
        <v/>
      </c>
      <c r="C102" s="17">
        <f>'pengestrom_raw_32441483'!$C$5</f>
        <v/>
      </c>
      <c r="D102" s="17">
        <f>'pengestrom_raw_32441483'!$D$5</f>
        <v/>
      </c>
      <c r="E102" s="17">
        <f>'pengestrom_raw_32441483'!$E$5</f>
        <v/>
      </c>
      <c r="F102" s="17">
        <f>'pengestrom_raw_32441483'!$F$5</f>
        <v/>
      </c>
    </row>
    <row r="103">
      <c r="A103" s="16" t="inlineStr">
        <is>
          <t>Krydstjek: drift + inv. + fin. = årets pengestrøm</t>
        </is>
      </c>
      <c r="B103">
        <f>IF(ABS(('pengestrom_raw_32441483'!$B$2+'pengestrom_raw_32441483'!$B$3+'pengestrom_raw_32441483'!$B$4)-'pengestrom_raw_32441483'!$B$5)&lt;=2,"✓","⚠ "&amp;TEXT(('pengestrom_raw_32441483'!$B$2+'pengestrom_raw_32441483'!$B$3+'pengestrom_raw_32441483'!$B$4)-'pengestrom_raw_32441483'!$B$5,"+#,##0;-#,##0"))</f>
        <v/>
      </c>
      <c r="C103">
        <f>IF(ABS(('pengestrom_raw_32441483'!$C$2+'pengestrom_raw_32441483'!$C$3+'pengestrom_raw_32441483'!$C$4)-'pengestrom_raw_32441483'!$C$5)&lt;=2,"✓","⚠ "&amp;TEXT(('pengestrom_raw_32441483'!$C$2+'pengestrom_raw_32441483'!$C$3+'pengestrom_raw_32441483'!$C$4)-'pengestrom_raw_32441483'!$C$5,"+#,##0;-#,##0"))</f>
        <v/>
      </c>
      <c r="D103">
        <f>IF(ABS(('pengestrom_raw_32441483'!$D$2+'pengestrom_raw_32441483'!$D$3+'pengestrom_raw_32441483'!$D$4)-'pengestrom_raw_32441483'!$D$5)&lt;=2,"✓","⚠ "&amp;TEXT(('pengestrom_raw_32441483'!$D$2+'pengestrom_raw_32441483'!$D$3+'pengestrom_raw_32441483'!$D$4)-'pengestrom_raw_32441483'!$D$5,"+#,##0;-#,##0"))</f>
        <v/>
      </c>
      <c r="E103">
        <f>IF(ABS(('pengestrom_raw_32441483'!$E$2+'pengestrom_raw_32441483'!$E$3+'pengestrom_raw_32441483'!$E$4)-'pengestrom_raw_32441483'!$E$5)&lt;=2,"✓","⚠ "&amp;TEXT(('pengestrom_raw_32441483'!$E$2+'pengestrom_raw_32441483'!$E$3+'pengestrom_raw_32441483'!$E$4)-'pengestrom_raw_32441483'!$E$5,"+#,##0;-#,##0"))</f>
        <v/>
      </c>
      <c r="F103">
        <f>IF(ABS(('pengestrom_raw_32441483'!$F$2+'pengestrom_raw_32441483'!$F$3+'pengestrom_raw_32441483'!$F$4)-'pengestrom_raw_32441483'!$F$5)&lt;=2,"✓","⚠ "&amp;TEXT(('pengestrom_raw_32441483'!$F$2+'pengestrom_raw_32441483'!$F$3+'pengestrom_raw_32441483'!$F$4)-'pengestrom_raw_32441483'!$F$5,"+#,##0;-#,##0"))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Hatting A/S (CVR 32441483)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Produktionsomkostninger</t>
        </is>
      </c>
      <c r="B3" s="17" t="n"/>
      <c r="C3" s="17" t="n"/>
      <c r="D3" s="17" t="n"/>
      <c r="E3" s="17" t="n"/>
      <c r="F3" s="17" t="n"/>
    </row>
    <row r="4">
      <c r="A4" s="15" t="inlineStr">
        <is>
          <t>Bruttoresultat</t>
        </is>
      </c>
      <c r="B4" s="17" t="n">
        <v>82237</v>
      </c>
      <c r="C4" s="17" t="n">
        <v>66263</v>
      </c>
      <c r="D4" s="17" t="n">
        <v>85909</v>
      </c>
      <c r="E4" s="17" t="n">
        <v>90585</v>
      </c>
      <c r="F4" s="17" t="n">
        <v>93347</v>
      </c>
    </row>
    <row r="5">
      <c r="A5" s="16" t="inlineStr">
        <is>
          <t>Salgs- og distributionsomkostninger</t>
        </is>
      </c>
      <c r="B5" s="17" t="n">
        <v>35839</v>
      </c>
      <c r="C5" s="17" t="n">
        <v>30749</v>
      </c>
      <c r="D5" s="17" t="n">
        <v>31050</v>
      </c>
      <c r="E5" s="17" t="n">
        <v>32335</v>
      </c>
      <c r="F5" s="17" t="n">
        <v>34964</v>
      </c>
    </row>
    <row r="6">
      <c r="A6" s="16" t="inlineStr">
        <is>
          <t>Administrationsomkostninger</t>
        </is>
      </c>
      <c r="B6" s="17" t="n">
        <v>22842</v>
      </c>
      <c r="C6" s="17" t="n">
        <v>19691</v>
      </c>
      <c r="D6" s="17" t="n">
        <v>20745</v>
      </c>
      <c r="E6" s="17" t="n">
        <v>20902</v>
      </c>
      <c r="F6" s="17" t="n">
        <v>21597</v>
      </c>
    </row>
    <row r="7">
      <c r="A7" s="16" t="inlineStr">
        <is>
          <t>Andre driftsindtægter</t>
        </is>
      </c>
      <c r="B7" s="17" t="n"/>
      <c r="C7" s="17" t="n">
        <v>13004</v>
      </c>
      <c r="D7" s="17" t="n">
        <v>0</v>
      </c>
      <c r="E7" s="17" t="n">
        <v>25</v>
      </c>
      <c r="F7" s="17" t="n">
        <v>0</v>
      </c>
    </row>
    <row r="8">
      <c r="A8" s="16" t="inlineStr">
        <is>
          <t>Andre driftsomkostninger</t>
        </is>
      </c>
      <c r="B8" s="17" t="n"/>
      <c r="C8" s="17" t="n">
        <v>-13004</v>
      </c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23556</v>
      </c>
      <c r="C9" s="17" t="n">
        <v>28827</v>
      </c>
      <c r="D9" s="17" t="n">
        <v>34114</v>
      </c>
      <c r="E9" s="17" t="n">
        <v>37349</v>
      </c>
      <c r="F9" s="17" t="n">
        <v>36787</v>
      </c>
    </row>
    <row r="10">
      <c r="A10" s="16" t="inlineStr">
        <is>
          <t>Indtægter af kapitalandele, dattervirksomheder</t>
        </is>
      </c>
      <c r="B10" s="17" t="n">
        <v>-665</v>
      </c>
      <c r="C10" s="17" t="n">
        <v>856</v>
      </c>
      <c r="D10" s="17" t="n">
        <v>-41</v>
      </c>
      <c r="E10" s="17" t="n">
        <v>-104</v>
      </c>
      <c r="F10" s="17" t="n">
        <v>-88</v>
      </c>
    </row>
    <row r="11">
      <c r="A11" s="16" t="inlineStr">
        <is>
          <t>Finansielle indtægter</t>
        </is>
      </c>
      <c r="B11" s="17" t="n">
        <v>995</v>
      </c>
      <c r="C11" s="17" t="n">
        <v>623</v>
      </c>
      <c r="D11" s="17" t="n">
        <v>3884</v>
      </c>
      <c r="E11" s="17" t="n">
        <v>3908</v>
      </c>
      <c r="F11" s="17" t="n">
        <v>1745</v>
      </c>
    </row>
    <row r="12">
      <c r="A12" s="16" t="inlineStr">
        <is>
          <t>Finansielle omkostninger</t>
        </is>
      </c>
      <c r="B12" s="17" t="n">
        <v>163</v>
      </c>
      <c r="C12" s="17" t="n">
        <v>196</v>
      </c>
      <c r="D12" s="17" t="n">
        <v>153</v>
      </c>
      <c r="E12" s="17" t="n">
        <v>27</v>
      </c>
      <c r="F12" s="17" t="n">
        <v>110</v>
      </c>
    </row>
    <row r="13">
      <c r="A13" s="15" t="inlineStr">
        <is>
          <t>Finansielle poster, netto</t>
        </is>
      </c>
      <c r="B13" s="17" t="n"/>
      <c r="C13" s="17" t="n"/>
      <c r="D13" s="17" t="n">
        <v>3690</v>
      </c>
      <c r="E13" s="17" t="n">
        <v>3777</v>
      </c>
      <c r="F13" s="17" t="n">
        <v>1547</v>
      </c>
    </row>
    <row r="14">
      <c r="A14" s="15" t="inlineStr">
        <is>
          <t>Resultat før skat</t>
        </is>
      </c>
      <c r="B14" s="17" t="n">
        <v>23723</v>
      </c>
      <c r="C14" s="17" t="n">
        <v>30109</v>
      </c>
      <c r="D14" s="17" t="n">
        <v>37803</v>
      </c>
      <c r="E14" s="17" t="n">
        <v>41126</v>
      </c>
      <c r="F14" s="17" t="n">
        <v>38334</v>
      </c>
    </row>
    <row r="15">
      <c r="A15" s="16" t="inlineStr">
        <is>
          <t>Skat af årets resultat</t>
        </is>
      </c>
      <c r="B15" s="17" t="n">
        <v>5347</v>
      </c>
      <c r="C15" s="17" t="n">
        <v>6353</v>
      </c>
      <c r="D15" s="17" t="n">
        <v>8314</v>
      </c>
      <c r="E15" s="17" t="n">
        <v>9071</v>
      </c>
      <c r="F15" s="17" t="n">
        <v>8435</v>
      </c>
    </row>
    <row r="16">
      <c r="A16" s="15" t="inlineStr">
        <is>
          <t>Årets resultat</t>
        </is>
      </c>
      <c r="B16" s="17" t="n">
        <v>18376</v>
      </c>
      <c r="C16" s="17" t="n">
        <v>23757</v>
      </c>
      <c r="D16" s="17" t="n">
        <v>29490</v>
      </c>
      <c r="E16" s="17" t="n">
        <v>32055</v>
      </c>
      <c r="F16" s="17" t="n">
        <v>29899</v>
      </c>
    </row>
    <row r="17">
      <c r="A17" s="16" t="inlineStr">
        <is>
          <t>Gns. antal medarbejdere</t>
        </is>
      </c>
      <c r="B17" s="17" t="n"/>
      <c r="C17" s="17" t="n"/>
      <c r="D17" s="17" t="n">
        <v>120</v>
      </c>
      <c r="E17" s="17" t="n">
        <v>118</v>
      </c>
      <c r="F17" s="17" t="n">
        <v>119</v>
      </c>
    </row>
    <row r="18">
      <c r="A18" s="16" t="inlineStr">
        <is>
          <t>Investering i materielle anlægsaktiver</t>
        </is>
      </c>
      <c r="B18" s="17" t="n">
        <v>-270</v>
      </c>
      <c r="C18" s="17" t="n">
        <v>577</v>
      </c>
      <c r="D18" s="17" t="n">
        <v>318</v>
      </c>
      <c r="E18" s="17" t="n">
        <v>691</v>
      </c>
      <c r="F18" s="17" t="n">
        <v>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Hatting A/S (CVR 32441483)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>
        <v>1769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/>
      <c r="C5" s="17" t="n"/>
      <c r="D5" s="17" t="n"/>
      <c r="E5" s="17" t="n"/>
      <c r="F5" s="17" t="n">
        <v>1769</v>
      </c>
    </row>
    <row r="6">
      <c r="A6" s="16" t="inlineStr">
        <is>
          <t>Grunde og bygninger</t>
        </is>
      </c>
      <c r="B6" s="17" t="n">
        <v>82734</v>
      </c>
      <c r="C6" s="17" t="n">
        <v>71822</v>
      </c>
      <c r="D6" s="17" t="n">
        <v>62160</v>
      </c>
      <c r="E6" s="17" t="n">
        <v>54179</v>
      </c>
      <c r="F6" s="17" t="n">
        <v>46197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11869</v>
      </c>
      <c r="C8" s="17" t="n">
        <v>9270</v>
      </c>
      <c r="D8" s="17" t="n">
        <v>7277</v>
      </c>
      <c r="E8" s="17" t="n">
        <v>6010</v>
      </c>
      <c r="F8" s="17" t="n">
        <v>4727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155</v>
      </c>
      <c r="C10" s="17" t="n">
        <v>140</v>
      </c>
      <c r="D10" s="17" t="n">
        <v>0</v>
      </c>
      <c r="E10" s="17" t="n">
        <v>145</v>
      </c>
      <c r="F10" s="17" t="n">
        <v>0</v>
      </c>
    </row>
    <row r="11">
      <c r="A11" s="15" t="inlineStr">
        <is>
          <t>Materielle anlægsaktiver</t>
        </is>
      </c>
      <c r="B11" s="17" t="n">
        <v>94758</v>
      </c>
      <c r="C11" s="17" t="n">
        <v>81232</v>
      </c>
      <c r="D11" s="17" t="n">
        <v>69437</v>
      </c>
      <c r="E11" s="17" t="n">
        <v>60334</v>
      </c>
      <c r="F11" s="17" t="n">
        <v>50924</v>
      </c>
    </row>
    <row r="12">
      <c r="A12" s="16" t="inlineStr">
        <is>
          <t>Kapitalandele, dattervirksomheder</t>
        </is>
      </c>
      <c r="B12" s="17" t="n">
        <v>220</v>
      </c>
      <c r="C12" s="17" t="n">
        <v>636</v>
      </c>
      <c r="D12" s="17" t="n">
        <v>594</v>
      </c>
      <c r="E12" s="17" t="n">
        <v>491</v>
      </c>
      <c r="F12" s="17" t="n">
        <v>404</v>
      </c>
    </row>
    <row r="13">
      <c r="A13" s="16" t="inlineStr">
        <is>
          <t>Deposita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Finansielle anlægsaktiver</t>
        </is>
      </c>
      <c r="B14" s="17" t="n">
        <v>5593</v>
      </c>
      <c r="C14" s="17" t="n">
        <v>9728</v>
      </c>
      <c r="D14" s="17" t="n">
        <v>10301</v>
      </c>
      <c r="E14" s="17" t="n">
        <v>10677</v>
      </c>
      <c r="F14" s="17" t="n">
        <v>11062</v>
      </c>
    </row>
    <row r="15">
      <c r="A15" s="15" t="inlineStr">
        <is>
          <t>Anlægsaktiver</t>
        </is>
      </c>
      <c r="B15" s="17" t="n">
        <v>100351</v>
      </c>
      <c r="C15" s="17" t="n">
        <v>90960</v>
      </c>
      <c r="D15" s="17" t="n">
        <v>79738</v>
      </c>
      <c r="E15" s="17" t="n">
        <v>71011</v>
      </c>
      <c r="F15" s="17" t="n">
        <v>63755</v>
      </c>
    </row>
    <row r="16">
      <c r="A16" s="16" t="inlineStr">
        <is>
          <t>Råvarer og hjælpematerialer</t>
        </is>
      </c>
      <c r="B16" s="17" t="n">
        <v>4903</v>
      </c>
      <c r="C16" s="17" t="n">
        <v>6514</v>
      </c>
      <c r="D16" s="17" t="n">
        <v>6796</v>
      </c>
      <c r="E16" s="17" t="n">
        <v>7946</v>
      </c>
      <c r="F16" s="17" t="n">
        <v>6580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25346</v>
      </c>
      <c r="C18" s="17" t="n">
        <v>27310</v>
      </c>
      <c r="D18" s="17" t="n">
        <v>24984</v>
      </c>
      <c r="E18" s="17" t="n">
        <v>26580</v>
      </c>
      <c r="F18" s="17" t="n">
        <v>32172</v>
      </c>
    </row>
    <row r="19">
      <c r="A19" s="15" t="inlineStr">
        <is>
          <t>Varebeholdninger</t>
        </is>
      </c>
      <c r="B19" s="17" t="n">
        <v>30577</v>
      </c>
      <c r="C19" s="17" t="n">
        <v>33824</v>
      </c>
      <c r="D19" s="17" t="n">
        <v>31780</v>
      </c>
      <c r="E19" s="17" t="n">
        <v>34526</v>
      </c>
      <c r="F19" s="17" t="n">
        <v>38751</v>
      </c>
    </row>
    <row r="20">
      <c r="A20" s="16" t="inlineStr">
        <is>
          <t>Tilgodehavender fra salg og tjenesteydelser</t>
        </is>
      </c>
      <c r="B20" s="17" t="n">
        <v>31432</v>
      </c>
      <c r="C20" s="17" t="n">
        <v>28720</v>
      </c>
      <c r="D20" s="17" t="n">
        <v>30964</v>
      </c>
      <c r="E20" s="17" t="n">
        <v>28880</v>
      </c>
      <c r="F20" s="17" t="n">
        <v>30932</v>
      </c>
    </row>
    <row r="21">
      <c r="A21" s="16" t="inlineStr">
        <is>
          <t>Tilgodehavender hos tilknyttede virksomheder</t>
        </is>
      </c>
      <c r="B21" s="17" t="n">
        <v>91911</v>
      </c>
      <c r="C21" s="17" t="n">
        <v>105320</v>
      </c>
      <c r="D21" s="17" t="n">
        <v>119698</v>
      </c>
      <c r="E21" s="17" t="n">
        <v>113037</v>
      </c>
      <c r="F21" s="17" t="n">
        <v>109110</v>
      </c>
    </row>
    <row r="22">
      <c r="A22" s="16" t="inlineStr">
        <is>
          <t>Andre tilgodehavender</t>
        </is>
      </c>
      <c r="B22" s="17" t="n">
        <v>359</v>
      </c>
      <c r="C22" s="17" t="n">
        <v>157</v>
      </c>
      <c r="D22" s="17" t="n">
        <v>309</v>
      </c>
      <c r="E22" s="17" t="n">
        <v>113</v>
      </c>
      <c r="F22" s="17" t="n">
        <v>138</v>
      </c>
    </row>
    <row r="23">
      <c r="A23" s="16" t="inlineStr">
        <is>
          <t>Periodeafgrænsningsposter (aktiver)</t>
        </is>
      </c>
      <c r="B23" s="17" t="n">
        <v>587</v>
      </c>
      <c r="C23" s="17" t="n">
        <v>665</v>
      </c>
      <c r="D23" s="17" t="n">
        <v>202</v>
      </c>
      <c r="E23" s="17" t="n">
        <v>508</v>
      </c>
      <c r="F23" s="17" t="n">
        <v>129</v>
      </c>
    </row>
    <row r="24">
      <c r="A24" s="16" t="inlineStr">
        <is>
          <t>Udskudt skatteaktiv</t>
        </is>
      </c>
      <c r="B24" s="17" t="n">
        <v>5373</v>
      </c>
      <c r="C24" s="17" t="n">
        <v>9093</v>
      </c>
      <c r="D24" s="17" t="n">
        <v>9707</v>
      </c>
      <c r="E24" s="17" t="n">
        <v>10186</v>
      </c>
      <c r="F24" s="17" t="n">
        <v>10658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124288</v>
      </c>
      <c r="C27" s="17" t="n">
        <v>134862</v>
      </c>
      <c r="D27" s="17" t="n">
        <v>151173</v>
      </c>
      <c r="E27" s="17" t="n">
        <v>142538</v>
      </c>
      <c r="F27" s="17" t="n">
        <v>140309</v>
      </c>
    </row>
    <row r="28">
      <c r="A28" s="16" t="inlineStr">
        <is>
          <t>Værdipapirer</t>
        </is>
      </c>
      <c r="B28" s="17" t="n">
        <v>1093</v>
      </c>
      <c r="C28" s="17" t="n">
        <v>1129</v>
      </c>
      <c r="D28" s="17" t="n">
        <v>1736</v>
      </c>
      <c r="E28" s="17" t="n">
        <v>1794</v>
      </c>
      <c r="F28" s="17" t="n">
        <v>1799</v>
      </c>
    </row>
    <row r="29">
      <c r="A29" s="16" t="inlineStr">
        <is>
          <t>Likvide beholdninger</t>
        </is>
      </c>
      <c r="B29" s="17" t="n">
        <v>991</v>
      </c>
      <c r="C29" s="17" t="n">
        <v>362</v>
      </c>
      <c r="D29" s="17" t="n">
        <v>0</v>
      </c>
      <c r="E29" s="17" t="n">
        <v>0</v>
      </c>
      <c r="F29" s="17" t="n">
        <v>0</v>
      </c>
    </row>
    <row r="30">
      <c r="A30" s="15" t="inlineStr">
        <is>
          <t>Omsætningsaktiver</t>
        </is>
      </c>
      <c r="B30" s="17" t="n">
        <v>156949</v>
      </c>
      <c r="C30" s="17" t="n">
        <v>170176</v>
      </c>
      <c r="D30" s="17" t="n">
        <v>184689</v>
      </c>
      <c r="E30" s="17" t="n">
        <v>178858</v>
      </c>
      <c r="F30" s="17" t="n">
        <v>180859</v>
      </c>
    </row>
    <row r="31">
      <c r="A31" s="15" t="inlineStr">
        <is>
          <t>Aktiver</t>
        </is>
      </c>
      <c r="B31" s="17" t="n">
        <v>257300</v>
      </c>
      <c r="C31" s="17" t="n">
        <v>261136</v>
      </c>
      <c r="D31" s="17" t="n">
        <v>264427</v>
      </c>
      <c r="E31" s="17" t="n">
        <v>249869</v>
      </c>
      <c r="F31" s="17" t="n">
        <v>244613</v>
      </c>
    </row>
    <row r="32">
      <c r="A32" s="16" t="inlineStr">
        <is>
          <t>Selskabskapital</t>
        </is>
      </c>
      <c r="B32" s="17" t="n">
        <v>20000</v>
      </c>
      <c r="C32" s="17" t="n">
        <v>20000</v>
      </c>
      <c r="D32" s="17" t="n">
        <v>20000</v>
      </c>
      <c r="E32" s="17" t="n">
        <v>20000</v>
      </c>
      <c r="F32" s="17" t="n">
        <v>20000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>
        <v>-2</v>
      </c>
    </row>
    <row r="37">
      <c r="A37" s="16" t="inlineStr">
        <is>
          <t>Overført resultat</t>
        </is>
      </c>
      <c r="B37" s="17" t="n">
        <v>142042</v>
      </c>
      <c r="C37" s="17" t="n">
        <v>141799</v>
      </c>
      <c r="D37" s="17" t="n">
        <v>141789</v>
      </c>
      <c r="E37" s="17" t="n">
        <v>141847</v>
      </c>
      <c r="F37" s="17" t="n">
        <v>142246</v>
      </c>
    </row>
    <row r="38">
      <c r="A38" s="15" t="inlineStr">
        <is>
          <t>Egenkapital i alt</t>
        </is>
      </c>
      <c r="B38" s="17" t="n">
        <v>180042</v>
      </c>
      <c r="C38" s="17" t="n">
        <v>185799</v>
      </c>
      <c r="D38" s="17" t="n">
        <v>191289</v>
      </c>
      <c r="E38" s="17" t="n">
        <v>193844</v>
      </c>
      <c r="F38" s="17" t="n">
        <v>191743</v>
      </c>
    </row>
    <row r="39">
      <c r="A39" s="15" t="inlineStr">
        <is>
          <t>Hensatte forpligtelser</t>
        </is>
      </c>
      <c r="B39" s="17" t="n">
        <v>0</v>
      </c>
      <c r="C39" s="17" t="n">
        <v>12160</v>
      </c>
      <c r="D39" s="17" t="n">
        <v>12060</v>
      </c>
      <c r="E39" s="17" t="n">
        <v>12060</v>
      </c>
      <c r="F39" s="17" t="n">
        <v>12060</v>
      </c>
    </row>
    <row r="40">
      <c r="A40" s="16" t="inlineStr">
        <is>
          <t>Ansvarlig lånekapital (langfristet)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Langfristede lån</t>
        </is>
      </c>
      <c r="B41" s="17" t="n">
        <v>26716</v>
      </c>
      <c r="C41" s="17" t="n">
        <v>24313</v>
      </c>
      <c r="D41" s="17" t="n">
        <v>21917</v>
      </c>
      <c r="E41" s="17" t="n">
        <v>4173</v>
      </c>
      <c r="F41" s="17" t="n">
        <v>3766</v>
      </c>
    </row>
    <row r="42">
      <c r="A42" s="16" t="inlineStr">
        <is>
          <t>Leasingforpligtelser (langfristet)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Anden gæld (langfristet)</t>
        </is>
      </c>
      <c r="B43" s="17" t="n">
        <v>0</v>
      </c>
      <c r="C43" s="17" t="n">
        <v>0</v>
      </c>
      <c r="D43" s="17" t="n"/>
      <c r="E43" s="17" t="n"/>
      <c r="F43" s="17" t="n"/>
    </row>
    <row r="44">
      <c r="A44" s="15" t="inlineStr">
        <is>
          <t>Langfristede gældsforpligtelser</t>
        </is>
      </c>
      <c r="B44" s="17" t="n">
        <v>26716</v>
      </c>
      <c r="C44" s="17" t="n">
        <v>24313</v>
      </c>
      <c r="D44" s="17" t="n">
        <v>21917</v>
      </c>
      <c r="E44" s="17" t="n">
        <v>4173</v>
      </c>
      <c r="F44" s="17" t="n">
        <v>3766</v>
      </c>
    </row>
    <row r="45">
      <c r="A45" s="16" t="inlineStr">
        <is>
          <t>Ansvarlig lånekapital (kortfristet)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Kortfristet del af langfristede gældsforpligtelser</t>
        </is>
      </c>
      <c r="B46" s="17" t="n">
        <v>2410</v>
      </c>
      <c r="C46" s="17" t="n">
        <v>2403</v>
      </c>
      <c r="D46" s="17" t="n">
        <v>2396</v>
      </c>
      <c r="E46" s="17" t="n">
        <v>411</v>
      </c>
      <c r="F46" s="17" t="n">
        <v>406</v>
      </c>
    </row>
    <row r="47">
      <c r="A47" s="16" t="inlineStr">
        <is>
          <t>Kreditinstitutter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Leasingforpligtelser (kortfristet)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Leverandører af varer og tjenesteydelser</t>
        </is>
      </c>
      <c r="B49" s="17" t="n">
        <v>5631</v>
      </c>
      <c r="C49" s="17" t="n">
        <v>9624</v>
      </c>
      <c r="D49" s="17" t="n">
        <v>7949</v>
      </c>
      <c r="E49" s="17" t="n">
        <v>8013</v>
      </c>
      <c r="F49" s="17" t="n">
        <v>4452</v>
      </c>
    </row>
    <row r="50">
      <c r="A50" s="16" t="inlineStr">
        <is>
          <t>Gæld til tilknyttede virksomheder</t>
        </is>
      </c>
      <c r="B50" s="17" t="n">
        <v>2164</v>
      </c>
      <c r="C50" s="17" t="n">
        <v>2220</v>
      </c>
      <c r="D50" s="17" t="n">
        <v>2130</v>
      </c>
      <c r="E50" s="17" t="n">
        <v>2832</v>
      </c>
      <c r="F50" s="17" t="n">
        <v>2578</v>
      </c>
    </row>
    <row r="51">
      <c r="A51" s="16" t="inlineStr">
        <is>
          <t>Gæld til selskabsdeltagere og ledelse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Selskabsskat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Gæld til tilknyttede virksomheder vedr. selskabsskat</t>
        </is>
      </c>
      <c r="B53" s="17" t="n"/>
      <c r="C53" s="17" t="n"/>
      <c r="D53" s="17" t="n"/>
      <c r="E53" s="17" t="n"/>
      <c r="F53" s="17" t="n">
        <v>8929</v>
      </c>
    </row>
    <row r="54">
      <c r="A54" s="16" t="inlineStr">
        <is>
          <t>Anden gæld (kortfristet)</t>
        </is>
      </c>
      <c r="B54" s="17" t="n">
        <v>26883</v>
      </c>
      <c r="C54" s="17" t="n">
        <v>24618</v>
      </c>
      <c r="D54" s="17" t="n">
        <v>26686</v>
      </c>
      <c r="E54" s="17" t="n">
        <v>28537</v>
      </c>
      <c r="F54" s="17" t="n">
        <v>20679</v>
      </c>
    </row>
    <row r="55">
      <c r="A55" s="16" t="inlineStr">
        <is>
          <t>Periodeafgrænsningsposter (passiver)</t>
        </is>
      </c>
      <c r="B55" s="17" t="n">
        <v>13454</v>
      </c>
      <c r="C55" s="17" t="n">
        <v>0</v>
      </c>
      <c r="D55" s="17" t="n"/>
      <c r="E55" s="17" t="n"/>
      <c r="F55" s="17" t="n"/>
    </row>
    <row r="56">
      <c r="A56" s="15" t="inlineStr">
        <is>
          <t>Kortfristede gældsforpligtelser</t>
        </is>
      </c>
      <c r="B56" s="17" t="n">
        <v>50542</v>
      </c>
      <c r="C56" s="17" t="n">
        <v>38865</v>
      </c>
      <c r="D56" s="17" t="n">
        <v>39161</v>
      </c>
      <c r="E56" s="17" t="n">
        <v>39792</v>
      </c>
      <c r="F56" s="17" t="n">
        <v>37044</v>
      </c>
    </row>
    <row r="57">
      <c r="A57" s="15" t="inlineStr">
        <is>
          <t>Gældsforpligtelser</t>
        </is>
      </c>
      <c r="B57" s="17" t="n">
        <v>77258</v>
      </c>
      <c r="C57" s="17" t="n">
        <v>63177</v>
      </c>
      <c r="D57" s="17" t="n">
        <v>61078</v>
      </c>
      <c r="E57" s="17" t="n">
        <v>43965</v>
      </c>
      <c r="F57" s="17" t="n">
        <v>40810</v>
      </c>
    </row>
    <row r="58">
      <c r="A58" s="15" t="inlineStr">
        <is>
          <t>Passiver</t>
        </is>
      </c>
      <c r="B58" s="17" t="n">
        <v>257300</v>
      </c>
      <c r="C58" s="17" t="n">
        <v>261136</v>
      </c>
      <c r="D58" s="17" t="n">
        <v>264427</v>
      </c>
      <c r="E58" s="17" t="n">
        <v>249869</v>
      </c>
      <c r="F58" s="17" t="n">
        <v>244613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Hatting A/S (CVR 32441483)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15829</v>
      </c>
      <c r="C2" s="17" t="n">
        <v>6320</v>
      </c>
      <c r="D2" s="17" t="n">
        <v>25931</v>
      </c>
      <c r="E2" s="17" t="n">
        <v>49825</v>
      </c>
      <c r="F2" s="17" t="n">
        <v>34600</v>
      </c>
    </row>
    <row r="3">
      <c r="A3" s="16" t="inlineStr">
        <is>
          <t>Pengestrømme fra investeringsaktivitet</t>
        </is>
      </c>
      <c r="B3" s="17" t="n">
        <v>540</v>
      </c>
      <c r="C3" s="17" t="n">
        <v>13460</v>
      </c>
      <c r="D3" s="17" t="n">
        <v>109</v>
      </c>
      <c r="E3" s="17" t="n">
        <v>-666</v>
      </c>
      <c r="F3" s="17" t="n">
        <v>-2189</v>
      </c>
    </row>
    <row r="4">
      <c r="A4" s="16" t="inlineStr">
        <is>
          <t>Pengestrømme fra finansieringsaktivitet</t>
        </is>
      </c>
      <c r="B4" s="17" t="n">
        <v>-16417</v>
      </c>
      <c r="C4" s="17" t="n">
        <v>-20410</v>
      </c>
      <c r="D4" s="17" t="n">
        <v>-26403</v>
      </c>
      <c r="E4" s="17" t="n">
        <v>-49159</v>
      </c>
      <c r="F4" s="17" t="n">
        <v>-32412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Hatting A/S (CVR 32441483) — Regnskabs- og nøgletal (CVR: 32441483)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'res_raw_32441483'!$F$2</f>
        <v/>
      </c>
      <c r="C5" s="24">
        <f>'res_raw_32441483'!$E$2</f>
        <v/>
      </c>
      <c r="D5" s="24">
        <f>'res_raw_32441483'!$D$2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-'res_raw_32441483'!$F$3</f>
        <v/>
      </c>
      <c r="C6" s="24">
        <f>-'res_raw_32441483'!$E$3</f>
        <v/>
      </c>
      <c r="D6" s="24">
        <f>-'res_raw_32441483'!$D$3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IF(COUNT('res_raw_32441483'!$F$2,'res_raw_32441483'!$F$3)=0,'res_raw_32441483'!$F$4,SUM(B5:B6))</f>
        <v/>
      </c>
      <c r="C7" s="27">
        <f>IF(COUNT('res_raw_32441483'!$E$2,'res_raw_32441483'!$E$3)=0,'res_raw_32441483'!$E$4,SUM(C5:C6))</f>
        <v/>
      </c>
      <c r="D7" s="27">
        <f>IF(COUNT('res_raw_32441483'!$D$2,'res_raw_32441483'!$D$3)=0,'res_raw_32441483'!$D$4,SUM(D5:D6))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Salgs- og distributionsomk.</t>
        </is>
      </c>
      <c r="B8" s="24">
        <f>-'res_raw_32441483'!$F$5</f>
        <v/>
      </c>
      <c r="C8" s="24">
        <f>-'res_raw_32441483'!$E$5</f>
        <v/>
      </c>
      <c r="D8" s="24">
        <f>-'res_raw_32441483'!$D$5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-'res_raw_32441483'!$F$6</f>
        <v/>
      </c>
      <c r="C9" s="24">
        <f>-'res_raw_32441483'!$E$6</f>
        <v/>
      </c>
      <c r="D9" s="24">
        <f>-'res_raw_32441483'!$D$6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'res_raw_32441483'!$F$7</f>
        <v/>
      </c>
      <c r="C10" s="24">
        <f>'res_raw_32441483'!$E$7</f>
        <v/>
      </c>
      <c r="D10" s="24">
        <f>'res_raw_32441483'!$D$7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-'res_raw_32441483'!$F$8</f>
        <v/>
      </c>
      <c r="C11" s="24">
        <f>-'res_raw_32441483'!$E$8</f>
        <v/>
      </c>
      <c r="D11" s="24">
        <f>-'res_raw_32441483'!$D$8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N('res_raw_32441483'!$F$10)+N('res_raw_32441483'!$F$11)</f>
        <v/>
      </c>
      <c r="C13" s="24">
        <f>N('res_raw_32441483'!$E$10)+N('res_raw_32441483'!$E$11)</f>
        <v/>
      </c>
      <c r="D13" s="24">
        <f>N('res_raw_32441483'!$D$10)+N('res_raw_32441483'!$D$11)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-'res_raw_32441483'!$F$12</f>
        <v/>
      </c>
      <c r="C14" s="24">
        <f>-'res_raw_32441483'!$E$12</f>
        <v/>
      </c>
      <c r="D14" s="24">
        <f>-'res_raw_32441483'!$D$12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'balance_raw_32441483'!$F$15</f>
        <v/>
      </c>
      <c r="C18" s="24">
        <f>'balance_raw_32441483'!$E$15</f>
        <v/>
      </c>
      <c r="D18" s="24">
        <f>'balance_raw_32441483'!$D$15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'balance_raw_32441483'!$F$30</f>
        <v/>
      </c>
      <c r="C19" s="24">
        <f>'balance_raw_32441483'!$E$30</f>
        <v/>
      </c>
      <c r="D19" s="24">
        <f>'balance_raw_32441483'!$D$30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'balance_raw_32441483'!$F$38</f>
        <v/>
      </c>
      <c r="C22" s="24">
        <f>'balance_raw_32441483'!$E$38</f>
        <v/>
      </c>
      <c r="D22" s="24">
        <f>'balance_raw_32441483'!$D$38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'balance_raw_32441483'!$F$58-'balance_raw_32441483'!$F$38</f>
        <v/>
      </c>
      <c r="C23" s="24">
        <f>'balance_raw_32441483'!$E$58-'balance_raw_32441483'!$E$38</f>
        <v/>
      </c>
      <c r="D23" s="24">
        <f>'balance_raw_32441483'!$D$58-'balance_raw_32441483'!$D$38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'balance_raw_32441483'!$F$19</f>
        <v/>
      </c>
      <c r="C27" s="24">
        <f>'balance_raw_32441483'!$E$19</f>
        <v/>
      </c>
      <c r="D27" s="24">
        <f>'balance_raw_32441483'!$D$19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'balance_raw_32441483'!$F$20</f>
        <v/>
      </c>
      <c r="C28" s="24">
        <f>'balance_raw_32441483'!$E$20</f>
        <v/>
      </c>
      <c r="D28" s="24">
        <f>'balance_raw_32441483'!$D$20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'balance_raw_32441483'!$F$56</f>
        <v/>
      </c>
      <c r="C29" s="24">
        <f>'balance_raw_32441483'!$E$56</f>
        <v/>
      </c>
      <c r="D29" s="24">
        <f>'balance_raw_32441483'!$D$56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 (af bruttofortjeneste), %</t>
        </is>
      </c>
      <c r="B33" s="30">
        <f>IFERROR((B12+B13)/B7*100,"")</f>
        <v/>
      </c>
      <c r="C33" s="30">
        <f>IFERROR((C12+C13)/C7*100,"")</f>
        <v/>
      </c>
      <c r="D33" s="30">
        <f>IFERROR((D12+D13)/D7*100,"")</f>
        <v/>
      </c>
      <c r="F33" s="29" t="n"/>
    </row>
    <row r="34">
      <c r="A34" s="23" t="inlineStr">
        <is>
          <t>Aktivernes omsætningshastighed (af bruttofortjeneste), gange</t>
        </is>
      </c>
      <c r="B34" s="30">
        <f>IFERROR(B7/B20,"")</f>
        <v/>
      </c>
      <c r="C34" s="30">
        <f>IFERROR(C7/C20,"")</f>
        <v/>
      </c>
      <c r="D34" s="30">
        <f>IFERROR(D7/D20,"")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Bruttofortjeneste</t>
        </is>
      </c>
      <c r="B40" s="31">
        <f>IFERROR(B7/$D7*100,"")</f>
        <v/>
      </c>
      <c r="C40" s="31">
        <f>IFERROR(C7/$D7*100,"")</f>
        <v/>
      </c>
      <c r="D40" s="31">
        <f>IFERROR(D7/$D7*100,"")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Bruttofortjeneste</t>
        </is>
      </c>
      <c r="B47" s="31">
        <f>IFERROR(B7*100/$D7,"")</f>
        <v/>
      </c>
      <c r="C47" s="31">
        <f>IFERROR(C7*100/$D7,"")</f>
        <v/>
      </c>
      <c r="D47" s="31">
        <f>IFERROR(D7*100/$D7,"")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IF('balance_raw_32441483'!$F$31="","—",IF(ABS(B20-'balance_raw_32441483'!$F$31)&lt;=1,"✓ OK","❌ "&amp;TEXT(B20-'balance_raw_32441483'!$F$31,"+#,##0;-#,##0")&amp;" t.kr."))</f>
        <v/>
      </c>
      <c r="C60" s="29">
        <f>IF('balance_raw_32441483'!$E$31="","—",IF(ABS(C20-'balance_raw_32441483'!$E$31)&lt;=1,"✓ OK","❌ "&amp;TEXT(C20-'balance_raw_32441483'!$E$31,"+#,##0;-#,##0")&amp;" t.kr."))</f>
        <v/>
      </c>
      <c r="D60" s="29">
        <f>IF('balance_raw_32441483'!$D$31="","—",IF(ABS(D20-'balance_raw_32441483'!$D$31)&lt;=1,"✓ OK","❌ "&amp;TEXT(D20-'balance_raw_32441483'!$D$31,"+#,##0;-#,##0")&amp;"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IF('balance_raw_32441483'!$F$58="","—",IF(ABS(B24-'balance_raw_32441483'!$F$58)&lt;=1,"✓ OK","❌ "&amp;TEXT(B24-'balance_raw_32441483'!$F$58,"+#,##0;-#,##0")&amp;" t.kr."))</f>
        <v/>
      </c>
      <c r="C61" s="29">
        <f>IF('balance_raw_32441483'!$E$58="","—",IF(ABS(C24-'balance_raw_32441483'!$E$58)&lt;=1,"✓ OK","❌ "&amp;TEXT(C24-'balance_raw_32441483'!$E$58,"+#,##0;-#,##0")&amp;" t.kr."))</f>
        <v/>
      </c>
      <c r="D61" s="29">
        <f>IF('balance_raw_32441483'!$D$58="","—",IF(ABS(D24-'balance_raw_32441483'!$D$58)&lt;=1,"✓ OK","❌ "&amp;TEXT(D24-'balance_raw_32441483'!$D$58,"+#,##0;-#,##0")&amp;"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IF('res_raw_32441483'!$F$4="","—",IF(ABS(B7-'res_raw_32441483'!$F$4)&lt;=1,"✓ OK","❌ "&amp;TEXT(B7-'res_raw_32441483'!$F$4,"+#,##0;-#,##0")&amp;" t.kr."))</f>
        <v/>
      </c>
      <c r="C63" s="29">
        <f>IF('res_raw_32441483'!$E$4="","—",IF(ABS(C7-'res_raw_32441483'!$E$4)&lt;=1,"✓ OK","❌ "&amp;TEXT(C7-'res_raw_32441483'!$E$4,"+#,##0;-#,##0")&amp;" t.kr."))</f>
        <v/>
      </c>
      <c r="D63" s="29">
        <f>IF('res_raw_32441483'!$D$4="","—",IF(ABS(D7-'res_raw_32441483'!$D$4)&lt;=1,"✓ OK","❌ "&amp;TEXT(D7-'res_raw_32441483'!$D$4,"+#,##0;-#,##0")&amp;"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IF('res_raw_32441483'!$F$9="","—",IF(ABS(B12-'res_raw_32441483'!$F$9)&lt;=1,"✓ OK","❌ "&amp;TEXT(B12-'res_raw_32441483'!$F$9,"+#,##0;-#,##0")&amp;" t.kr."))</f>
        <v/>
      </c>
      <c r="C64" s="29">
        <f>IF('res_raw_32441483'!$E$9="","—",IF(ABS(C12-'res_raw_32441483'!$E$9)&lt;=1,"✓ OK","❌ "&amp;TEXT(C12-'res_raw_32441483'!$E$9,"+#,##0;-#,##0")&amp;" t.kr."))</f>
        <v/>
      </c>
      <c r="D64" s="29">
        <f>IF('res_raw_32441483'!$D$9="","—",IF(ABS(D12-'res_raw_32441483'!$D$9)&lt;=1,"✓ OK","❌ "&amp;TEXT(D12-'res_raw_32441483'!$D$9,"+#,##0;-#,##0")&amp;"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IF('res_raw_32441483'!$F$14="","—",IF(ABS(B15-'res_raw_32441483'!$F$14)&lt;=1,"✓ OK","❌ "&amp;TEXT(B15-'res_raw_32441483'!$F$14,"+#,##0;-#,##0")&amp;" t.kr."))</f>
        <v/>
      </c>
      <c r="C65" s="29">
        <f>IF('res_raw_32441483'!$E$14="","—",IF(ABS(C15-'res_raw_32441483'!$E$14)&lt;=1,"✓ OK","❌ "&amp;TEXT(C15-'res_raw_32441483'!$E$14,"+#,##0;-#,##0")&amp;" t.kr."))</f>
        <v/>
      </c>
      <c r="D65" s="29">
        <f>IF('res_raw_32441483'!$D$14="","—",IF(ABS(D15-'res_raw_32441483'!$D$14)&lt;=1,"✓ OK","❌ "&amp;TEXT(D15-'res_raw_32441483'!$D$14,"+#,##0;-#,##0")&amp;"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Hatting A/S (CVR 32441483)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fsa:ReserveForCurrentValueAdjustmentsOfCurrencyGains</t>
        </is>
      </c>
      <c r="C3" s="34" t="inlineStr">
        <is>
          <t>fsa:ReserveForCurrentValueAdjustmentsOfCurrencyGains</t>
        </is>
      </c>
      <c r="D3" s="35" t="n"/>
      <c r="E3" s="35" t="n"/>
      <c r="F3" s="35" t="n">
        <v>0</v>
      </c>
      <c r="G3" s="35" t="n">
        <v>-3</v>
      </c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2026-09-27T21:18:09Z</dcterms:created>
  <dcterms:modified xmlns:dcterms="http://purl.org/dc/terms/" xmlns:xsi="http://www.w3.org/2001/XMLSchema-instance" xsi:type="dcterms:W3CDTF">2026-09-27T21:18:10Z</dcterms:modified>
</cp:coreProperties>
</file>