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huskom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'res_raw'!$B$5</f>
        <v/>
      </c>
      <c r="C7" s="11">
        <f>'res_raw'!$C$5</f>
        <v/>
      </c>
      <c r="D7" s="11">
        <f>'res_raw'!$D$5</f>
        <v/>
      </c>
      <c r="E7" s="11">
        <f>'res_raw'!$E$5</f>
        <v/>
      </c>
      <c r="F7" s="11">
        <f>'res_raw'!$F$5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'res_raw'!$B$9</f>
        <v/>
      </c>
      <c r="C11" s="11">
        <f>'res_raw'!$C$9</f>
        <v/>
      </c>
      <c r="D11" s="11">
        <f>'res_raw'!$D$9</f>
        <v/>
      </c>
      <c r="E11" s="11">
        <f>'res_raw'!$E$9</f>
        <v/>
      </c>
      <c r="F11" s="11">
        <f>'res_raw'!$F$9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4" t="inlineStr">
        <is>
          <t>Personaleomkostninger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Af- og nedskrivninger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7" t="inlineStr">
        <is>
          <t>Resultat af primær drift</t>
        </is>
      </c>
      <c r="B14" s="8">
        <f>'res_raw'!$B$12</f>
        <v/>
      </c>
      <c r="C14" s="8">
        <f>'res_raw'!$C$12</f>
        <v/>
      </c>
      <c r="D14" s="8">
        <f>'res_raw'!$D$12</f>
        <v/>
      </c>
      <c r="E14" s="8">
        <f>'res_raw'!$E$12</f>
        <v/>
      </c>
      <c r="F14" s="8">
        <f>'res_raw'!$F$12</f>
        <v/>
      </c>
      <c r="G14" t="inlineStr"/>
      <c r="H14" s="9">
        <f>IFERROR(B14/$B$14*100,"")</f>
        <v/>
      </c>
      <c r="I14" s="9">
        <f>IFERROR(C14/$B$14*100,"")</f>
        <v/>
      </c>
      <c r="J14" s="9">
        <f>IFERROR(D14/$B$14*100,"")</f>
        <v/>
      </c>
      <c r="K14" s="9">
        <f>IFERROR(E14/$B$14*100,"")</f>
        <v/>
      </c>
      <c r="L14" s="9">
        <f>IFERROR(F14/$B$14*100,"")</f>
        <v/>
      </c>
    </row>
    <row r="15" ht="16" customHeight="1">
      <c r="A15" s="10" t="inlineStr">
        <is>
          <t>Indtægter af kapitalandele, dattervirksomheder</t>
        </is>
      </c>
      <c r="B15" s="11">
        <f>'res_raw'!$B$13</f>
        <v/>
      </c>
      <c r="C15" s="11">
        <f>'res_raw'!$C$13</f>
        <v/>
      </c>
      <c r="D15" s="11">
        <f>'res_raw'!$D$13</f>
        <v/>
      </c>
      <c r="E15" s="11">
        <f>'res_raw'!$E$13</f>
        <v/>
      </c>
      <c r="F15" s="11">
        <f>'res_raw'!$F$13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4" t="inlineStr">
        <is>
          <t>Finansielle indtægter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omkostninger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Finansielle poster, netto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19" ht="16" customHeight="1">
      <c r="A19" s="7" t="inlineStr">
        <is>
          <t>Resultat før skat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4" t="inlineStr">
        <is>
          <t>Skat af årets resultat</t>
        </is>
      </c>
      <c r="B20" s="5">
        <f>'res_raw'!$B$18</f>
        <v/>
      </c>
      <c r="C20" s="5">
        <f>'res_raw'!$C$18</f>
        <v/>
      </c>
      <c r="D20" s="5">
        <f>'res_raw'!$D$18</f>
        <v/>
      </c>
      <c r="E20" s="5">
        <f>'res_raw'!$E$18</f>
        <v/>
      </c>
      <c r="F20" s="5">
        <f>'res_raw'!$F$18</f>
        <v/>
      </c>
      <c r="G20" t="inlineStr"/>
      <c r="H20" s="6">
        <f>IFERROR(B20/$B$20*100,"")</f>
        <v/>
      </c>
      <c r="I20" s="6">
        <f>IFERROR(C20/$B$20*100,"")</f>
        <v/>
      </c>
      <c r="J20" s="6">
        <f>IFERROR(D20/$B$20*100,"")</f>
        <v/>
      </c>
      <c r="K20" s="6">
        <f>IFERROR(E20/$B$20*100,"")</f>
        <v/>
      </c>
      <c r="L20" s="6">
        <f>IFERROR(F20/$B$20*100,"")</f>
        <v/>
      </c>
    </row>
    <row r="21" ht="16" customHeight="1">
      <c r="A21" s="7" t="inlineStr">
        <is>
          <t>Årets resultat</t>
        </is>
      </c>
      <c r="B21" s="8">
        <f>'res_raw'!$B$19</f>
        <v/>
      </c>
      <c r="C21" s="8">
        <f>'res_raw'!$C$19</f>
        <v/>
      </c>
      <c r="D21" s="8">
        <f>'res_raw'!$D$19</f>
        <v/>
      </c>
      <c r="E21" s="8">
        <f>'res_raw'!$E$19</f>
        <v/>
      </c>
      <c r="F21" s="8">
        <f>'res_raw'!$F$19</f>
        <v/>
      </c>
      <c r="G21" t="inlineStr"/>
      <c r="H21" s="9">
        <f>IFERROR(B21/$B$21*100,"")</f>
        <v/>
      </c>
      <c r="I21" s="9">
        <f>IFERROR(C21/$B$21*100,"")</f>
        <v/>
      </c>
      <c r="J21" s="9">
        <f>IFERROR(D21/$B$21*100,"")</f>
        <v/>
      </c>
      <c r="K21" s="9">
        <f>IFERROR(E21/$B$21*100,"")</f>
        <v/>
      </c>
      <c r="L21" s="9">
        <f>IFERROR(F21/$B$21*100,"")</f>
        <v/>
      </c>
    </row>
    <row r="23" ht="22" customHeight="1">
      <c r="A23" s="3" t="inlineStr">
        <is>
          <t>AKTIVER t.kr.</t>
        </is>
      </c>
      <c r="B23" s="3" t="n">
        <v>2021</v>
      </c>
      <c r="C23" s="3" t="n">
        <v>2022</v>
      </c>
      <c r="D23" s="3" t="n">
        <v>2023</v>
      </c>
      <c r="E23" s="3" t="n">
        <v>2024</v>
      </c>
      <c r="F23" s="3" t="n">
        <v>2025</v>
      </c>
      <c r="G23" t="inlineStr"/>
      <c r="H23" s="3" t="n">
        <v>2021</v>
      </c>
      <c r="I23" s="3" t="n">
        <v>2022</v>
      </c>
      <c r="J23" s="3" t="n">
        <v>2023</v>
      </c>
      <c r="K23" s="3" t="n">
        <v>2024</v>
      </c>
      <c r="L23" s="3" t="n">
        <v>2025</v>
      </c>
    </row>
    <row r="24" ht="16" customHeight="1">
      <c r="A24" s="4" t="inlineStr">
        <is>
          <t>Udviklingsprojekter</t>
        </is>
      </c>
      <c r="B24" s="5">
        <f>'balance_raw'!$B$2</f>
        <v/>
      </c>
      <c r="C24" s="5">
        <f>'balance_raw'!$C$2</f>
        <v/>
      </c>
      <c r="D24" s="5">
        <f>'balance_raw'!$D$2</f>
        <v/>
      </c>
      <c r="E24" s="5">
        <f>'balance_raw'!$E$2</f>
        <v/>
      </c>
      <c r="F24" s="5">
        <f>'balance_raw'!$F$2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Patenter, varemærker mv.</t>
        </is>
      </c>
      <c r="B25" s="11">
        <f>'balance_raw'!$B$3</f>
        <v/>
      </c>
      <c r="C25" s="11">
        <f>'balance_raw'!$C$3</f>
        <v/>
      </c>
      <c r="D25" s="11">
        <f>'balance_raw'!$D$3</f>
        <v/>
      </c>
      <c r="E25" s="11">
        <f>'balance_raw'!$E$3</f>
        <v/>
      </c>
      <c r="F25" s="11">
        <f>'balance_raw'!$F$3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Goodwill</t>
        </is>
      </c>
      <c r="B26" s="5">
        <f>'balance_raw'!$B$4</f>
        <v/>
      </c>
      <c r="C26" s="5">
        <f>'balance_raw'!$C$4</f>
        <v/>
      </c>
      <c r="D26" s="5">
        <f>'balance_raw'!$D$4</f>
        <v/>
      </c>
      <c r="E26" s="5">
        <f>'balance_raw'!$E$4</f>
        <v/>
      </c>
      <c r="F26" s="5">
        <f>'balance_raw'!$F$4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Immaterielle anlægsaktiver</t>
        </is>
      </c>
      <c r="B27" s="8">
        <f>'balance_raw'!$B$5</f>
        <v/>
      </c>
      <c r="C27" s="8">
        <f>'balance_raw'!$C$5</f>
        <v/>
      </c>
      <c r="D27" s="8">
        <f>'balance_raw'!$D$5</f>
        <v/>
      </c>
      <c r="E27" s="8">
        <f>'balance_raw'!$E$5</f>
        <v/>
      </c>
      <c r="F27" s="8">
        <f>'balance_raw'!$F$5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7" t="inlineStr">
        <is>
          <t>Materielle anlægsaktiver</t>
        </is>
      </c>
      <c r="B28" s="8">
        <f>'balance_raw'!$B$6</f>
        <v/>
      </c>
      <c r="C28" s="8">
        <f>'balance_raw'!$C$6</f>
        <v/>
      </c>
      <c r="D28" s="8">
        <f>'balance_raw'!$D$6</f>
        <v/>
      </c>
      <c r="E28" s="8">
        <f>'balance_raw'!$E$6</f>
        <v/>
      </c>
      <c r="F28" s="8">
        <f>'balance_raw'!$F$6</f>
        <v/>
      </c>
      <c r="G28" t="inlineStr"/>
      <c r="H28" s="9">
        <f>IFERROR(B28/$B$28*100,"")</f>
        <v/>
      </c>
      <c r="I28" s="9">
        <f>IFERROR(C28/$B$28*100,"")</f>
        <v/>
      </c>
      <c r="J28" s="9">
        <f>IFERROR(D28/$B$28*100,"")</f>
        <v/>
      </c>
      <c r="K28" s="9">
        <f>IFERROR(E28/$B$28*100,"")</f>
        <v/>
      </c>
      <c r="L28" s="9">
        <f>IFERROR(F28/$B$28*100,"")</f>
        <v/>
      </c>
    </row>
    <row r="29" ht="16" customHeight="1">
      <c r="A29" s="10" t="inlineStr">
        <is>
          <t>Kapitalandele, dattervirksomheder</t>
        </is>
      </c>
      <c r="B29" s="11">
        <f>'balance_raw'!$B$7</f>
        <v/>
      </c>
      <c r="C29" s="11">
        <f>'balance_raw'!$C$7</f>
        <v/>
      </c>
      <c r="D29" s="11">
        <f>'balance_raw'!$D$7</f>
        <v/>
      </c>
      <c r="E29" s="11">
        <f>'balance_raw'!$E$7</f>
        <v/>
      </c>
      <c r="F29" s="11">
        <f>'balance_raw'!$F$7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Deposita</t>
        </is>
      </c>
      <c r="B30" s="5">
        <f>'balance_raw'!$B$8</f>
        <v/>
      </c>
      <c r="C30" s="5">
        <f>'balance_raw'!$C$8</f>
        <v/>
      </c>
      <c r="D30" s="5">
        <f>'balance_raw'!$D$8</f>
        <v/>
      </c>
      <c r="E30" s="5">
        <f>'balance_raw'!$E$8</f>
        <v/>
      </c>
      <c r="F30" s="5">
        <f>'balance_raw'!$F$8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Finansielle anlægsaktiver</t>
        </is>
      </c>
      <c r="B31" s="8">
        <f>'balance_raw'!$B$9</f>
        <v/>
      </c>
      <c r="C31" s="8">
        <f>'balance_raw'!$C$9</f>
        <v/>
      </c>
      <c r="D31" s="8">
        <f>'balance_raw'!$D$9</f>
        <v/>
      </c>
      <c r="E31" s="8">
        <f>'balance_raw'!$E$9</f>
        <v/>
      </c>
      <c r="F31" s="8">
        <f>'balance_raw'!$F$9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7" t="inlineStr">
        <is>
          <t>Anlægsaktiver</t>
        </is>
      </c>
      <c r="B32" s="8">
        <f>'balance_raw'!$B$10</f>
        <v/>
      </c>
      <c r="C32" s="8">
        <f>'balance_raw'!$C$10</f>
        <v/>
      </c>
      <c r="D32" s="8">
        <f>'balance_raw'!$D$10</f>
        <v/>
      </c>
      <c r="E32" s="8">
        <f>'balance_raw'!$E$10</f>
        <v/>
      </c>
      <c r="F32" s="8">
        <f>'balance_raw'!$F$10</f>
        <v/>
      </c>
      <c r="G32" t="inlineStr"/>
      <c r="H32" s="9">
        <f>IFERROR(B32/$B$32*100,"")</f>
        <v/>
      </c>
      <c r="I32" s="9">
        <f>IFERROR(C32/$B$32*100,"")</f>
        <v/>
      </c>
      <c r="J32" s="9">
        <f>IFERROR(D32/$B$32*100,"")</f>
        <v/>
      </c>
      <c r="K32" s="9">
        <f>IFERROR(E32/$B$32*100,"")</f>
        <v/>
      </c>
      <c r="L32" s="9">
        <f>IFERROR(F32/$B$32*100,"")</f>
        <v/>
      </c>
    </row>
    <row r="33" ht="16" customHeight="1">
      <c r="A33" s="7" t="inlineStr">
        <is>
          <t>Varebeholdninger</t>
        </is>
      </c>
      <c r="B33" s="8">
        <f>'balance_raw'!$B$11</f>
        <v/>
      </c>
      <c r="C33" s="8">
        <f>'balance_raw'!$C$11</f>
        <v/>
      </c>
      <c r="D33" s="8">
        <f>'balance_raw'!$D$11</f>
        <v/>
      </c>
      <c r="E33" s="8">
        <f>'balance_raw'!$E$11</f>
        <v/>
      </c>
      <c r="F33" s="8">
        <f>'balance_raw'!$F$11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fra salg og tjenesteydelser</t>
        </is>
      </c>
      <c r="B34" s="5">
        <f>'balance_raw'!$B$12</f>
        <v/>
      </c>
      <c r="C34" s="5">
        <f>'balance_raw'!$C$12</f>
        <v/>
      </c>
      <c r="D34" s="5">
        <f>'balance_raw'!$D$12</f>
        <v/>
      </c>
      <c r="E34" s="5">
        <f>'balance_raw'!$E$12</f>
        <v/>
      </c>
      <c r="F34" s="5">
        <f>'balance_raw'!$F$12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Tilgodehavender hos tilknyttede virksomheder</t>
        </is>
      </c>
      <c r="B35" s="11">
        <f>'balance_raw'!$B$13</f>
        <v/>
      </c>
      <c r="C35" s="11">
        <f>'balance_raw'!$C$13</f>
        <v/>
      </c>
      <c r="D35" s="11">
        <f>'balance_raw'!$D$13</f>
        <v/>
      </c>
      <c r="E35" s="11">
        <f>'balance_raw'!$E$13</f>
        <v/>
      </c>
      <c r="F35" s="11">
        <f>'balance_raw'!$F$13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Andre tilgodehavender</t>
        </is>
      </c>
      <c r="B36" s="5">
        <f>'balance_raw'!$B$14</f>
        <v/>
      </c>
      <c r="C36" s="5">
        <f>'balance_raw'!$C$14</f>
        <v/>
      </c>
      <c r="D36" s="5">
        <f>'balance_raw'!$D$14</f>
        <v/>
      </c>
      <c r="E36" s="5">
        <f>'balance_raw'!$E$14</f>
        <v/>
      </c>
      <c r="F36" s="5">
        <f>'balance_raw'!$F$14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Periodeafgrænsningsposter (aktiver)</t>
        </is>
      </c>
      <c r="B37" s="11">
        <f>'balance_raw'!$B$15</f>
        <v/>
      </c>
      <c r="C37" s="11">
        <f>'balance_raw'!$C$15</f>
        <v/>
      </c>
      <c r="D37" s="11">
        <f>'balance_raw'!$D$15</f>
        <v/>
      </c>
      <c r="E37" s="11">
        <f>'balance_raw'!$E$15</f>
        <v/>
      </c>
      <c r="F37" s="11">
        <f>'balance_raw'!$F$15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Udskudt skatteaktiv</t>
        </is>
      </c>
      <c r="B38" s="5">
        <f>'balance_raw'!$B$16</f>
        <v/>
      </c>
      <c r="C38" s="5">
        <f>'balance_raw'!$C$16</f>
        <v/>
      </c>
      <c r="D38" s="5">
        <f>'balance_raw'!$D$16</f>
        <v/>
      </c>
      <c r="E38" s="5">
        <f>'balance_raw'!$E$16</f>
        <v/>
      </c>
      <c r="F38" s="5">
        <f>'balance_raw'!$F$16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Tilgodehavende skat hos tilknyttede virksomheder</t>
        </is>
      </c>
      <c r="B39" s="11">
        <f>'balance_raw'!$B$17</f>
        <v/>
      </c>
      <c r="C39" s="11">
        <f>'balance_raw'!$C$17</f>
        <v/>
      </c>
      <c r="D39" s="11">
        <f>'balance_raw'!$D$17</f>
        <v/>
      </c>
      <c r="E39" s="11">
        <f>'balance_raw'!$E$17</f>
        <v/>
      </c>
      <c r="F39" s="11">
        <f>'balance_raw'!$F$17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Kortfristede skattetilgodehavender</t>
        </is>
      </c>
      <c r="B40" s="5">
        <f>'balance_raw'!$B$18</f>
        <v/>
      </c>
      <c r="C40" s="5">
        <f>'balance_raw'!$C$18</f>
        <v/>
      </c>
      <c r="D40" s="5">
        <f>'balance_raw'!$D$18</f>
        <v/>
      </c>
      <c r="E40" s="5">
        <f>'balance_raw'!$E$18</f>
        <v/>
      </c>
      <c r="F40" s="5">
        <f>'balance_raw'!$F$18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Tilgodehavender</t>
        </is>
      </c>
      <c r="B41" s="8">
        <f>'balance_raw'!$B$19</f>
        <v/>
      </c>
      <c r="C41" s="8">
        <f>'balance_raw'!$C$19</f>
        <v/>
      </c>
      <c r="D41" s="8">
        <f>'balance_raw'!$D$19</f>
        <v/>
      </c>
      <c r="E41" s="8">
        <f>'balance_raw'!$E$19</f>
        <v/>
      </c>
      <c r="F41" s="8">
        <f>'balance_raw'!$F$19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Værdipapirer</t>
        </is>
      </c>
      <c r="B42" s="5">
        <f>'balance_raw'!$B$20</f>
        <v/>
      </c>
      <c r="C42" s="5">
        <f>'balance_raw'!$C$20</f>
        <v/>
      </c>
      <c r="D42" s="5">
        <f>'balance_raw'!$D$20</f>
        <v/>
      </c>
      <c r="E42" s="5">
        <f>'balance_raw'!$E$20</f>
        <v/>
      </c>
      <c r="F42" s="5">
        <f>'balance_raw'!$F$20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Likvide beholdninger</t>
        </is>
      </c>
      <c r="B43" s="11">
        <f>'balance_raw'!$B$21</f>
        <v/>
      </c>
      <c r="C43" s="11">
        <f>'balance_raw'!$C$21</f>
        <v/>
      </c>
      <c r="D43" s="11">
        <f>'balance_raw'!$D$21</f>
        <v/>
      </c>
      <c r="E43" s="11">
        <f>'balance_raw'!$E$21</f>
        <v/>
      </c>
      <c r="F43" s="11">
        <f>'balance_raw'!$F$21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7" t="inlineStr">
        <is>
          <t>Omsætningsaktiver</t>
        </is>
      </c>
      <c r="B44" s="8">
        <f>'balance_raw'!$B$22</f>
        <v/>
      </c>
      <c r="C44" s="8">
        <f>'balance_raw'!$C$22</f>
        <v/>
      </c>
      <c r="D44" s="8">
        <f>'balance_raw'!$D$22</f>
        <v/>
      </c>
      <c r="E44" s="8">
        <f>'balance_raw'!$E$22</f>
        <v/>
      </c>
      <c r="F44" s="8">
        <f>'balance_raw'!$F$22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5" ht="16" customHeight="1">
      <c r="A45" s="7" t="inlineStr">
        <is>
          <t>Aktiver</t>
        </is>
      </c>
      <c r="B45" s="8">
        <f>'balance_raw'!$B$23</f>
        <v/>
      </c>
      <c r="C45" s="8">
        <f>'balance_raw'!$C$23</f>
        <v/>
      </c>
      <c r="D45" s="8">
        <f>'balance_raw'!$D$23</f>
        <v/>
      </c>
      <c r="E45" s="8">
        <f>'balance_raw'!$E$23</f>
        <v/>
      </c>
      <c r="F45" s="8">
        <f>'balance_raw'!$F$23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7" ht="22" customHeight="1">
      <c r="A47" s="3" t="inlineStr">
        <is>
          <t>PASSIVER t.kr.</t>
        </is>
      </c>
      <c r="B47" s="3" t="n">
        <v>2021</v>
      </c>
      <c r="C47" s="3" t="n">
        <v>2022</v>
      </c>
      <c r="D47" s="3" t="n">
        <v>2023</v>
      </c>
      <c r="E47" s="3" t="n">
        <v>2024</v>
      </c>
      <c r="F47" s="3" t="n">
        <v>2025</v>
      </c>
      <c r="G47" t="inlineStr"/>
      <c r="H47" s="3" t="n">
        <v>2021</v>
      </c>
      <c r="I47" s="3" t="n">
        <v>2022</v>
      </c>
      <c r="J47" s="3" t="n">
        <v>2023</v>
      </c>
      <c r="K47" s="3" t="n">
        <v>2024</v>
      </c>
      <c r="L47" s="3" t="n">
        <v>2025</v>
      </c>
    </row>
    <row r="48" ht="16" customHeight="1">
      <c r="A48" s="4" t="inlineStr">
        <is>
          <t>Selskabskapital</t>
        </is>
      </c>
      <c r="B48" s="5">
        <f>'balance_raw'!$B$24</f>
        <v/>
      </c>
      <c r="C48" s="5">
        <f>'balance_raw'!$C$24</f>
        <v/>
      </c>
      <c r="D48" s="5">
        <f>'balance_raw'!$D$24</f>
        <v/>
      </c>
      <c r="E48" s="5">
        <f>'balance_raw'!$E$24</f>
        <v/>
      </c>
      <c r="F48" s="5">
        <f>'balance_raw'!$F$24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nettoopskrivning (indre værdis metode)</t>
        </is>
      </c>
      <c r="B49" s="11">
        <f>'balance_raw'!$B$25</f>
        <v/>
      </c>
      <c r="C49" s="11">
        <f>'balance_raw'!$C$25</f>
        <v/>
      </c>
      <c r="D49" s="11">
        <f>'balance_raw'!$D$25</f>
        <v/>
      </c>
      <c r="E49" s="11">
        <f>'balance_raw'!$E$25</f>
        <v/>
      </c>
      <c r="F49" s="11">
        <f>'balance_raw'!$F$25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udviklingsomkostninger</t>
        </is>
      </c>
      <c r="B50" s="5">
        <f>'balance_raw'!$B$26</f>
        <v/>
      </c>
      <c r="C50" s="5">
        <f>'balance_raw'!$C$26</f>
        <v/>
      </c>
      <c r="D50" s="5">
        <f>'balance_raw'!$D$26</f>
        <v/>
      </c>
      <c r="E50" s="5">
        <f>'balance_raw'!$E$26</f>
        <v/>
      </c>
      <c r="F50" s="5">
        <f>'balance_raw'!$F$26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sikringstransaktioner</t>
        </is>
      </c>
      <c r="B51" s="11">
        <f>'balance_raw'!$B$27</f>
        <v/>
      </c>
      <c r="C51" s="11">
        <f>'balance_raw'!$C$27</f>
        <v/>
      </c>
      <c r="D51" s="11">
        <f>'balance_raw'!$D$27</f>
        <v/>
      </c>
      <c r="E51" s="11">
        <f>'balance_raw'!$E$27</f>
        <v/>
      </c>
      <c r="F51" s="11">
        <f>'balance_raw'!$F$27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Andre reserver</t>
        </is>
      </c>
      <c r="B52" s="5">
        <f>'balance_raw'!$B$28</f>
        <v/>
      </c>
      <c r="C52" s="5">
        <f>'balance_raw'!$C$28</f>
        <v/>
      </c>
      <c r="D52" s="5">
        <f>'balance_raw'!$D$28</f>
        <v/>
      </c>
      <c r="E52" s="5">
        <f>'balance_raw'!$E$28</f>
        <v/>
      </c>
      <c r="F52" s="5">
        <f>'balance_raw'!$F$28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Overført resultat</t>
        </is>
      </c>
      <c r="B53" s="11">
        <f>'balance_raw'!$B$29</f>
        <v/>
      </c>
      <c r="C53" s="11">
        <f>'balance_raw'!$C$29</f>
        <v/>
      </c>
      <c r="D53" s="11">
        <f>'balance_raw'!$D$29</f>
        <v/>
      </c>
      <c r="E53" s="11">
        <f>'balance_raw'!$E$29</f>
        <v/>
      </c>
      <c r="F53" s="11">
        <f>'balance_raw'!$F$29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7" t="inlineStr">
        <is>
          <t>Egenkapital i alt</t>
        </is>
      </c>
      <c r="B54" s="8">
        <f>'balance_raw'!$B$30</f>
        <v/>
      </c>
      <c r="C54" s="8">
        <f>'balance_raw'!$C$30</f>
        <v/>
      </c>
      <c r="D54" s="8">
        <f>'balance_raw'!$D$30</f>
        <v/>
      </c>
      <c r="E54" s="8">
        <f>'balance_raw'!$E$30</f>
        <v/>
      </c>
      <c r="F54" s="8">
        <f>'balance_raw'!$F$30</f>
        <v/>
      </c>
      <c r="G54" t="inlineStr"/>
      <c r="H54" s="9">
        <f>IFERROR(B54/$B$54*100,"")</f>
        <v/>
      </c>
      <c r="I54" s="9">
        <f>IFERROR(C54/$B$54*100,"")</f>
        <v/>
      </c>
      <c r="J54" s="9">
        <f>IFERROR(D54/$B$54*100,"")</f>
        <v/>
      </c>
      <c r="K54" s="9">
        <f>IFERROR(E54/$B$54*100,"")</f>
        <v/>
      </c>
      <c r="L54" s="9">
        <f>IFERROR(F54/$B$54*100,"")</f>
        <v/>
      </c>
    </row>
    <row r="55" ht="16" customHeight="1">
      <c r="A55" s="10" t="inlineStr">
        <is>
          <t>Hensættelse til udskudt skat</t>
        </is>
      </c>
      <c r="B55" s="11">
        <f>'balance_raw'!$B$31</f>
        <v/>
      </c>
      <c r="C55" s="11">
        <f>'balance_raw'!$C$31</f>
        <v/>
      </c>
      <c r="D55" s="11">
        <f>'balance_raw'!$D$31</f>
        <v/>
      </c>
      <c r="E55" s="11">
        <f>'balance_raw'!$E$31</f>
        <v/>
      </c>
      <c r="F55" s="11">
        <f>'balance_raw'!$F$31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Hensatte forpligtelser</t>
        </is>
      </c>
      <c r="B56" s="8">
        <f>'balance_raw'!$B$32</f>
        <v/>
      </c>
      <c r="C56" s="8">
        <f>'balance_raw'!$C$32</f>
        <v/>
      </c>
      <c r="D56" s="8">
        <f>'balance_raw'!$D$32</f>
        <v/>
      </c>
      <c r="E56" s="8">
        <f>'balance_raw'!$E$32</f>
        <v/>
      </c>
      <c r="F56" s="8">
        <f>'balance_raw'!$F$32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Ansvarlig lånekapital (langfristet)</t>
        </is>
      </c>
      <c r="B57" s="11">
        <f>'balance_raw'!$B$33</f>
        <v/>
      </c>
      <c r="C57" s="11">
        <f>'balance_raw'!$C$33</f>
        <v/>
      </c>
      <c r="D57" s="11">
        <f>'balance_raw'!$D$33</f>
        <v/>
      </c>
      <c r="E57" s="11">
        <f>'balance_raw'!$E$33</f>
        <v/>
      </c>
      <c r="F57" s="11">
        <f>'balance_raw'!$F$33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Langfristede lån</t>
        </is>
      </c>
      <c r="B58" s="5">
        <f>'balance_raw'!$B$34</f>
        <v/>
      </c>
      <c r="C58" s="5">
        <f>'balance_raw'!$C$34</f>
        <v/>
      </c>
      <c r="D58" s="5">
        <f>'balance_raw'!$D$34</f>
        <v/>
      </c>
      <c r="E58" s="5">
        <f>'balance_raw'!$E$34</f>
        <v/>
      </c>
      <c r="F58" s="5">
        <f>'balance_raw'!$F$34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Leasingforpligtelser (langfristet)</t>
        </is>
      </c>
      <c r="B59" s="11">
        <f>'balance_raw'!$B$35</f>
        <v/>
      </c>
      <c r="C59" s="11">
        <f>'balance_raw'!$C$35</f>
        <v/>
      </c>
      <c r="D59" s="11">
        <f>'balance_raw'!$D$35</f>
        <v/>
      </c>
      <c r="E59" s="11">
        <f>'balance_raw'!$E$35</f>
        <v/>
      </c>
      <c r="F59" s="11">
        <f>'balance_raw'!$F$35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Anden gæld (langfristet)</t>
        </is>
      </c>
      <c r="B60" s="5">
        <f>'balance_raw'!$B$36</f>
        <v/>
      </c>
      <c r="C60" s="5">
        <f>'balance_raw'!$C$36</f>
        <v/>
      </c>
      <c r="D60" s="5">
        <f>'balance_raw'!$D$36</f>
        <v/>
      </c>
      <c r="E60" s="5">
        <f>'balance_raw'!$E$36</f>
        <v/>
      </c>
      <c r="F60" s="5">
        <f>'balance_raw'!$F$36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gældsforpligtelser</t>
        </is>
      </c>
      <c r="B61" s="8">
        <f>'balance_raw'!$B$37</f>
        <v/>
      </c>
      <c r="C61" s="8">
        <f>'balance_raw'!$C$37</f>
        <v/>
      </c>
      <c r="D61" s="8">
        <f>'balance_raw'!$D$37</f>
        <v/>
      </c>
      <c r="E61" s="8">
        <f>'balance_raw'!$E$37</f>
        <v/>
      </c>
      <c r="F61" s="8">
        <f>'balance_raw'!$F$37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(kortfristet)</t>
        </is>
      </c>
      <c r="B62" s="5">
        <f>'balance_raw'!$B$38</f>
        <v/>
      </c>
      <c r="C62" s="5">
        <f>'balance_raw'!$C$38</f>
        <v/>
      </c>
      <c r="D62" s="5">
        <f>'balance_raw'!$D$38</f>
        <v/>
      </c>
      <c r="E62" s="5">
        <f>'balance_raw'!$E$38</f>
        <v/>
      </c>
      <c r="F62" s="5">
        <f>'balance_raw'!$F$38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Kortfristet del af langfristede gældsforpligtelser</t>
        </is>
      </c>
      <c r="B63" s="11">
        <f>'balance_raw'!$B$39</f>
        <v/>
      </c>
      <c r="C63" s="11">
        <f>'balance_raw'!$C$39</f>
        <v/>
      </c>
      <c r="D63" s="11">
        <f>'balance_raw'!$D$39</f>
        <v/>
      </c>
      <c r="E63" s="11">
        <f>'balance_raw'!$E$39</f>
        <v/>
      </c>
      <c r="F63" s="11">
        <f>'balance_raw'!$F$39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Kreditinstitutter</t>
        </is>
      </c>
      <c r="B64" s="5">
        <f>'balance_raw'!$B$40</f>
        <v/>
      </c>
      <c r="C64" s="5">
        <f>'balance_raw'!$C$40</f>
        <v/>
      </c>
      <c r="D64" s="5">
        <f>'balance_raw'!$D$40</f>
        <v/>
      </c>
      <c r="E64" s="5">
        <f>'balance_raw'!$E$40</f>
        <v/>
      </c>
      <c r="F64" s="5">
        <f>'balance_raw'!$F$40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Leasingforpligtelser (kortfristet)</t>
        </is>
      </c>
      <c r="B65" s="11">
        <f>'balance_raw'!$B$41</f>
        <v/>
      </c>
      <c r="C65" s="11">
        <f>'balance_raw'!$C$41</f>
        <v/>
      </c>
      <c r="D65" s="11">
        <f>'balance_raw'!$D$41</f>
        <v/>
      </c>
      <c r="E65" s="11">
        <f>'balance_raw'!$E$41</f>
        <v/>
      </c>
      <c r="F65" s="11">
        <f>'balance_raw'!$F$41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'balance_raw'!$B$42</f>
        <v/>
      </c>
      <c r="C66" s="5">
        <f>'balance_raw'!$C$42</f>
        <v/>
      </c>
      <c r="D66" s="5">
        <f>'balance_raw'!$D$42</f>
        <v/>
      </c>
      <c r="E66" s="5">
        <f>'balance_raw'!$E$42</f>
        <v/>
      </c>
      <c r="F66" s="5">
        <f>'balance_raw'!$F$42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tilknyttede virksomheder</t>
        </is>
      </c>
      <c r="B67" s="11">
        <f>'balance_raw'!$B$43</f>
        <v/>
      </c>
      <c r="C67" s="11">
        <f>'balance_raw'!$C$43</f>
        <v/>
      </c>
      <c r="D67" s="11">
        <f>'balance_raw'!$D$43</f>
        <v/>
      </c>
      <c r="E67" s="11">
        <f>'balance_raw'!$E$43</f>
        <v/>
      </c>
      <c r="F67" s="11">
        <f>'balance_raw'!$F$43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Gæld til selskabsdeltagere og ledelse</t>
        </is>
      </c>
      <c r="B68" s="5">
        <f>'balance_raw'!$B$44</f>
        <v/>
      </c>
      <c r="C68" s="5">
        <f>'balance_raw'!$C$44</f>
        <v/>
      </c>
      <c r="D68" s="5">
        <f>'balance_raw'!$D$44</f>
        <v/>
      </c>
      <c r="E68" s="5">
        <f>'balance_raw'!$E$44</f>
        <v/>
      </c>
      <c r="F68" s="5">
        <f>'balance_raw'!$F$44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Selskabsskat</t>
        </is>
      </c>
      <c r="B69" s="11">
        <f>'balance_raw'!$B$45</f>
        <v/>
      </c>
      <c r="C69" s="11">
        <f>'balance_raw'!$C$45</f>
        <v/>
      </c>
      <c r="D69" s="11">
        <f>'balance_raw'!$D$45</f>
        <v/>
      </c>
      <c r="E69" s="11">
        <f>'balance_raw'!$E$45</f>
        <v/>
      </c>
      <c r="F69" s="11">
        <f>'balance_raw'!$F$45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'balance_raw'!$B$46</f>
        <v/>
      </c>
      <c r="C70" s="5">
        <f>'balance_raw'!$C$46</f>
        <v/>
      </c>
      <c r="D70" s="5">
        <f>'balance_raw'!$D$46</f>
        <v/>
      </c>
      <c r="E70" s="5">
        <f>'balance_raw'!$E$46</f>
        <v/>
      </c>
      <c r="F70" s="5">
        <f>'balance_raw'!$F$46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Anden gæld (kortfristet)</t>
        </is>
      </c>
      <c r="B71" s="11">
        <f>'balance_raw'!$B$47</f>
        <v/>
      </c>
      <c r="C71" s="11">
        <f>'balance_raw'!$C$47</f>
        <v/>
      </c>
      <c r="D71" s="11">
        <f>'balance_raw'!$D$47</f>
        <v/>
      </c>
      <c r="E71" s="11">
        <f>'balance_raw'!$E$47</f>
        <v/>
      </c>
      <c r="F71" s="11">
        <f>'balance_raw'!$F$47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Periodeafgrænsningsposter (passiver)</t>
        </is>
      </c>
      <c r="B72" s="5">
        <f>'balance_raw'!$B$48</f>
        <v/>
      </c>
      <c r="C72" s="5">
        <f>'balance_raw'!$C$48</f>
        <v/>
      </c>
      <c r="D72" s="5">
        <f>'balance_raw'!$D$48</f>
        <v/>
      </c>
      <c r="E72" s="5">
        <f>'balance_raw'!$E$48</f>
        <v/>
      </c>
      <c r="F72" s="5">
        <f>'balance_raw'!$F$48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Kortfristede gældsforpligtelser</t>
        </is>
      </c>
      <c r="B73" s="8">
        <f>'balance_raw'!$B$49</f>
        <v/>
      </c>
      <c r="C73" s="8">
        <f>'balance_raw'!$C$49</f>
        <v/>
      </c>
      <c r="D73" s="8">
        <f>'balance_raw'!$D$49</f>
        <v/>
      </c>
      <c r="E73" s="8">
        <f>'balance_raw'!$E$49</f>
        <v/>
      </c>
      <c r="F73" s="8">
        <f>'balance_raw'!$F$49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7" t="inlineStr">
        <is>
          <t>Gældsforpligtelser</t>
        </is>
      </c>
      <c r="B74" s="8">
        <f>'balance_raw'!$B$50</f>
        <v/>
      </c>
      <c r="C74" s="8">
        <f>'balance_raw'!$C$50</f>
        <v/>
      </c>
      <c r="D74" s="8">
        <f>'balance_raw'!$D$50</f>
        <v/>
      </c>
      <c r="E74" s="8">
        <f>'balance_raw'!$E$50</f>
        <v/>
      </c>
      <c r="F74" s="8">
        <f>'balance_raw'!$F$50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5" ht="16" customHeight="1">
      <c r="A75" s="7" t="inlineStr">
        <is>
          <t>Passiver</t>
        </is>
      </c>
      <c r="B75" s="8">
        <f>'balance_raw'!$B$51</f>
        <v/>
      </c>
      <c r="C75" s="8">
        <f>'balance_raw'!$C$51</f>
        <v/>
      </c>
      <c r="D75" s="8">
        <f>'balance_raw'!$D$51</f>
        <v/>
      </c>
      <c r="E75" s="8">
        <f>'balance_raw'!$E$51</f>
        <v/>
      </c>
      <c r="F75" s="8">
        <f>'balance_raw'!$F$51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7" ht="22" customHeight="1">
      <c r="A77" s="3" t="inlineStr">
        <is>
          <t>NØGLEOPLYSNINGER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Gns. antal medarbejdere</t>
        </is>
      </c>
      <c r="B78" s="5">
        <f>'res_raw'!$B$20</f>
        <v/>
      </c>
      <c r="C78" s="5">
        <f>'res_raw'!$C$20</f>
        <v/>
      </c>
      <c r="D78" s="5">
        <f>'res_raw'!$D$20</f>
        <v/>
      </c>
      <c r="E78" s="5">
        <f>'res_raw'!$E$20</f>
        <v/>
      </c>
      <c r="F78" s="5">
        <f>'res_raw'!$F$20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Investering i materielle anlægsaktiver</t>
        </is>
      </c>
      <c r="B79" s="11">
        <f>'res_raw'!$B$21</f>
        <v/>
      </c>
      <c r="C79" s="11">
        <f>'res_raw'!$C$21</f>
        <v/>
      </c>
      <c r="D79" s="11">
        <f>'res_raw'!$D$21</f>
        <v/>
      </c>
      <c r="E79" s="11">
        <f>'res_raw'!$E$21</f>
        <v/>
      </c>
      <c r="F79" s="11">
        <f>'res_raw'!$F$21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NØGLETAL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Afkastningsgrad, %</t>
        </is>
      </c>
      <c r="B82" s="13">
        <f>IFERROR(($B$14+$B$16+$B$15)/$B$45*100,"")</f>
        <v/>
      </c>
      <c r="C82" s="13">
        <f>IFERROR(($C$14+$C$16+$C$15)/$C$45*100,"")</f>
        <v/>
      </c>
      <c r="D82" s="13">
        <f>IFERROR(($D$14+$D$16+$D$15)/$D$45*100,"")</f>
        <v/>
      </c>
      <c r="E82" s="13">
        <f>IFERROR(($E$14+$E$16+$E$15)/$E$45*100,"")</f>
        <v/>
      </c>
      <c r="F82" s="13">
        <f>IFERROR(($F$14+$F$16+$F$15)/$F$45*100,"")</f>
        <v/>
      </c>
    </row>
    <row r="83" ht="16" customHeight="1">
      <c r="A83" s="10" t="inlineStr">
        <is>
          <t>Overskudsgrad, %</t>
        </is>
      </c>
      <c r="B83" s="14">
        <f>IFERROR(($B$14+$B$16+$B$15)/$B$4*100,"")</f>
        <v/>
      </c>
      <c r="C83" s="14">
        <f>IFERROR(($C$14+$C$16+$C$15)/$C$4*100,"")</f>
        <v/>
      </c>
      <c r="D83" s="14">
        <f>IFERROR(($D$14+$D$16+$D$15)/$D$4*100,"")</f>
        <v/>
      </c>
      <c r="E83" s="14">
        <f>IFERROR(($E$14+$E$16+$E$15)/$E$4*100,"")</f>
        <v/>
      </c>
      <c r="F83" s="14">
        <f>IFERROR(($F$14+$F$16+$F$15)/$F$4*100,"")</f>
        <v/>
      </c>
    </row>
    <row r="84" ht="16" customHeight="1">
      <c r="A84" s="4" t="inlineStr">
        <is>
          <t>Aktivernes omsætningshastighed, gange</t>
        </is>
      </c>
      <c r="B84" s="13">
        <f>IFERROR($B$4/$B$45,"")</f>
        <v/>
      </c>
      <c r="C84" s="13">
        <f>IFERROR($C$4/$C$45,"")</f>
        <v/>
      </c>
      <c r="D84" s="13">
        <f>IFERROR($D$4/$D$45,"")</f>
        <v/>
      </c>
      <c r="E84" s="13">
        <f>IFERROR($E$4/$E$45,"")</f>
        <v/>
      </c>
      <c r="F84" s="13">
        <f>IFERROR($F$4/$F$45,"")</f>
        <v/>
      </c>
    </row>
    <row r="85" ht="16" customHeight="1">
      <c r="A85" s="10" t="inlineStr">
        <is>
          <t>Egenkapitalens forrentning, %</t>
        </is>
      </c>
      <c r="B85" s="14">
        <f>IFERROR($B$19/$B$54*100,"")</f>
        <v/>
      </c>
      <c r="C85" s="14">
        <f>IFERROR($C$19/$C$54*100,"")</f>
        <v/>
      </c>
      <c r="D85" s="14">
        <f>IFERROR($D$19/$D$54*100,"")</f>
        <v/>
      </c>
      <c r="E85" s="14">
        <f>IFERROR($E$19/$E$54*100,"")</f>
        <v/>
      </c>
      <c r="F85" s="14">
        <f>IFERROR($F$19/$F$54*100,"")</f>
        <v/>
      </c>
    </row>
    <row r="86" ht="16" customHeight="1">
      <c r="A86" s="4" t="inlineStr">
        <is>
          <t>Gældsrente, %</t>
        </is>
      </c>
      <c r="B86" s="13">
        <f>IFERROR($B$17/($B$75-$B$54)*100,"")</f>
        <v/>
      </c>
      <c r="C86" s="13">
        <f>IFERROR($C$17/($C$75-$C$54)*100,"")</f>
        <v/>
      </c>
      <c r="D86" s="13">
        <f>IFERROR($D$17/($D$75-$D$54)*100,"")</f>
        <v/>
      </c>
      <c r="E86" s="13">
        <f>IFERROR($E$17/($E$75-$E$54)*100,"")</f>
        <v/>
      </c>
      <c r="F86" s="13">
        <f>IFERROR($F$17/($F$75-$F$54)*100,"")</f>
        <v/>
      </c>
    </row>
    <row r="87" ht="16" customHeight="1">
      <c r="A87" s="10" t="inlineStr">
        <is>
          <t>Soliditetsgrad, %</t>
        </is>
      </c>
      <c r="B87" s="14">
        <f>IFERROR($B$54/$B$45*100,"")</f>
        <v/>
      </c>
      <c r="C87" s="14">
        <f>IFERROR($C$54/$C$45*100,"")</f>
        <v/>
      </c>
      <c r="D87" s="14">
        <f>IFERROR($D$54/$D$45*100,"")</f>
        <v/>
      </c>
      <c r="E87" s="14">
        <f>IFERROR($E$54/$E$45*100,"")</f>
        <v/>
      </c>
      <c r="F87" s="14">
        <f>IFERROR($F$54/$F$45*100,"")</f>
        <v/>
      </c>
    </row>
    <row r="88" ht="16" customHeight="1">
      <c r="A88" s="4" t="inlineStr">
        <is>
          <t>Gearing</t>
        </is>
      </c>
      <c r="B88" s="13">
        <f>IFERROR(($B$75-$B$54)/$B$54,"")</f>
        <v/>
      </c>
      <c r="C88" s="13">
        <f>IFERROR(($C$75-$C$54)/$C$54,"")</f>
        <v/>
      </c>
      <c r="D88" s="13">
        <f>IFERROR(($D$75-$D$54)/$D$54,"")</f>
        <v/>
      </c>
      <c r="E88" s="13">
        <f>IFERROR(($E$75-$E$54)/$E$54,"")</f>
        <v/>
      </c>
      <c r="F88" s="13">
        <f>IFERROR(($F$75-$F$54)/$F$54,"")</f>
        <v/>
      </c>
    </row>
    <row r="89" ht="16" customHeight="1">
      <c r="A89" s="10" t="inlineStr">
        <is>
          <t>Likviditetsgrad, %</t>
        </is>
      </c>
      <c r="B89" s="14">
        <f>IFERROR($B$44/$B$73*100,"")</f>
        <v/>
      </c>
      <c r="C89" s="14">
        <f>IFERROR($C$44/$C$73*100,"")</f>
        <v/>
      </c>
      <c r="D89" s="14">
        <f>IFERROR($D$44/$D$73*100,"")</f>
        <v/>
      </c>
      <c r="E89" s="14">
        <f>IFERROR($E$44/$E$73*100,"")</f>
        <v/>
      </c>
      <c r="F89" s="14">
        <f>IFERROR($F$44/$F$73*100,"")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  <c r="F90" s="13">
        <f>IFERROR(F82-F86,"")</f>
        <v/>
      </c>
    </row>
    <row r="91" ht="16" customHeight="1">
      <c r="A91" s="10" t="inlineStr">
        <is>
          <t>Gældsandel, %</t>
        </is>
      </c>
      <c r="B91" s="14">
        <f>IFERROR(($B$75-$B$54)/$B$45*100,"")</f>
        <v/>
      </c>
      <c r="C91" s="14">
        <f>IFERROR(($C$75-$C$54)/$C$45*100,"")</f>
        <v/>
      </c>
      <c r="D91" s="14">
        <f>IFERROR(($D$75-$D$54)/$D$45*100,"")</f>
        <v/>
      </c>
      <c r="E91" s="14">
        <f>IFERROR(($E$75-$E$54)/$E$45*100,"")</f>
        <v/>
      </c>
      <c r="F91" s="14">
        <f>IFERROR(($F$75-$F$54)/$F$45*100,"")</f>
        <v/>
      </c>
    </row>
    <row r="92" ht="16" customHeight="1">
      <c r="A92" s="4" t="inlineStr">
        <is>
          <t>Kapitalbindingsgrad, %</t>
        </is>
      </c>
      <c r="B92" s="13">
        <f>IFERROR($B$32/($B$54+$B$61)*100,"")</f>
        <v/>
      </c>
      <c r="C92" s="13">
        <f>IFERROR($C$32/($C$54+$C$61)*100,"")</f>
        <v/>
      </c>
      <c r="D92" s="13">
        <f>IFERROR($D$32/($D$54+$D$61)*100,"")</f>
        <v/>
      </c>
      <c r="E92" s="13">
        <f>IFERROR($E$32/($E$54+$E$61)*100,"")</f>
        <v/>
      </c>
      <c r="F92" s="13">
        <f>IFERROR($F$32/($F$54+$F$61)*100,"")</f>
        <v/>
      </c>
    </row>
    <row r="94">
      <c r="A94" s="15" t="inlineStr">
        <is>
          <t>PENGESTRØMSOPGØRELSE t.kr.</t>
        </is>
      </c>
    </row>
    <row r="95">
      <c r="A95" s="16" t="inlineStr">
        <is>
          <t>Pengestrømme fra driftsaktivitet</t>
        </is>
      </c>
      <c r="B95" s="17">
        <f>'pengestrom_raw'!$B$2</f>
        <v/>
      </c>
      <c r="C95" s="17">
        <f>'pengestrom_raw'!$C$2</f>
        <v/>
      </c>
      <c r="D95" s="17">
        <f>'pengestrom_raw'!$D$2</f>
        <v/>
      </c>
      <c r="E95" s="17">
        <f>'pengestrom_raw'!$E$2</f>
        <v/>
      </c>
      <c r="F95" s="17">
        <f>'pengestrom_raw'!$F$2</f>
        <v/>
      </c>
    </row>
    <row r="96">
      <c r="A96" s="16" t="inlineStr">
        <is>
          <t>Pengestrømme fra investeringsaktivitet</t>
        </is>
      </c>
      <c r="B96" s="17">
        <f>'pengestrom_raw'!$B$3</f>
        <v/>
      </c>
      <c r="C96" s="17">
        <f>'pengestrom_raw'!$C$3</f>
        <v/>
      </c>
      <c r="D96" s="17">
        <f>'pengestrom_raw'!$D$3</f>
        <v/>
      </c>
      <c r="E96" s="17">
        <f>'pengestrom_raw'!$E$3</f>
        <v/>
      </c>
      <c r="F96" s="17">
        <f>'pengestrom_raw'!$F$3</f>
        <v/>
      </c>
    </row>
    <row r="97">
      <c r="A97" s="16" t="inlineStr">
        <is>
          <t>Pengestrømme fra finansieringsaktivitet</t>
        </is>
      </c>
      <c r="B97" s="17">
        <f>'pengestrom_raw'!$B$4</f>
        <v/>
      </c>
      <c r="C97" s="17">
        <f>'pengestrom_raw'!$C$4</f>
        <v/>
      </c>
      <c r="D97" s="17">
        <f>'pengestrom_raw'!$D$4</f>
        <v/>
      </c>
      <c r="E97" s="17">
        <f>'pengestrom_raw'!$E$4</f>
        <v/>
      </c>
      <c r="F97" s="17">
        <f>'pengestrom_raw'!$F$4</f>
        <v/>
      </c>
    </row>
    <row r="98">
      <c r="A98" s="16" t="inlineStr">
        <is>
          <t>Årets pengestrøm (rapporteret)</t>
        </is>
      </c>
      <c r="B98" s="17">
        <f>'pengestrom_raw'!$B$5</f>
        <v/>
      </c>
      <c r="C98" s="17">
        <f>'pengestrom_raw'!$C$5</f>
        <v/>
      </c>
      <c r="D98" s="17">
        <f>'pengestrom_raw'!$D$5</f>
        <v/>
      </c>
      <c r="E98" s="17">
        <f>'pengestrom_raw'!$E$5</f>
        <v/>
      </c>
      <c r="F98" s="17">
        <f>'pengestrom_raw'!$F$5</f>
        <v/>
      </c>
    </row>
    <row r="99">
      <c r="A99" s="16" t="inlineStr">
        <is>
          <t>Krydstjek: drift + inv. + fin. = årets pengestrøm</t>
        </is>
      </c>
      <c r="B99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9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9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9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9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huskom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4314783</v>
      </c>
      <c r="C2" s="17" t="n">
        <v>4329833</v>
      </c>
      <c r="D2" s="17" t="n">
        <v>2381357</v>
      </c>
      <c r="E2" s="17" t="n">
        <v>2297157</v>
      </c>
      <c r="F2" s="17" t="n">
        <v>2956517</v>
      </c>
    </row>
    <row r="3">
      <c r="A3" s="16" t="inlineStr">
        <is>
          <t>Produktionsomkostninger</t>
        </is>
      </c>
      <c r="B3" s="17" t="n">
        <v>3439886</v>
      </c>
      <c r="C3" s="17" t="n">
        <v>3492916</v>
      </c>
      <c r="D3" s="17" t="n">
        <v>1864177</v>
      </c>
      <c r="E3" s="17" t="n">
        <v>1789265</v>
      </c>
      <c r="F3" s="17" t="n">
        <v>2468705</v>
      </c>
    </row>
    <row r="4">
      <c r="A4" s="15" t="inlineStr">
        <is>
          <t>Bruttoresultat</t>
        </is>
      </c>
      <c r="B4" s="17" t="n">
        <v>874897</v>
      </c>
      <c r="C4" s="17" t="n">
        <v>836917</v>
      </c>
      <c r="D4" s="17" t="n">
        <v>517180</v>
      </c>
      <c r="E4" s="17" t="n">
        <v>507892</v>
      </c>
      <c r="F4" s="17" t="n">
        <v>487812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Administrationsomkostninger</t>
        </is>
      </c>
      <c r="B7" s="17" t="n"/>
      <c r="C7" s="17" t="n"/>
      <c r="D7" s="17" t="n"/>
      <c r="E7" s="17" t="n"/>
      <c r="F7" s="17" t="n"/>
    </row>
    <row r="8">
      <c r="A8" s="16" t="inlineStr">
        <is>
          <t>Andre driftsindtægter</t>
        </is>
      </c>
      <c r="B8" s="17" t="n">
        <v>173</v>
      </c>
      <c r="C8" s="17" t="n">
        <v>67</v>
      </c>
      <c r="D8" s="17" t="n">
        <v>0</v>
      </c>
      <c r="E8" s="17" t="n">
        <v>1151</v>
      </c>
      <c r="F8" s="17" t="n">
        <v>88</v>
      </c>
    </row>
    <row r="9">
      <c r="A9" s="16" t="inlineStr">
        <is>
          <t>Andre driftsomkostninger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Personaleomkostninger</t>
        </is>
      </c>
      <c r="B10" s="17" t="n">
        <v>349059</v>
      </c>
      <c r="C10" s="17" t="n">
        <v>346287</v>
      </c>
      <c r="D10" s="17" t="n">
        <v>281391</v>
      </c>
      <c r="E10" s="17" t="n">
        <v>298037</v>
      </c>
      <c r="F10" s="17" t="n">
        <v>303022</v>
      </c>
    </row>
    <row r="11">
      <c r="A11" s="16" t="inlineStr">
        <is>
          <t>Af- og nedskrivninger</t>
        </is>
      </c>
      <c r="B11" s="17" t="n">
        <v>46118</v>
      </c>
      <c r="C11" s="17" t="n">
        <v>48343</v>
      </c>
      <c r="D11" s="17" t="n">
        <v>46075</v>
      </c>
      <c r="E11" s="17" t="n">
        <v>47840</v>
      </c>
      <c r="F11" s="17" t="n">
        <v>45896</v>
      </c>
    </row>
    <row r="12">
      <c r="A12" s="15" t="inlineStr">
        <is>
          <t>Resultat af primær drift</t>
        </is>
      </c>
      <c r="B12" s="17" t="n">
        <v>354993</v>
      </c>
      <c r="C12" s="17" t="n">
        <v>268014</v>
      </c>
      <c r="D12" s="17" t="n">
        <v>62305</v>
      </c>
      <c r="E12" s="17" t="n">
        <v>55787</v>
      </c>
      <c r="F12" s="17" t="n">
        <v>15457</v>
      </c>
    </row>
    <row r="13">
      <c r="A13" s="16" t="inlineStr">
        <is>
          <t>Indtægter af kapitalandele, dattervirksomheder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Finansielle indtægter</t>
        </is>
      </c>
      <c r="B14" s="17" t="n">
        <v>300</v>
      </c>
      <c r="C14" s="17" t="n">
        <v>697</v>
      </c>
      <c r="D14" s="17" t="n">
        <v>2301</v>
      </c>
      <c r="E14" s="17" t="n">
        <v>2184</v>
      </c>
      <c r="F14" s="17" t="n">
        <v>1418</v>
      </c>
    </row>
    <row r="15">
      <c r="A15" s="16" t="inlineStr">
        <is>
          <t>Finansielle omkostninger</t>
        </is>
      </c>
      <c r="B15" s="17" t="n">
        <v>20761</v>
      </c>
      <c r="C15" s="17" t="n">
        <v>27784</v>
      </c>
      <c r="D15" s="17" t="n">
        <v>40830</v>
      </c>
      <c r="E15" s="17" t="n">
        <v>48986</v>
      </c>
      <c r="F15" s="17" t="n">
        <v>44469</v>
      </c>
    </row>
    <row r="16">
      <c r="A16" s="15" t="inlineStr">
        <is>
          <t>Finansielle poster, netto</t>
        </is>
      </c>
      <c r="B16" s="17" t="n">
        <v>-20461</v>
      </c>
      <c r="C16" s="17" t="n">
        <v>-27087</v>
      </c>
      <c r="D16" s="17" t="n">
        <v>-38529</v>
      </c>
      <c r="E16" s="17" t="n">
        <v>-46802</v>
      </c>
      <c r="F16" s="17" t="n">
        <v>-43051</v>
      </c>
    </row>
    <row r="17">
      <c r="A17" s="15" t="inlineStr">
        <is>
          <t>Resultat før skat</t>
        </is>
      </c>
      <c r="B17" s="17" t="n">
        <v>334533</v>
      </c>
      <c r="C17" s="17" t="n">
        <v>240927</v>
      </c>
      <c r="D17" s="17" t="n">
        <v>23776</v>
      </c>
      <c r="E17" s="17" t="n">
        <v>8985</v>
      </c>
      <c r="F17" s="17" t="n">
        <v>-27594</v>
      </c>
    </row>
    <row r="18">
      <c r="A18" s="16" t="inlineStr">
        <is>
          <t>Skat af årets resultat</t>
        </is>
      </c>
      <c r="B18" s="17" t="n">
        <v>69981</v>
      </c>
      <c r="C18" s="17" t="n">
        <v>50449</v>
      </c>
      <c r="D18" s="17" t="n">
        <v>6437</v>
      </c>
      <c r="E18" s="17" t="n">
        <v>14119</v>
      </c>
      <c r="F18" s="17" t="n">
        <v>-1358</v>
      </c>
    </row>
    <row r="19">
      <c r="A19" s="15" t="inlineStr">
        <is>
          <t>Årets resultat</t>
        </is>
      </c>
      <c r="B19" s="17" t="n">
        <v>264552</v>
      </c>
      <c r="C19" s="17" t="n">
        <v>190478</v>
      </c>
      <c r="D19" s="17" t="n">
        <v>17339</v>
      </c>
      <c r="E19" s="17" t="n">
        <v>-5134</v>
      </c>
      <c r="F19" s="17" t="n">
        <v>-26236</v>
      </c>
    </row>
    <row r="20">
      <c r="A20" s="16" t="inlineStr">
        <is>
          <t>Gns. antal medarbejdere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Investering i materielle anlægsaktiver</t>
        </is>
      </c>
      <c r="B21" s="17" t="n">
        <v>11327</v>
      </c>
      <c r="C21" s="17" t="n">
        <v>22401</v>
      </c>
      <c r="D21" s="17" t="n">
        <v>11032</v>
      </c>
      <c r="E21" s="17" t="n">
        <v>5475</v>
      </c>
      <c r="F21" s="17" t="n">
        <v>19857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huskom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2031471</v>
      </c>
      <c r="C4" s="17" t="n">
        <v>2016050</v>
      </c>
      <c r="D4" s="17" t="n">
        <v>2017181</v>
      </c>
      <c r="E4" s="17" t="n">
        <v>2009405</v>
      </c>
      <c r="F4" s="17" t="n">
        <v>2024087</v>
      </c>
    </row>
    <row r="5">
      <c r="A5" s="15" t="inlineStr">
        <is>
          <t>Immaterielle anlægsaktiver</t>
        </is>
      </c>
      <c r="B5" s="17" t="n">
        <v>39741</v>
      </c>
      <c r="C5" s="17" t="n">
        <v>37550</v>
      </c>
      <c r="D5" s="17" t="n">
        <v>33289</v>
      </c>
      <c r="E5" s="17" t="n">
        <v>22376</v>
      </c>
      <c r="F5" s="17" t="n">
        <v>26426</v>
      </c>
    </row>
    <row r="6">
      <c r="A6" s="15" t="inlineStr">
        <is>
          <t>Materielle anlægsaktiver</t>
        </is>
      </c>
      <c r="B6" s="17" t="n">
        <v>87709</v>
      </c>
      <c r="C6" s="17" t="n">
        <v>76578</v>
      </c>
      <c r="D6" s="17" t="n">
        <v>65223</v>
      </c>
      <c r="E6" s="17" t="n">
        <v>59626</v>
      </c>
      <c r="F6" s="17" t="n">
        <v>64611</v>
      </c>
    </row>
    <row r="7">
      <c r="A7" s="16" t="inlineStr">
        <is>
          <t>Kapitalandele, dattervirksomheder</t>
        </is>
      </c>
      <c r="B7" s="17" t="n"/>
      <c r="C7" s="17" t="n"/>
      <c r="D7" s="17" t="n"/>
      <c r="E7" s="17" t="n"/>
      <c r="F7" s="17" t="n"/>
    </row>
    <row r="8">
      <c r="A8" s="16" t="inlineStr">
        <is>
          <t>Deposita</t>
        </is>
      </c>
      <c r="B8" s="17" t="n"/>
      <c r="C8" s="17" t="n"/>
      <c r="D8" s="17" t="n"/>
      <c r="E8" s="17" t="n">
        <v>15540</v>
      </c>
      <c r="F8" s="17" t="n"/>
    </row>
    <row r="9">
      <c r="A9" s="15" t="inlineStr">
        <is>
          <t>Finansielle anlægsaktiver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Anlægsaktiver</t>
        </is>
      </c>
      <c r="B10" s="17" t="n">
        <v>2212558</v>
      </c>
      <c r="C10" s="17" t="n">
        <v>2260977</v>
      </c>
      <c r="D10" s="17" t="n">
        <v>2257734</v>
      </c>
      <c r="E10" s="17" t="n">
        <v>2209056</v>
      </c>
      <c r="F10" s="17" t="n">
        <v>2243464</v>
      </c>
    </row>
    <row r="11">
      <c r="A11" s="15" t="inlineStr">
        <is>
          <t>Varebeholdninger</t>
        </is>
      </c>
      <c r="B11" s="17" t="n">
        <v>315926</v>
      </c>
      <c r="C11" s="17" t="n">
        <v>343033</v>
      </c>
      <c r="D11" s="17" t="n">
        <v>281062</v>
      </c>
      <c r="E11" s="17" t="n">
        <v>234340</v>
      </c>
      <c r="F11" s="17" t="n">
        <v>290799</v>
      </c>
    </row>
    <row r="12">
      <c r="A12" s="16" t="inlineStr">
        <is>
          <t>Tilgodehavender fra salg og tjenesteydelser</t>
        </is>
      </c>
      <c r="B12" s="17" t="n">
        <v>170272</v>
      </c>
      <c r="C12" s="17" t="n">
        <v>217221</v>
      </c>
      <c r="D12" s="17" t="n">
        <v>140678</v>
      </c>
      <c r="E12" s="17" t="n">
        <v>133607</v>
      </c>
      <c r="F12" s="17" t="n">
        <v>150769</v>
      </c>
    </row>
    <row r="13">
      <c r="A13" s="16" t="inlineStr">
        <is>
          <t>Tilgodehavender hos tilknyttede virksomheder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Andre tilgodehavender</t>
        </is>
      </c>
      <c r="B14" s="17" t="n">
        <v>10081</v>
      </c>
      <c r="C14" s="17" t="n">
        <v>15312</v>
      </c>
      <c r="D14" s="17" t="n">
        <v>2865</v>
      </c>
      <c r="E14" s="17" t="n">
        <v>0</v>
      </c>
      <c r="F14" s="17" t="n"/>
    </row>
    <row r="15">
      <c r="A15" s="16" t="inlineStr">
        <is>
          <t>Periodeafgrænsningsposter (aktiver)</t>
        </is>
      </c>
      <c r="B15" s="17" t="n">
        <v>809330</v>
      </c>
      <c r="C15" s="17" t="n">
        <v>731056</v>
      </c>
      <c r="D15" s="17" t="n">
        <v>352932</v>
      </c>
      <c r="E15" s="17" t="n">
        <v>471735</v>
      </c>
      <c r="F15" s="17" t="n">
        <v>819036</v>
      </c>
    </row>
    <row r="16">
      <c r="A16" s="16" t="inlineStr">
        <is>
          <t>Udskudt skatteaktiv</t>
        </is>
      </c>
      <c r="B16" s="17" t="n">
        <v>28153</v>
      </c>
      <c r="C16" s="17" t="n">
        <v>29254</v>
      </c>
      <c r="D16" s="17" t="n">
        <v>32602</v>
      </c>
      <c r="E16" s="17" t="n">
        <v>15366</v>
      </c>
      <c r="F16" s="17" t="n">
        <v>17731</v>
      </c>
    </row>
    <row r="17">
      <c r="A17" s="16" t="inlineStr">
        <is>
          <t>Tilgodehavende skat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Kortfristede skattetilgodehavender</t>
        </is>
      </c>
      <c r="B18" s="17" t="n"/>
      <c r="C18" s="17" t="n"/>
      <c r="D18" s="17" t="n"/>
      <c r="E18" s="17" t="n">
        <v>9528</v>
      </c>
      <c r="F18" s="17" t="n">
        <v>10378</v>
      </c>
    </row>
    <row r="19">
      <c r="A19" s="15" t="inlineStr">
        <is>
          <t>Tilgodehavender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Værdipapirer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Likvide beholdninger</t>
        </is>
      </c>
      <c r="B21" s="17" t="n">
        <v>55420</v>
      </c>
      <c r="C21" s="17" t="n">
        <v>5207</v>
      </c>
      <c r="D21" s="17" t="n">
        <v>223454</v>
      </c>
      <c r="E21" s="17" t="n">
        <v>300590</v>
      </c>
      <c r="F21" s="17" t="n">
        <v>377507</v>
      </c>
    </row>
    <row r="22">
      <c r="A22" s="15" t="inlineStr">
        <is>
          <t>Omsætningsaktiver</t>
        </is>
      </c>
      <c r="B22" s="17" t="n">
        <v>1365151</v>
      </c>
      <c r="C22" s="17" t="n">
        <v>1311313</v>
      </c>
      <c r="D22" s="17" t="n">
        <v>1006531</v>
      </c>
      <c r="E22" s="17" t="n">
        <v>1159323</v>
      </c>
      <c r="F22" s="17" t="n">
        <v>1657801</v>
      </c>
    </row>
    <row r="23">
      <c r="A23" s="15" t="inlineStr">
        <is>
          <t>Aktiver</t>
        </is>
      </c>
      <c r="B23" s="17" t="n">
        <v>3577709</v>
      </c>
      <c r="C23" s="17" t="n">
        <v>3572291</v>
      </c>
      <c r="D23" s="17" t="n">
        <v>3264265</v>
      </c>
      <c r="E23" s="17" t="n">
        <v>3368379</v>
      </c>
      <c r="F23" s="17" t="n">
        <v>3901265</v>
      </c>
    </row>
    <row r="24">
      <c r="A24" s="16" t="inlineStr">
        <is>
          <t>Selskabskapital</t>
        </is>
      </c>
      <c r="B24" s="17" t="n">
        <v>100000</v>
      </c>
      <c r="C24" s="17" t="n">
        <v>91050</v>
      </c>
      <c r="D24" s="17" t="n">
        <v>108550</v>
      </c>
      <c r="E24" s="17" t="n">
        <v>108550</v>
      </c>
      <c r="F24" s="17" t="n">
        <v>108550</v>
      </c>
    </row>
    <row r="25">
      <c r="A25" s="16" t="inlineStr">
        <is>
          <t>Reserve for nettoopskrivning (indre værdis metode)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Reserve for udviklingsomkostninger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Reserve for sikringstransaktioner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Andre reserver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Overført resultat</t>
        </is>
      </c>
      <c r="B29" s="17" t="n"/>
      <c r="C29" s="17" t="n"/>
      <c r="D29" s="17" t="n"/>
      <c r="E29" s="17" t="n"/>
      <c r="F29" s="17" t="n"/>
    </row>
    <row r="30">
      <c r="A30" s="15" t="inlineStr">
        <is>
          <t>Egenkapital i alt</t>
        </is>
      </c>
      <c r="B30" s="17" t="n">
        <v>1884982</v>
      </c>
      <c r="C30" s="17" t="n">
        <v>1881090</v>
      </c>
      <c r="D30" s="17" t="n">
        <v>2097593</v>
      </c>
      <c r="E30" s="17" t="n">
        <v>2081762</v>
      </c>
      <c r="F30" s="17" t="n">
        <v>2092686</v>
      </c>
    </row>
    <row r="31">
      <c r="A31" s="16" t="inlineStr">
        <is>
          <t>Hensættelse til udskudt skat</t>
        </is>
      </c>
      <c r="B31" s="17" t="n">
        <v>38683</v>
      </c>
      <c r="C31" s="17" t="n">
        <v>42742</v>
      </c>
      <c r="D31" s="17" t="n">
        <v>30190</v>
      </c>
      <c r="E31" s="17" t="n">
        <v>9336</v>
      </c>
      <c r="F31" s="17" t="n">
        <v>8419</v>
      </c>
    </row>
    <row r="32">
      <c r="A32" s="15" t="inlineStr">
        <is>
          <t>Hensatte forpligtelser</t>
        </is>
      </c>
      <c r="B32" s="17" t="n">
        <v>8680</v>
      </c>
      <c r="C32" s="17" t="n">
        <v>22126</v>
      </c>
      <c r="D32" s="17" t="n">
        <v>28228</v>
      </c>
      <c r="E32" s="17" t="n">
        <v>38407</v>
      </c>
      <c r="F32" s="17" t="n">
        <v>58150</v>
      </c>
    </row>
    <row r="33">
      <c r="A33" s="16" t="inlineStr">
        <is>
          <t>Ansvarlig lånekapital (langfristet)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Langfristede lån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Leasingforpligtelser (langfristet)</t>
        </is>
      </c>
      <c r="B35" s="17" t="n">
        <v>73247</v>
      </c>
      <c r="C35" s="17" t="n">
        <v>65689</v>
      </c>
      <c r="D35" s="17" t="n">
        <v>51741</v>
      </c>
      <c r="E35" s="17" t="n">
        <v>42283</v>
      </c>
      <c r="F35" s="17" t="n">
        <v>41856</v>
      </c>
    </row>
    <row r="36">
      <c r="A36" s="16" t="inlineStr">
        <is>
          <t>Anden gæld (langfristet)</t>
        </is>
      </c>
      <c r="B36" s="17" t="n"/>
      <c r="C36" s="17" t="n"/>
      <c r="D36" s="17" t="n"/>
      <c r="E36" s="17" t="n"/>
      <c r="F36" s="17" t="n"/>
    </row>
    <row r="37">
      <c r="A37" s="15" t="inlineStr">
        <is>
          <t>Langfristede gældsforpligtelser</t>
        </is>
      </c>
      <c r="B37" s="17" t="n">
        <v>672058</v>
      </c>
      <c r="C37" s="17" t="n">
        <v>682461</v>
      </c>
      <c r="D37" s="17" t="n">
        <v>505871</v>
      </c>
      <c r="E37" s="17" t="n">
        <v>505634</v>
      </c>
      <c r="F37" s="17" t="n">
        <v>505380</v>
      </c>
    </row>
    <row r="38">
      <c r="A38" s="16" t="inlineStr">
        <is>
          <t>Ansvarlig lånekapital (kortfristet)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Kortfristet del af langfristede gældsforpligtelser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Kreditinstitutter</t>
        </is>
      </c>
      <c r="B40" s="17" t="n">
        <v>0</v>
      </c>
      <c r="C40" s="17" t="n">
        <v>1045</v>
      </c>
      <c r="D40" s="17" t="n">
        <v>937</v>
      </c>
      <c r="E40" s="17" t="n">
        <v>936</v>
      </c>
      <c r="F40" s="17" t="n">
        <v>905</v>
      </c>
    </row>
    <row r="41">
      <c r="A41" s="16" t="inlineStr">
        <is>
          <t>Leasingforpligtelser (kortfristet)</t>
        </is>
      </c>
      <c r="B41" s="17" t="n">
        <v>23076</v>
      </c>
      <c r="C41" s="17" t="n">
        <v>23874</v>
      </c>
      <c r="D41" s="17" t="n">
        <v>21004</v>
      </c>
      <c r="E41" s="17" t="n">
        <v>23049</v>
      </c>
      <c r="F41" s="17" t="n">
        <v>26843</v>
      </c>
    </row>
    <row r="42">
      <c r="A42" s="16" t="inlineStr">
        <is>
          <t>Leverandører af varer og tjenesteydelser</t>
        </is>
      </c>
      <c r="B42" s="17" t="n">
        <v>554333</v>
      </c>
      <c r="C42" s="17" t="n">
        <v>522247</v>
      </c>
      <c r="D42" s="17" t="n">
        <v>292288</v>
      </c>
      <c r="E42" s="17" t="n">
        <v>378793</v>
      </c>
      <c r="F42" s="17" t="n">
        <v>505595</v>
      </c>
    </row>
    <row r="43">
      <c r="A43" s="16" t="inlineStr">
        <is>
          <t>Gæld til tilknyttede virksomheder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Gæld til selskabsdeltagere og ledelse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Selskabsskat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tilknyttede virksomheder vedr. selskabsskat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Anden gæld (kortfristet)</t>
        </is>
      </c>
      <c r="B47" s="17" t="n">
        <v>148123</v>
      </c>
      <c r="C47" s="17" t="n">
        <v>141872</v>
      </c>
      <c r="D47" s="17" t="n">
        <v>96024</v>
      </c>
      <c r="E47" s="17" t="n">
        <v>67659</v>
      </c>
      <c r="F47" s="17" t="n">
        <v>113953</v>
      </c>
    </row>
    <row r="48">
      <c r="A48" s="16" t="inlineStr">
        <is>
          <t>Periodeafgrænsningsposter (passiver)</t>
        </is>
      </c>
      <c r="B48" s="17" t="n">
        <v>84730</v>
      </c>
      <c r="C48" s="17" t="n">
        <v>105041</v>
      </c>
      <c r="D48" s="17" t="n">
        <v>90973</v>
      </c>
      <c r="E48" s="17" t="n"/>
      <c r="F48" s="17" t="n"/>
    </row>
    <row r="49">
      <c r="A49" s="15" t="inlineStr">
        <is>
          <t>Kortfristede gældsforpligtelser</t>
        </is>
      </c>
      <c r="B49" s="17" t="n">
        <v>900059</v>
      </c>
      <c r="C49" s="17" t="n">
        <v>878183</v>
      </c>
      <c r="D49" s="17" t="n">
        <v>550642</v>
      </c>
      <c r="E49" s="17" t="n">
        <v>690957</v>
      </c>
      <c r="F49" s="17" t="n">
        <v>1194774</v>
      </c>
    </row>
    <row r="50">
      <c r="A50" s="15" t="inlineStr">
        <is>
          <t>Gældsforpligtelser</t>
        </is>
      </c>
      <c r="B50" s="17" t="n">
        <v>1692727</v>
      </c>
      <c r="C50" s="17" t="n">
        <v>1691201</v>
      </c>
      <c r="D50" s="17" t="n">
        <v>1166672</v>
      </c>
      <c r="E50" s="17" t="n">
        <v>1286617</v>
      </c>
      <c r="F50" s="17" t="n">
        <v>1808579</v>
      </c>
    </row>
    <row r="51">
      <c r="A51" s="15" t="inlineStr">
        <is>
          <t>Passiver</t>
        </is>
      </c>
      <c r="B51" s="17" t="n">
        <v>3577709</v>
      </c>
      <c r="C51" s="17" t="n">
        <v>3572291</v>
      </c>
      <c r="D51" s="17" t="n">
        <v>3264265</v>
      </c>
      <c r="E51" s="17" t="n">
        <v>3368379</v>
      </c>
      <c r="F51" s="17" t="n">
        <v>3901265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huskom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258477</v>
      </c>
      <c r="C2" s="17" t="n">
        <v>268471</v>
      </c>
      <c r="D2" s="17" t="n">
        <v>249438</v>
      </c>
      <c r="E2" s="17" t="n">
        <v>115471</v>
      </c>
      <c r="F2" s="17" t="n">
        <v>135806</v>
      </c>
    </row>
    <row r="3">
      <c r="A3" s="16" t="inlineStr">
        <is>
          <t>Pengestrømme fra investeringsaktivitet</t>
        </is>
      </c>
      <c r="B3" s="17" t="n">
        <v>-21762</v>
      </c>
      <c r="C3" s="17" t="n">
        <v>-116554</v>
      </c>
      <c r="D3" s="17" t="n">
        <v>-20136</v>
      </c>
      <c r="E3" s="17" t="n">
        <v>-10893</v>
      </c>
      <c r="F3" s="17" t="n">
        <v>-33932</v>
      </c>
    </row>
    <row r="4">
      <c r="A4" s="16" t="inlineStr">
        <is>
          <t>Pengestrømme fra finansieringsaktivitet</t>
        </is>
      </c>
      <c r="B4" s="17" t="n">
        <v>-261430</v>
      </c>
      <c r="C4" s="17" t="n">
        <v>-192317</v>
      </c>
      <c r="D4" s="17" t="n">
        <v>-9207</v>
      </c>
      <c r="E4" s="17" t="n">
        <v>-27900</v>
      </c>
      <c r="F4" s="17" t="n">
        <v>-25297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huskom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IF(ABS((SUM(B5:B6))-'res_raw'!$F$4)&lt;=2,SUM(B5:B6),'res_raw'!$F$4)</f>
        <v/>
      </c>
      <c r="C7" s="27">
        <f>IF(ABS((SUM(C5:C6))-'res_raw'!$E$4)&lt;=2,SUM(C5:C6),'res_raw'!$E$4)</f>
        <v/>
      </c>
      <c r="D7" s="27">
        <f>IF(ABS((SUM(D5:D6))-'res_raw'!$D$4)&lt;=2,SUM(D5:D6),'res_raw'!$D$4)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'res_raw'!$F$8</f>
        <v/>
      </c>
      <c r="C11" s="24">
        <f>'res_raw'!$E$8</f>
        <v/>
      </c>
      <c r="D11" s="24">
        <f>'res_raw'!$D$8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-'res_raw'!$F$9</f>
        <v/>
      </c>
      <c r="C12" s="27">
        <f>-'res_raw'!$E$9</f>
        <v/>
      </c>
      <c r="D12" s="27">
        <f>-'res_raw'!$D$9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IF(ABS((SUM(B7:B12))-'res_raw'!$F$12)&lt;=2,SUM(B7:B12),'res_raw'!$F$12)</f>
        <v/>
      </c>
      <c r="C13" s="30">
        <f>IF(ABS((SUM(C7:C12))-'res_raw'!$E$12)&lt;=2,SUM(C7:C12),'res_raw'!$E$12)</f>
        <v/>
      </c>
      <c r="D13" s="30">
        <f>IF(ABS((SUM(D7:D12))-'res_raw'!$D$12)&lt;=2,SUM(D7:D12),'res_raw'!$D$12)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N('res_raw'!$F$13)+N('res_raw'!$F$14)</f>
        <v/>
      </c>
      <c r="C14" s="24">
        <f>N('res_raw'!$E$13)+N('res_raw'!$E$14)</f>
        <v/>
      </c>
      <c r="D14" s="24">
        <f>N('res_raw'!$D$13)+N('res_raw'!$D$14)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-'res_raw'!$F$15</f>
        <v/>
      </c>
      <c r="C15" s="27">
        <f>-'res_raw'!$E$15</f>
        <v/>
      </c>
      <c r="D15" s="27">
        <f>-'res_raw'!$D$15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IF(ABS((SUM(B13:B15))-'res_raw'!$F$17)&lt;=2,SUM(B13:B15),'res_raw'!$F$17)</f>
        <v/>
      </c>
      <c r="C16" s="30">
        <f>IF(ABS((SUM(C13:C15))-'res_raw'!$E$17)&lt;=2,SUM(C13:C15),'res_raw'!$E$17)</f>
        <v/>
      </c>
      <c r="D16" s="30">
        <f>IF(ABS((SUM(D13:D15))-'res_raw'!$D$17)&lt;=2,SUM(D13:D15),'res_raw'!$D$17)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'balance_raw'!$F$10</f>
        <v/>
      </c>
      <c r="C19" s="24">
        <f>'balance_raw'!$E$10</f>
        <v/>
      </c>
      <c r="D19" s="24">
        <f>'balance_raw'!$D$10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'balance_raw'!$F$22</f>
        <v/>
      </c>
      <c r="C20" s="24">
        <f>'balance_raw'!$E$22</f>
        <v/>
      </c>
      <c r="D20" s="24">
        <f>'balance_raw'!$D$22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'balance_raw'!$F$30</f>
        <v/>
      </c>
      <c r="C23" s="24">
        <f>'balance_raw'!$E$30</f>
        <v/>
      </c>
      <c r="D23" s="24">
        <f>'balance_raw'!$D$30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'balance_raw'!$F$51-'balance_raw'!$F$30</f>
        <v/>
      </c>
      <c r="C24" s="24">
        <f>'balance_raw'!$E$51-'balance_raw'!$E$30</f>
        <v/>
      </c>
      <c r="D24" s="24">
        <f>'balance_raw'!$D$51-'balance_raw'!$D$30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'balance_raw'!$F$11</f>
        <v/>
      </c>
      <c r="C28" s="24">
        <f>'balance_raw'!$E$11</f>
        <v/>
      </c>
      <c r="D28" s="24">
        <f>'balance_raw'!$D$11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'balance_raw'!$F$12</f>
        <v/>
      </c>
      <c r="C29" s="24">
        <f>'balance_raw'!$E$12</f>
        <v/>
      </c>
      <c r="D29" s="24">
        <f>'balance_raw'!$D$12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'balance_raw'!$F$49</f>
        <v/>
      </c>
      <c r="C30" s="24">
        <f>'balance_raw'!$E$49</f>
        <v/>
      </c>
      <c r="D30" s="24">
        <f>'balance_raw'!$D$49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IF('balance_raw'!$F$23="","—",IF(ABS(B21-'balance_raw'!$F$23)&lt;=1,"✓ OK","❌ "&amp;TEXT(B21-'balance_raw'!$F$23,"+#,##0;-#,##0")&amp;" t.kr."))</f>
        <v/>
      </c>
      <c r="C62" s="31">
        <f>IF('balance_raw'!$E$23="","—",IF(ABS(C21-'balance_raw'!$E$23)&lt;=1,"✓ OK","❌ "&amp;TEXT(C21-'balance_raw'!$E$23,"+#,##0;-#,##0")&amp;" t.kr."))</f>
        <v/>
      </c>
      <c r="D62" s="31">
        <f>IF('balance_raw'!$D$23="","—",IF(ABS(D21-'balance_raw'!$D$23)&lt;=1,"✓ OK","❌ "&amp;TEXT(D21-'balance_raw'!$D$23,"+#,##0;-#,##0")&amp;"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IF('balance_raw'!$F$51="","—",IF(ABS(B25-'balance_raw'!$F$51)&lt;=1,"✓ OK","❌ "&amp;TEXT(B25-'balance_raw'!$F$51,"+#,##0;-#,##0")&amp;" t.kr."))</f>
        <v/>
      </c>
      <c r="C63" s="31">
        <f>IF('balance_raw'!$E$51="","—",IF(ABS(C25-'balance_raw'!$E$51)&lt;=1,"✓ OK","❌ "&amp;TEXT(C25-'balance_raw'!$E$51,"+#,##0;-#,##0")&amp;" t.kr."))</f>
        <v/>
      </c>
      <c r="D63" s="31">
        <f>IF('balance_raw'!$D$51="","—",IF(ABS(D25-'balance_raw'!$D$51)&lt;=1,"✓ OK","❌ "&amp;TEXT(D25-'balance_raw'!$D$51,"+#,##0;-#,##0")&amp;"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IF('res_raw'!$F$4="","—",IF(ABS(B7-'res_raw'!$F$4)&lt;=1,"✓ OK","❌ "&amp;TEXT(B7-'res_raw'!$F$4,"+#,##0;-#,##0")&amp;" t.kr."))</f>
        <v/>
      </c>
      <c r="C65" s="31">
        <f>IF('res_raw'!$E$4="","—",IF(ABS(C7-'res_raw'!$E$4)&lt;=1,"✓ OK","❌ "&amp;TEXT(C7-'res_raw'!$E$4,"+#,##0;-#,##0")&amp;" t.kr."))</f>
        <v/>
      </c>
      <c r="D65" s="31">
        <f>IF('res_raw'!$D$4="","—",IF(ABS(D7-'res_raw'!$D$4)&lt;=1,"✓ OK","❌ "&amp;TEXT(D7-'res_raw'!$D$4,"+#,##0;-#,##0")&amp;"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IF('res_raw'!$F$12="","—",IF(ABS(B13-'res_raw'!$F$12)&lt;=1,"✓ OK","❌ "&amp;TEXT(B13-'res_raw'!$F$12,"+#,##0;-#,##0")&amp;" t.kr."))</f>
        <v/>
      </c>
      <c r="C66" s="31">
        <f>IF('res_raw'!$E$12="","—",IF(ABS(C13-'res_raw'!$E$12)&lt;=1,"✓ OK","❌ "&amp;TEXT(C13-'res_raw'!$E$12,"+#,##0;-#,##0")&amp;" t.kr."))</f>
        <v/>
      </c>
      <c r="D66" s="31">
        <f>IF('res_raw'!$D$12="","—",IF(ABS(D13-'res_raw'!$D$12)&lt;=1,"✓ OK","❌ "&amp;TEXT(D13-'res_raw'!$D$12,"+#,##0;-#,##0")&amp;"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IF('res_raw'!$F$17="","—",IF(ABS(B16-'res_raw'!$F$17)&lt;=1,"✓ OK","❌ "&amp;TEXT(B16-'res_raw'!$F$17,"+#,##0;-#,##0")&amp;" t.kr."))</f>
        <v/>
      </c>
      <c r="C67" s="31">
        <f>IF('res_raw'!$E$17="","—",IF(ABS(C16-'res_raw'!$E$17)&lt;=1,"✓ OK","❌ "&amp;TEXT(C16-'res_raw'!$E$17,"+#,##0;-#,##0")&amp;" t.kr."))</f>
        <v/>
      </c>
      <c r="D67" s="31">
        <f>IF('res_raw'!$D$17="","—",IF(ABS(D16-'res_raw'!$D$17)&lt;=1,"✓ OK","❌ "&amp;TEXT(D16-'res_raw'!$D$17,"+#,##0;-#,##0")&amp;"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huskom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ifrs-full:BankOverdraftsClassifiedAsCashEquivalents</t>
        </is>
      </c>
      <c r="C3" s="36" t="inlineStr">
        <is>
          <t>ifrs-full:BankOverdraftsClassifiedAsCashEquivalents</t>
        </is>
      </c>
      <c r="D3" s="37" t="n">
        <v>0</v>
      </c>
      <c r="E3" s="37" t="n"/>
      <c r="F3" s="37" t="n"/>
      <c r="G3" s="37" t="n"/>
      <c r="H3" s="37" t="n"/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ifrs-full:CashAndCashEquivalentsInSubsidiaryOrBusinessesAcquiredOrDisposed2013</t>
        </is>
      </c>
      <c r="C4" s="39" t="inlineStr">
        <is>
          <t>ifrs-full:CashAndCashEquivalentsInSubsidiaryOrBusinessesAcquiredOrDisposed2013</t>
        </is>
      </c>
      <c r="D4" s="40" t="n">
        <v>0</v>
      </c>
      <c r="E4" s="40" t="n">
        <v>-5746</v>
      </c>
      <c r="F4" s="40" t="n">
        <v>0</v>
      </c>
      <c r="G4" s="40" t="n"/>
      <c r="H4" s="40" t="n"/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ifrs-full:CurrentContractLiabilitiesForPerformanceObligationsSatisfiedOverTime</t>
        </is>
      </c>
      <c r="C5" s="36" t="inlineStr">
        <is>
          <t>ifrs-full:CurrentContractLiabilitiesForPerformanceObligationsSatisfiedOverTime</t>
        </is>
      </c>
      <c r="D5" s="37" t="n"/>
      <c r="E5" s="37" t="n"/>
      <c r="F5" s="37" t="n"/>
      <c r="G5" s="37" t="n">
        <v>146350</v>
      </c>
      <c r="H5" s="37" t="n">
        <v>475171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ifrs-full:PaymentsForShareIssueCosts</t>
        </is>
      </c>
      <c r="C6" s="39" t="inlineStr">
        <is>
          <t>ifrs-full:PaymentsForShareIssueCosts</t>
        </is>
      </c>
      <c r="D6" s="40" t="n"/>
      <c r="E6" s="40" t="n">
        <v>0</v>
      </c>
      <c r="F6" s="40" t="n">
        <v>8088</v>
      </c>
      <c r="G6" s="40" t="n">
        <v>0</v>
      </c>
      <c r="H6" s="40" t="n"/>
      <c r="I6" s="41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2026-10-02T21:13:23Z</dcterms:created>
  <dcterms:modified xmlns:dcterms="http://purl.org/dc/terms/" xmlns:xsi="http://www.w3.org/2001/XMLSchema-instance" xsi:type="dcterms:W3CDTF">2026-10-02T21:13:24Z</dcterms:modified>
</cp:coreProperties>
</file>