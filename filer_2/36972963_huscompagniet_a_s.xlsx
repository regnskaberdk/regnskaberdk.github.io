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huskom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t.kr.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huskom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4314783</v>
      </c>
      <c r="C2" s="17" t="n">
        <v>4329833</v>
      </c>
      <c r="D2" s="17" t="n">
        <v>2381357</v>
      </c>
      <c r="E2" s="17" t="n">
        <v>2297157</v>
      </c>
      <c r="F2" s="17" t="n">
        <v>2956517</v>
      </c>
    </row>
    <row r="3">
      <c r="A3" s="16" t="inlineStr">
        <is>
          <t>Produktionsomkostninger</t>
        </is>
      </c>
      <c r="B3" s="17" t="n">
        <v>3439886</v>
      </c>
      <c r="C3" s="17" t="n">
        <v>3492916</v>
      </c>
      <c r="D3" s="17" t="n">
        <v>1864177</v>
      </c>
      <c r="E3" s="17" t="n">
        <v>1789265</v>
      </c>
      <c r="F3" s="17" t="n">
        <v>2468705</v>
      </c>
    </row>
    <row r="4">
      <c r="A4" s="15" t="inlineStr">
        <is>
          <t>Bruttoresultat</t>
        </is>
      </c>
      <c r="B4" s="17" t="n">
        <v>874897</v>
      </c>
      <c r="C4" s="17" t="n">
        <v>836917</v>
      </c>
      <c r="D4" s="17" t="n">
        <v>517180</v>
      </c>
      <c r="E4" s="17" t="n">
        <v>507892</v>
      </c>
      <c r="F4" s="17" t="n">
        <v>487812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173</v>
      </c>
      <c r="C7" s="17" t="n">
        <v>67</v>
      </c>
      <c r="D7" s="17" t="n">
        <v>0</v>
      </c>
      <c r="E7" s="17" t="n">
        <v>1151</v>
      </c>
      <c r="F7" s="17" t="n">
        <v>88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354993</v>
      </c>
      <c r="C9" s="17" t="n">
        <v>268014</v>
      </c>
      <c r="D9" s="17" t="n">
        <v>62305</v>
      </c>
      <c r="E9" s="17" t="n">
        <v>55787</v>
      </c>
      <c r="F9" s="17" t="n">
        <v>15457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300</v>
      </c>
      <c r="C11" s="17" t="n">
        <v>697</v>
      </c>
      <c r="D11" s="17" t="n">
        <v>2301</v>
      </c>
      <c r="E11" s="17" t="n">
        <v>2184</v>
      </c>
      <c r="F11" s="17" t="n">
        <v>1418</v>
      </c>
    </row>
    <row r="12">
      <c r="A12" s="16" t="inlineStr">
        <is>
          <t>Finansielle omkostninger</t>
        </is>
      </c>
      <c r="B12" s="17" t="n">
        <v>20761</v>
      </c>
      <c r="C12" s="17" t="n">
        <v>27784</v>
      </c>
      <c r="D12" s="17" t="n">
        <v>40830</v>
      </c>
      <c r="E12" s="17" t="n">
        <v>48986</v>
      </c>
      <c r="F12" s="17" t="n">
        <v>44469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334533</v>
      </c>
      <c r="C14" s="17" t="n">
        <v>240927</v>
      </c>
      <c r="D14" s="17" t="n">
        <v>23776</v>
      </c>
      <c r="E14" s="17" t="n">
        <v>8985</v>
      </c>
      <c r="F14" s="17" t="n">
        <v>-27594</v>
      </c>
    </row>
    <row r="15">
      <c r="A15" s="16" t="inlineStr">
        <is>
          <t>Skat af årets resultat</t>
        </is>
      </c>
      <c r="B15" s="17" t="n">
        <v>69981</v>
      </c>
      <c r="C15" s="17" t="n">
        <v>50449</v>
      </c>
      <c r="D15" s="17" t="n">
        <v>6437</v>
      </c>
      <c r="E15" s="17" t="n">
        <v>14119</v>
      </c>
      <c r="F15" s="17" t="n">
        <v>-1358</v>
      </c>
    </row>
    <row r="16">
      <c r="A16" s="15" t="inlineStr">
        <is>
          <t>Årets resultat</t>
        </is>
      </c>
      <c r="B16" s="17" t="n">
        <v>264552</v>
      </c>
      <c r="C16" s="17" t="n">
        <v>190478</v>
      </c>
      <c r="D16" s="17" t="n">
        <v>17339</v>
      </c>
      <c r="E16" s="17" t="n">
        <v>-5134</v>
      </c>
      <c r="F16" s="17" t="n">
        <v>-26236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11327</v>
      </c>
      <c r="C18" s="17" t="n">
        <v>22401</v>
      </c>
      <c r="D18" s="17" t="n">
        <v>11032</v>
      </c>
      <c r="E18" s="17" t="n">
        <v>5475</v>
      </c>
      <c r="F18" s="17" t="n">
        <v>19857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huskom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2031471</v>
      </c>
      <c r="C4" s="17" t="n">
        <v>2016050</v>
      </c>
      <c r="D4" s="17" t="n">
        <v>2017181</v>
      </c>
      <c r="E4" s="17" t="n">
        <v>2009405</v>
      </c>
      <c r="F4" s="17" t="n">
        <v>2024087</v>
      </c>
    </row>
    <row r="5">
      <c r="A5" s="15" t="inlineStr">
        <is>
          <t>Immaterielle anlægsaktiver</t>
        </is>
      </c>
      <c r="B5" s="17" t="n">
        <v>39741</v>
      </c>
      <c r="C5" s="17" t="n">
        <v>37550</v>
      </c>
      <c r="D5" s="17" t="n">
        <v>33289</v>
      </c>
      <c r="E5" s="17" t="n">
        <v>22376</v>
      </c>
      <c r="F5" s="17" t="n">
        <v>26426</v>
      </c>
    </row>
    <row r="6">
      <c r="A6" s="15" t="inlineStr">
        <is>
          <t>Materielle anlægsaktiver</t>
        </is>
      </c>
      <c r="B6" s="17" t="n">
        <v>87709</v>
      </c>
      <c r="C6" s="17" t="n">
        <v>76578</v>
      </c>
      <c r="D6" s="17" t="n">
        <v>65223</v>
      </c>
      <c r="E6" s="17" t="n">
        <v>59626</v>
      </c>
      <c r="F6" s="17" t="n">
        <v>64611</v>
      </c>
    </row>
    <row r="7">
      <c r="A7" s="16" t="inlineStr">
        <is>
          <t>Kapitalandele, dattervirksomheder</t>
        </is>
      </c>
      <c r="B7" s="17" t="n"/>
      <c r="C7" s="17" t="n"/>
      <c r="D7" s="17" t="n"/>
      <c r="E7" s="17" t="n"/>
      <c r="F7" s="17" t="n"/>
    </row>
    <row r="8">
      <c r="A8" s="16" t="inlineStr">
        <is>
          <t>Deposita</t>
        </is>
      </c>
      <c r="B8" s="17" t="n"/>
      <c r="C8" s="17" t="n"/>
      <c r="D8" s="17" t="n"/>
      <c r="E8" s="17" t="n">
        <v>15540</v>
      </c>
      <c r="F8" s="17" t="n"/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2212558</v>
      </c>
      <c r="C10" s="17" t="n">
        <v>2260977</v>
      </c>
      <c r="D10" s="17" t="n">
        <v>2257734</v>
      </c>
      <c r="E10" s="17" t="n">
        <v>2209056</v>
      </c>
      <c r="F10" s="17" t="n">
        <v>2243464</v>
      </c>
    </row>
    <row r="11">
      <c r="A11" s="15" t="inlineStr">
        <is>
          <t>Varebeholdninger</t>
        </is>
      </c>
      <c r="B11" s="17" t="n">
        <v>315926</v>
      </c>
      <c r="C11" s="17" t="n">
        <v>343033</v>
      </c>
      <c r="D11" s="17" t="n">
        <v>281062</v>
      </c>
      <c r="E11" s="17" t="n">
        <v>234340</v>
      </c>
      <c r="F11" s="17" t="n">
        <v>290799</v>
      </c>
    </row>
    <row r="12">
      <c r="A12" s="16" t="inlineStr">
        <is>
          <t>Tilgodehavender fra salg og tjenesteydelser</t>
        </is>
      </c>
      <c r="B12" s="17" t="n">
        <v>170272</v>
      </c>
      <c r="C12" s="17" t="n">
        <v>217221</v>
      </c>
      <c r="D12" s="17" t="n">
        <v>140678</v>
      </c>
      <c r="E12" s="17" t="n">
        <v>133607</v>
      </c>
      <c r="F12" s="17" t="n">
        <v>150769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10081</v>
      </c>
      <c r="C14" s="17" t="n">
        <v>15312</v>
      </c>
      <c r="D14" s="17" t="n">
        <v>2865</v>
      </c>
      <c r="E14" s="17" t="n">
        <v>0</v>
      </c>
      <c r="F14" s="17" t="n"/>
    </row>
    <row r="15">
      <c r="A15" s="16" t="inlineStr">
        <is>
          <t>Periodeafgrænsningsposter (aktiver)</t>
        </is>
      </c>
      <c r="B15" s="17" t="n">
        <v>809330</v>
      </c>
      <c r="C15" s="17" t="n">
        <v>731056</v>
      </c>
      <c r="D15" s="17" t="n">
        <v>352932</v>
      </c>
      <c r="E15" s="17" t="n">
        <v>471735</v>
      </c>
      <c r="F15" s="17" t="n">
        <v>819036</v>
      </c>
    </row>
    <row r="16">
      <c r="A16" s="16" t="inlineStr">
        <is>
          <t>Udskudt skatteaktiv</t>
        </is>
      </c>
      <c r="B16" s="17" t="n">
        <v>28153</v>
      </c>
      <c r="C16" s="17" t="n">
        <v>29254</v>
      </c>
      <c r="D16" s="17" t="n">
        <v>32602</v>
      </c>
      <c r="E16" s="17" t="n">
        <v>15366</v>
      </c>
      <c r="F16" s="17" t="n">
        <v>17731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>
        <v>9528</v>
      </c>
      <c r="F18" s="17" t="n">
        <v>10378</v>
      </c>
    </row>
    <row r="19">
      <c r="A19" s="15" t="inlineStr">
        <is>
          <t>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55420</v>
      </c>
      <c r="C21" s="17" t="n">
        <v>5207</v>
      </c>
      <c r="D21" s="17" t="n">
        <v>223454</v>
      </c>
      <c r="E21" s="17" t="n">
        <v>300590</v>
      </c>
      <c r="F21" s="17" t="n">
        <v>377507</v>
      </c>
    </row>
    <row r="22">
      <c r="A22" s="15" t="inlineStr">
        <is>
          <t>Omsætningsaktiver</t>
        </is>
      </c>
      <c r="B22" s="17" t="n">
        <v>1365151</v>
      </c>
      <c r="C22" s="17" t="n">
        <v>1311313</v>
      </c>
      <c r="D22" s="17" t="n">
        <v>1006531</v>
      </c>
      <c r="E22" s="17" t="n">
        <v>1159323</v>
      </c>
      <c r="F22" s="17" t="n">
        <v>1657801</v>
      </c>
    </row>
    <row r="23">
      <c r="A23" s="15" t="inlineStr">
        <is>
          <t>Aktiver</t>
        </is>
      </c>
      <c r="B23" s="17" t="n">
        <v>3577709</v>
      </c>
      <c r="C23" s="17" t="n">
        <v>3572291</v>
      </c>
      <c r="D23" s="17" t="n">
        <v>3264265</v>
      </c>
      <c r="E23" s="17" t="n">
        <v>3368379</v>
      </c>
      <c r="F23" s="17" t="n">
        <v>3901265</v>
      </c>
    </row>
    <row r="24">
      <c r="A24" s="16" t="inlineStr">
        <is>
          <t>Selskabskapital</t>
        </is>
      </c>
      <c r="B24" s="17" t="n">
        <v>100000</v>
      </c>
      <c r="C24" s="17" t="n">
        <v>91050</v>
      </c>
      <c r="D24" s="17" t="n">
        <v>108550</v>
      </c>
      <c r="E24" s="17" t="n">
        <v>108550</v>
      </c>
      <c r="F24" s="17" t="n">
        <v>108550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Overført resultat</t>
        </is>
      </c>
      <c r="B29" s="17" t="n"/>
      <c r="C29" s="17" t="n"/>
      <c r="D29" s="17" t="n"/>
      <c r="E29" s="17" t="n"/>
      <c r="F29" s="17" t="n"/>
    </row>
    <row r="30">
      <c r="A30" s="15" t="inlineStr">
        <is>
          <t>Egenkapital i alt</t>
        </is>
      </c>
      <c r="B30" s="17" t="n">
        <v>1884982</v>
      </c>
      <c r="C30" s="17" t="n">
        <v>1881090</v>
      </c>
      <c r="D30" s="17" t="n">
        <v>2097593</v>
      </c>
      <c r="E30" s="17" t="n">
        <v>2081762</v>
      </c>
      <c r="F30" s="17" t="n">
        <v>2092686</v>
      </c>
    </row>
    <row r="31">
      <c r="A31" s="16" t="inlineStr">
        <is>
          <t>Hensættelse til udskudt skat</t>
        </is>
      </c>
      <c r="B31" s="17" t="n">
        <v>38683</v>
      </c>
      <c r="C31" s="17" t="n">
        <v>42742</v>
      </c>
      <c r="D31" s="17" t="n">
        <v>30190</v>
      </c>
      <c r="E31" s="17" t="n">
        <v>9336</v>
      </c>
      <c r="F31" s="17" t="n">
        <v>8419</v>
      </c>
    </row>
    <row r="32">
      <c r="A32" s="15" t="inlineStr">
        <is>
          <t>Hensatte forpligtelser</t>
        </is>
      </c>
      <c r="B32" s="17" t="n">
        <v>8680</v>
      </c>
      <c r="C32" s="17" t="n">
        <v>22126</v>
      </c>
      <c r="D32" s="17" t="n">
        <v>28228</v>
      </c>
      <c r="E32" s="17" t="n">
        <v>38407</v>
      </c>
      <c r="F32" s="17" t="n">
        <v>58150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>
        <v>73247</v>
      </c>
      <c r="C35" s="17" t="n">
        <v>65689</v>
      </c>
      <c r="D35" s="17" t="n">
        <v>51741</v>
      </c>
      <c r="E35" s="17" t="n">
        <v>42283</v>
      </c>
      <c r="F35" s="17" t="n">
        <v>41856</v>
      </c>
    </row>
    <row r="36">
      <c r="A36" s="16" t="inlineStr">
        <is>
          <t>Anden gæld (langfristet)</t>
        </is>
      </c>
      <c r="B36" s="17" t="n"/>
      <c r="C36" s="17" t="n"/>
      <c r="D36" s="17" t="n"/>
      <c r="E36" s="17" t="n"/>
      <c r="F36" s="17" t="n"/>
    </row>
    <row r="37">
      <c r="A37" s="15" t="inlineStr">
        <is>
          <t>Langfristede gældsforpligtelser</t>
        </is>
      </c>
      <c r="B37" s="17" t="n">
        <v>672058</v>
      </c>
      <c r="C37" s="17" t="n">
        <v>682461</v>
      </c>
      <c r="D37" s="17" t="n">
        <v>505871</v>
      </c>
      <c r="E37" s="17" t="n">
        <v>505634</v>
      </c>
      <c r="F37" s="17" t="n">
        <v>505380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0</v>
      </c>
      <c r="C40" s="17" t="n">
        <v>1045</v>
      </c>
      <c r="D40" s="17" t="n">
        <v>937</v>
      </c>
      <c r="E40" s="17" t="n">
        <v>936</v>
      </c>
      <c r="F40" s="17" t="n">
        <v>905</v>
      </c>
    </row>
    <row r="41">
      <c r="A41" s="16" t="inlineStr">
        <is>
          <t>Leasingforpligtelser (kortfristet)</t>
        </is>
      </c>
      <c r="B41" s="17" t="n">
        <v>23076</v>
      </c>
      <c r="C41" s="17" t="n">
        <v>23874</v>
      </c>
      <c r="D41" s="17" t="n">
        <v>21004</v>
      </c>
      <c r="E41" s="17" t="n">
        <v>23049</v>
      </c>
      <c r="F41" s="17" t="n">
        <v>26843</v>
      </c>
    </row>
    <row r="42">
      <c r="A42" s="16" t="inlineStr">
        <is>
          <t>Leverandører af varer og tjenesteydelser</t>
        </is>
      </c>
      <c r="B42" s="17" t="n">
        <v>554333</v>
      </c>
      <c r="C42" s="17" t="n">
        <v>522247</v>
      </c>
      <c r="D42" s="17" t="n">
        <v>292288</v>
      </c>
      <c r="E42" s="17" t="n">
        <v>378793</v>
      </c>
      <c r="F42" s="17" t="n">
        <v>505595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148123</v>
      </c>
      <c r="C47" s="17" t="n">
        <v>141872</v>
      </c>
      <c r="D47" s="17" t="n">
        <v>96024</v>
      </c>
      <c r="E47" s="17" t="n">
        <v>67659</v>
      </c>
      <c r="F47" s="17" t="n">
        <v>113953</v>
      </c>
    </row>
    <row r="48">
      <c r="A48" s="16" t="inlineStr">
        <is>
          <t>Periodeafgrænsningsposter (passiver)</t>
        </is>
      </c>
      <c r="B48" s="17" t="n">
        <v>84730</v>
      </c>
      <c r="C48" s="17" t="n">
        <v>105041</v>
      </c>
      <c r="D48" s="17" t="n">
        <v>90973</v>
      </c>
      <c r="E48" s="17" t="n"/>
      <c r="F48" s="17" t="n"/>
    </row>
    <row r="49">
      <c r="A49" s="15" t="inlineStr">
        <is>
          <t>Kortfristede gældsforpligtelser</t>
        </is>
      </c>
      <c r="B49" s="17" t="n">
        <v>900059</v>
      </c>
      <c r="C49" s="17" t="n">
        <v>878183</v>
      </c>
      <c r="D49" s="17" t="n">
        <v>550642</v>
      </c>
      <c r="E49" s="17" t="n">
        <v>690957</v>
      </c>
      <c r="F49" s="17" t="n">
        <v>1194774</v>
      </c>
    </row>
    <row r="50">
      <c r="A50" s="15" t="inlineStr">
        <is>
          <t>Gældsforpligtelser</t>
        </is>
      </c>
      <c r="B50" s="17" t="n">
        <v>1692727</v>
      </c>
      <c r="C50" s="17" t="n">
        <v>1691201</v>
      </c>
      <c r="D50" s="17" t="n">
        <v>1166672</v>
      </c>
      <c r="E50" s="17" t="n">
        <v>1286617</v>
      </c>
      <c r="F50" s="17" t="n">
        <v>1808579</v>
      </c>
    </row>
    <row r="51">
      <c r="A51" s="15" t="inlineStr">
        <is>
          <t>Passiver</t>
        </is>
      </c>
      <c r="B51" s="17" t="n">
        <v>3577709</v>
      </c>
      <c r="C51" s="17" t="n">
        <v>3572291</v>
      </c>
      <c r="D51" s="17" t="n">
        <v>3264265</v>
      </c>
      <c r="E51" s="17" t="n">
        <v>3368379</v>
      </c>
      <c r="F51" s="17" t="n">
        <v>3901265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huskom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258477</v>
      </c>
      <c r="C2" s="17" t="n">
        <v>268471</v>
      </c>
      <c r="D2" s="17" t="n">
        <v>249438</v>
      </c>
      <c r="E2" s="17" t="n">
        <v>115471</v>
      </c>
      <c r="F2" s="17" t="n">
        <v>135806</v>
      </c>
    </row>
    <row r="3">
      <c r="A3" s="16" t="inlineStr">
        <is>
          <t>Pengestrømme fra investeringsaktivitet</t>
        </is>
      </c>
      <c r="B3" s="17" t="n">
        <v>-21762</v>
      </c>
      <c r="C3" s="17" t="n">
        <v>-116554</v>
      </c>
      <c r="D3" s="17" t="n">
        <v>-20136</v>
      </c>
      <c r="E3" s="17" t="n">
        <v>-10893</v>
      </c>
      <c r="F3" s="17" t="n">
        <v>-33932</v>
      </c>
    </row>
    <row r="4">
      <c r="A4" s="16" t="inlineStr">
        <is>
          <t>Pengestrømme fra finansieringsaktivitet</t>
        </is>
      </c>
      <c r="B4" s="17" t="n">
        <v>-261430</v>
      </c>
      <c r="C4" s="17" t="n">
        <v>-192317</v>
      </c>
      <c r="D4" s="17" t="n">
        <v>-9207</v>
      </c>
      <c r="E4" s="17" t="n">
        <v>-27900</v>
      </c>
      <c r="F4" s="17" t="n">
        <v>-25297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huskom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IF(COUNT('res_raw'!$F$2,'res_raw'!$F$3)=0,'res_raw'!$F$4,SUM(B5:B6))</f>
        <v/>
      </c>
      <c r="C7" s="27">
        <f>IF(COUNT('res_raw'!$E$2,'res_raw'!$E$3)=0,'res_raw'!$E$4,SUM(C5:C6))</f>
        <v/>
      </c>
      <c r="D7" s="27">
        <f>IF(COUNT('res_raw'!$D$2,'res_raw'!$D$3)=0,'res_raw'!$D$4,SUM(D5:D6))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huskom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ifrs-full:BankOverdraftsClassifiedAsCashEquivalents</t>
        </is>
      </c>
      <c r="C3" s="34" t="inlineStr">
        <is>
          <t>ifrs-full:BankOverdraftsClassifiedAsCashEquivalents</t>
        </is>
      </c>
      <c r="D3" s="35" t="n">
        <v>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ifrs-full:CashAndCashEquivalentsInSubsidiaryOrBusinessesAcquiredOrDisposed2013</t>
        </is>
      </c>
      <c r="C4" s="37" t="inlineStr">
        <is>
          <t>ifrs-full:CashAndCashEquivalentsInSubsidiaryOrBusinessesAcquiredOrDisposed2013</t>
        </is>
      </c>
      <c r="D4" s="38" t="n">
        <v>0</v>
      </c>
      <c r="E4" s="38" t="n">
        <v>-5746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ifrs-full:CurrentContractLiabilitiesForPerformanceObligationsSatisfiedOverTime</t>
        </is>
      </c>
      <c r="C5" s="34" t="inlineStr">
        <is>
          <t>ifrs-full:CurrentContractLiabilitiesForPerformanceObligationsSatisfiedOverTime</t>
        </is>
      </c>
      <c r="D5" s="35" t="n"/>
      <c r="E5" s="35" t="n"/>
      <c r="F5" s="35" t="n"/>
      <c r="G5" s="35" t="n">
        <v>146350</v>
      </c>
      <c r="H5" s="35" t="n">
        <v>475171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ifrs-full:PaymentsForShareIssueCosts</t>
        </is>
      </c>
      <c r="C6" s="37" t="inlineStr">
        <is>
          <t>ifrs-full:PaymentsForShareIssueCosts</t>
        </is>
      </c>
      <c r="D6" s="38" t="n"/>
      <c r="E6" s="38" t="n">
        <v>0</v>
      </c>
      <c r="F6" s="38" t="n">
        <v>8088</v>
      </c>
      <c r="G6" s="38" t="n">
        <v>0</v>
      </c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2026-09-27T21:18:19Z</dcterms:created>
  <dcterms:modified xmlns:dcterms="http://purl.org/dc/terms/" xmlns:xsi="http://www.w3.org/2001/XMLSchema-instance" xsi:type="dcterms:W3CDTF">2026-09-27T21:18:19Z</dcterms:modified>
</cp:coreProperties>
</file>