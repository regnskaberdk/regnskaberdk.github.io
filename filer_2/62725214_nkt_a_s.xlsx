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nkt — 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t.EUR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'balance_raw'!$B$24</f>
        <v/>
      </c>
      <c r="C45" s="8">
        <f>'balance_raw'!$C$24</f>
        <v/>
      </c>
      <c r="D45" s="8">
        <f>'balance_raw'!$D$24</f>
        <v/>
      </c>
      <c r="E45" s="8">
        <f>'balance_raw'!$E$24</f>
        <v/>
      </c>
      <c r="F45" s="8">
        <f>'balance_raw'!$F$24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'balance_raw'!$B$28</f>
        <v/>
      </c>
      <c r="C49" s="8">
        <f>'balance_raw'!$C$28</f>
        <v/>
      </c>
      <c r="D49" s="8">
        <f>'balance_raw'!$D$28</f>
        <v/>
      </c>
      <c r="E49" s="8">
        <f>'balance_raw'!$E$28</f>
        <v/>
      </c>
      <c r="F49" s="8">
        <f>'balance_raw'!$F$28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'balance_raw'!$B$31</f>
        <v/>
      </c>
      <c r="C52" s="11">
        <f>'balance_raw'!$C$31</f>
        <v/>
      </c>
      <c r="D52" s="11">
        <f>'balance_raw'!$D$31</f>
        <v/>
      </c>
      <c r="E52" s="11">
        <f>'balance_raw'!$E$31</f>
        <v/>
      </c>
      <c r="F52" s="11">
        <f>'balance_raw'!$F$31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t.EUR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'balance_raw'!$B$54</f>
        <v/>
      </c>
      <c r="C77" s="8">
        <f>'balance_raw'!$C$54</f>
        <v/>
      </c>
      <c r="D77" s="8">
        <f>'balance_raw'!$D$54</f>
        <v/>
      </c>
      <c r="E77" s="8">
        <f>'balance_raw'!$E$54</f>
        <v/>
      </c>
      <c r="F77" s="8">
        <f>'balance_raw'!$F$54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'balance_raw'!$B$55</f>
        <v/>
      </c>
      <c r="C78" s="5">
        <f>'balance_raw'!$C$55</f>
        <v/>
      </c>
      <c r="D78" s="5">
        <f>'balance_raw'!$D$55</f>
        <v/>
      </c>
      <c r="E78" s="5">
        <f>'balance_raw'!$E$55</f>
        <v/>
      </c>
      <c r="F78" s="5">
        <f>'balance_raw'!$F$55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'balance_raw'!$B$56</f>
        <v/>
      </c>
      <c r="C79" s="8">
        <f>'balance_raw'!$C$56</f>
        <v/>
      </c>
      <c r="D79" s="8">
        <f>'balance_raw'!$D$56</f>
        <v/>
      </c>
      <c r="E79" s="8">
        <f>'balance_raw'!$E$56</f>
        <v/>
      </c>
      <c r="F79" s="8">
        <f>'balance_raw'!$F$56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'balance_raw'!$B$57</f>
        <v/>
      </c>
      <c r="C80" s="11">
        <f>'balance_raw'!$C$57</f>
        <v/>
      </c>
      <c r="D80" s="11">
        <f>'balance_raw'!$D$57</f>
        <v/>
      </c>
      <c r="E80" s="11">
        <f>'balance_raw'!$E$57</f>
        <v/>
      </c>
      <c r="F80" s="11">
        <f>'balance_raw'!$F$57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'balance_raw'!$B$58</f>
        <v/>
      </c>
      <c r="C81" s="11">
        <f>'balance_raw'!$C$58</f>
        <v/>
      </c>
      <c r="D81" s="11">
        <f>'balance_raw'!$D$58</f>
        <v/>
      </c>
      <c r="E81" s="11">
        <f>'balance_raw'!$E$58</f>
        <v/>
      </c>
      <c r="F81" s="11">
        <f>'balance_raw'!$F$58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'balance_raw'!$B$59</f>
        <v/>
      </c>
      <c r="C82" s="11">
        <f>'balance_raw'!$C$59</f>
        <v/>
      </c>
      <c r="D82" s="11">
        <f>'balance_raw'!$D$59</f>
        <v/>
      </c>
      <c r="E82" s="11">
        <f>'balance_raw'!$E$59</f>
        <v/>
      </c>
      <c r="F82" s="11">
        <f>'balance_raw'!$F$59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'res_raw'!$B$19</f>
        <v/>
      </c>
      <c r="C85" s="8">
        <f>'res_raw'!$C$19</f>
        <v/>
      </c>
      <c r="D85" s="8">
        <f>'res_raw'!$D$19</f>
        <v/>
      </c>
      <c r="E85" s="8">
        <f>'res_raw'!$E$19</f>
        <v/>
      </c>
      <c r="F85" s="8">
        <f>'res_raw'!$F$19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'res_raw'!$B$20</f>
        <v/>
      </c>
      <c r="C86" s="5">
        <f>'res_raw'!$C$20</f>
        <v/>
      </c>
      <c r="D86" s="5">
        <f>'res_raw'!$D$20</f>
        <v/>
      </c>
      <c r="E86" s="5">
        <f>'res_raw'!$E$20</f>
        <v/>
      </c>
      <c r="F86" s="5">
        <f>'res_raw'!$F$20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t.EUR</t>
        </is>
      </c>
    </row>
    <row r="102">
      <c r="A102" s="16" t="inlineStr">
        <is>
          <t>Pengestrømme fra driftsaktivitet</t>
        </is>
      </c>
      <c r="B102" s="17">
        <f>'pengestrom_raw'!$B$2</f>
        <v/>
      </c>
      <c r="C102" s="17">
        <f>'pengestrom_raw'!$C$2</f>
        <v/>
      </c>
      <c r="D102" s="17">
        <f>'pengestrom_raw'!$D$2</f>
        <v/>
      </c>
      <c r="E102" s="17">
        <f>'pengestrom_raw'!$E$2</f>
        <v/>
      </c>
      <c r="F102" s="17">
        <f>'pengestrom_raw'!$F$2</f>
        <v/>
      </c>
    </row>
    <row r="103">
      <c r="A103" s="16" t="inlineStr">
        <is>
          <t>Pengestrømme fra investeringsaktivitet</t>
        </is>
      </c>
      <c r="B103" s="17">
        <f>'pengestrom_raw'!$B$3</f>
        <v/>
      </c>
      <c r="C103" s="17">
        <f>'pengestrom_raw'!$C$3</f>
        <v/>
      </c>
      <c r="D103" s="17">
        <f>'pengestrom_raw'!$D$3</f>
        <v/>
      </c>
      <c r="E103" s="17">
        <f>'pengestrom_raw'!$E$3</f>
        <v/>
      </c>
      <c r="F103" s="17">
        <f>'pengestrom_raw'!$F$3</f>
        <v/>
      </c>
    </row>
    <row r="104">
      <c r="A104" s="16" t="inlineStr">
        <is>
          <t>Pengestrømme fra finansieringsaktivitet</t>
        </is>
      </c>
      <c r="B104" s="17">
        <f>'pengestrom_raw'!$B$4</f>
        <v/>
      </c>
      <c r="C104" s="17">
        <f>'pengestrom_raw'!$C$4</f>
        <v/>
      </c>
      <c r="D104" s="17">
        <f>'pengestrom_raw'!$D$4</f>
        <v/>
      </c>
      <c r="E104" s="17">
        <f>'pengestrom_raw'!$E$4</f>
        <v/>
      </c>
      <c r="F104" s="17">
        <f>'pengestrom_raw'!$F$4</f>
        <v/>
      </c>
    </row>
    <row r="105">
      <c r="A105" s="16" t="inlineStr">
        <is>
          <t>Årets pengestrøm (rapporteret)</t>
        </is>
      </c>
      <c r="B105" s="17">
        <f>'pengestrom_raw'!$B$5</f>
        <v/>
      </c>
      <c r="C105" s="17">
        <f>'pengestrom_raw'!$C$5</f>
        <v/>
      </c>
      <c r="D105" s="17">
        <f>'pengestrom_raw'!$D$5</f>
        <v/>
      </c>
      <c r="E105" s="17">
        <f>'pengestrom_raw'!$E$5</f>
        <v/>
      </c>
      <c r="F105" s="17">
        <f>'pengestrom_raw'!$F$5</f>
        <v/>
      </c>
    </row>
    <row r="106">
      <c r="A106" s="16" t="inlineStr">
        <is>
          <t>Krydstjek: drift + inv. + fin. = årets pengestrøm</t>
        </is>
      </c>
      <c r="B10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nkt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1827900</v>
      </c>
      <c r="C2" s="17" t="n">
        <v>2079000</v>
      </c>
      <c r="D2" s="17" t="n">
        <v>2567200</v>
      </c>
      <c r="E2" s="17" t="n">
        <v>3252000</v>
      </c>
      <c r="F2" s="17" t="n">
        <v>3565000</v>
      </c>
    </row>
    <row r="3">
      <c r="A3" s="16" t="inlineStr">
        <is>
          <t>Andre driftsindtægter</t>
        </is>
      </c>
      <c r="B3" s="17" t="n"/>
      <c r="C3" s="17" t="n">
        <v>14200</v>
      </c>
      <c r="D3" s="17" t="n">
        <v>3900</v>
      </c>
      <c r="E3" s="17" t="n">
        <v>9000</v>
      </c>
      <c r="F3" s="17" t="n">
        <v>9000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>
        <v>226600</v>
      </c>
      <c r="D5" s="17" t="n">
        <v>261900</v>
      </c>
      <c r="E5" s="17" t="n">
        <v>310000</v>
      </c>
      <c r="F5" s="17" t="n">
        <v>319000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311500</v>
      </c>
      <c r="C7" s="17" t="n">
        <v>302500</v>
      </c>
      <c r="D7" s="17" t="n">
        <v>339300</v>
      </c>
      <c r="E7" s="17" t="n">
        <v>393000</v>
      </c>
      <c r="F7" s="17" t="n">
        <v>482000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68700</v>
      </c>
      <c r="C9" s="17" t="n">
        <v>62700</v>
      </c>
      <c r="D9" s="17" t="n">
        <v>71100</v>
      </c>
      <c r="E9" s="17" t="n"/>
      <c r="F9" s="17" t="n"/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23900</v>
      </c>
      <c r="C11" s="17" t="n">
        <v>69200</v>
      </c>
      <c r="D11" s="17" t="n">
        <v>164400</v>
      </c>
      <c r="E11" s="17" t="n">
        <v>240000</v>
      </c>
      <c r="F11" s="17" t="n">
        <v>257000</v>
      </c>
    </row>
    <row r="12">
      <c r="A12" s="16" t="inlineStr">
        <is>
          <t>Indtægter af kapitalandele, dattervirksomheder</t>
        </is>
      </c>
      <c r="B12" s="17" t="n"/>
      <c r="C12" s="17" t="n">
        <v>0</v>
      </c>
      <c r="D12" s="17" t="n">
        <v>-200</v>
      </c>
      <c r="E12" s="17" t="n"/>
      <c r="F12" s="17" t="n"/>
    </row>
    <row r="13">
      <c r="A13" s="16" t="inlineStr">
        <is>
          <t>Finansielle indtægter</t>
        </is>
      </c>
      <c r="B13" s="17" t="n">
        <v>65800</v>
      </c>
      <c r="C13" s="17" t="n">
        <v>72300</v>
      </c>
      <c r="D13" s="17" t="n">
        <v>109500</v>
      </c>
      <c r="E13" s="17" t="n">
        <v>49000</v>
      </c>
      <c r="F13" s="17" t="n">
        <v>69000</v>
      </c>
    </row>
    <row r="14">
      <c r="A14" s="16" t="inlineStr">
        <is>
          <t>Finansielle omkostninger</t>
        </is>
      </c>
      <c r="B14" s="17" t="n">
        <v>74000</v>
      </c>
      <c r="C14" s="17" t="n">
        <v>63200</v>
      </c>
      <c r="D14" s="17" t="n">
        <v>125100</v>
      </c>
      <c r="E14" s="17" t="n">
        <v>15000</v>
      </c>
      <c r="F14" s="17" t="n">
        <v>32000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15700</v>
      </c>
      <c r="C16" s="17" t="n">
        <v>78300</v>
      </c>
      <c r="D16" s="17" t="n">
        <v>148800</v>
      </c>
      <c r="E16" s="17" t="n">
        <v>274000</v>
      </c>
      <c r="F16" s="17" t="n">
        <v>294000</v>
      </c>
    </row>
    <row r="17">
      <c r="A17" s="16" t="inlineStr">
        <is>
          <t>Skat af årets resultat</t>
        </is>
      </c>
      <c r="B17" s="17" t="n">
        <v>3800</v>
      </c>
      <c r="C17" s="17" t="n">
        <v>23200</v>
      </c>
      <c r="D17" s="17" t="n">
        <v>30100</v>
      </c>
      <c r="E17" s="17" t="n">
        <v>38000</v>
      </c>
      <c r="F17" s="17" t="n">
        <v>19000</v>
      </c>
    </row>
    <row r="18">
      <c r="A18" s="15" t="inlineStr">
        <is>
          <t>Årets resultat</t>
        </is>
      </c>
      <c r="B18" s="17" t="n">
        <v>11900</v>
      </c>
      <c r="C18" s="17" t="n">
        <v>55100</v>
      </c>
      <c r="D18" s="17" t="n">
        <v>118700</v>
      </c>
      <c r="E18" s="17" t="n">
        <v>236000</v>
      </c>
      <c r="F18" s="17" t="n">
        <v>275000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184500</v>
      </c>
      <c r="C20" s="17" t="n">
        <v>156100</v>
      </c>
      <c r="D20" s="17" t="n">
        <v>204500</v>
      </c>
      <c r="E20" s="17" t="n">
        <v>463000</v>
      </c>
      <c r="F20" s="17" t="n">
        <v>695000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nkt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31700</v>
      </c>
      <c r="C2" s="17" t="n">
        <v>19700</v>
      </c>
      <c r="D2" s="17" t="n">
        <v>37100</v>
      </c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404400</v>
      </c>
      <c r="C4" s="17" t="n">
        <v>350400</v>
      </c>
      <c r="D4" s="17" t="n">
        <v>350900</v>
      </c>
      <c r="E4" s="17" t="n">
        <v>405000</v>
      </c>
      <c r="F4" s="17" t="n">
        <v>428000</v>
      </c>
    </row>
    <row r="5">
      <c r="A5" s="15" t="inlineStr">
        <is>
          <t>Immaterielle anlægsaktiver</t>
        </is>
      </c>
      <c r="B5" s="17" t="n">
        <v>621700</v>
      </c>
      <c r="C5" s="17" t="n">
        <v>528400</v>
      </c>
      <c r="D5" s="17" t="n">
        <v>544400</v>
      </c>
      <c r="E5" s="17" t="n">
        <v>241000</v>
      </c>
      <c r="F5" s="17" t="n">
        <v>270000</v>
      </c>
    </row>
    <row r="6">
      <c r="A6" s="16" t="inlineStr">
        <is>
          <t>Grunde og bygninger</t>
        </is>
      </c>
      <c r="B6" s="17" t="n">
        <v>288400</v>
      </c>
      <c r="C6" s="17" t="n">
        <v>292400</v>
      </c>
      <c r="D6" s="17" t="n">
        <v>377100</v>
      </c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45600</v>
      </c>
      <c r="C8" s="17" t="n">
        <v>45000</v>
      </c>
      <c r="D8" s="17" t="n">
        <v>56800</v>
      </c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191400</v>
      </c>
      <c r="C10" s="17" t="n">
        <v>209500</v>
      </c>
      <c r="D10" s="17" t="n">
        <v>201000</v>
      </c>
      <c r="E10" s="17" t="n"/>
      <c r="F10" s="17" t="n"/>
    </row>
    <row r="11">
      <c r="A11" s="15" t="inlineStr">
        <is>
          <t>Materielle anlægsaktiver</t>
        </is>
      </c>
      <c r="B11" s="17" t="n">
        <v>782900</v>
      </c>
      <c r="C11" s="17" t="n">
        <v>844800</v>
      </c>
      <c r="D11" s="17" t="n">
        <v>1013900</v>
      </c>
      <c r="E11" s="17" t="n">
        <v>1464000</v>
      </c>
      <c r="F11" s="17" t="n">
        <v>2163000</v>
      </c>
    </row>
    <row r="12">
      <c r="A12" s="16" t="inlineStr">
        <is>
          <t>Kapitalandele, dattervirksomheder</t>
        </is>
      </c>
      <c r="B12" s="17" t="n"/>
      <c r="C12" s="17" t="n">
        <v>0</v>
      </c>
      <c r="D12" s="17" t="n">
        <v>9100</v>
      </c>
      <c r="E12" s="17" t="n">
        <v>8000</v>
      </c>
      <c r="F12" s="17" t="n">
        <v>8000</v>
      </c>
    </row>
    <row r="13">
      <c r="A13" s="16" t="inlineStr">
        <is>
          <t>Deposita</t>
        </is>
      </c>
      <c r="B13" s="17" t="n">
        <v>25700</v>
      </c>
      <c r="C13" s="17" t="n">
        <v>12500</v>
      </c>
      <c r="D13" s="17" t="n">
        <v>22200</v>
      </c>
      <c r="E13" s="17" t="n">
        <v>39000</v>
      </c>
      <c r="F13" s="17" t="n">
        <v>38000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1430300</v>
      </c>
      <c r="C15" s="17" t="n">
        <v>1385700</v>
      </c>
      <c r="D15" s="17" t="n">
        <v>1580500</v>
      </c>
      <c r="E15" s="17" t="n">
        <v>2183000</v>
      </c>
      <c r="F15" s="17" t="n">
        <v>2968000</v>
      </c>
    </row>
    <row r="16">
      <c r="A16" s="16" t="inlineStr">
        <is>
          <t>Råvarer og hjælpematerialer</t>
        </is>
      </c>
      <c r="B16" s="17" t="n">
        <v>1241600</v>
      </c>
      <c r="C16" s="17" t="n">
        <v>1442600</v>
      </c>
      <c r="D16" s="17" t="n">
        <v>1746700</v>
      </c>
      <c r="E16" s="17" t="n">
        <v>2215000</v>
      </c>
      <c r="F16" s="17" t="n">
        <v>2383000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287400</v>
      </c>
      <c r="C19" s="17" t="n">
        <v>334900</v>
      </c>
      <c r="D19" s="17" t="n">
        <v>311300</v>
      </c>
      <c r="E19" s="17" t="n">
        <v>424000</v>
      </c>
      <c r="F19" s="17" t="n">
        <v>439000</v>
      </c>
    </row>
    <row r="20">
      <c r="A20" s="16" t="inlineStr">
        <is>
          <t>Tilgodehavender fra salg og tjenesteydelser</t>
        </is>
      </c>
      <c r="B20" s="17" t="n">
        <v>528900</v>
      </c>
      <c r="C20" s="17" t="n">
        <v>522500</v>
      </c>
      <c r="D20" s="17" t="n">
        <v>525200</v>
      </c>
      <c r="E20" s="17" t="n">
        <v>256000</v>
      </c>
      <c r="F20" s="17" t="n">
        <v>349000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>
        <v>131000</v>
      </c>
      <c r="F22" s="17" t="n">
        <v>122000</v>
      </c>
    </row>
    <row r="23">
      <c r="A23" s="16" t="inlineStr">
        <is>
          <t>Periodeafgrænsningsposter (aktiver)</t>
        </is>
      </c>
      <c r="B23" s="17" t="n">
        <v>97300</v>
      </c>
      <c r="C23" s="17" t="n">
        <v>98200</v>
      </c>
      <c r="D23" s="17" t="n">
        <v>106900</v>
      </c>
      <c r="E23" s="17" t="n">
        <v>143000</v>
      </c>
      <c r="F23" s="17" t="n">
        <v>249000</v>
      </c>
    </row>
    <row r="24">
      <c r="A24" s="16" t="inlineStr">
        <is>
          <t>Udskudt skatteaktiv</t>
        </is>
      </c>
      <c r="B24" s="17" t="n">
        <v>24900</v>
      </c>
      <c r="C24" s="17" t="n">
        <v>11700</v>
      </c>
      <c r="D24" s="17" t="n">
        <v>12300</v>
      </c>
      <c r="E24" s="17" t="n">
        <v>21000</v>
      </c>
      <c r="F24" s="17" t="n">
        <v>59000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8800</v>
      </c>
      <c r="C26" s="17" t="n">
        <v>3300</v>
      </c>
      <c r="D26" s="17" t="n">
        <v>14600</v>
      </c>
      <c r="E26" s="17" t="n">
        <v>37000</v>
      </c>
      <c r="F26" s="17" t="n">
        <v>56000</v>
      </c>
    </row>
    <row r="27">
      <c r="A27" s="15" t="inlineStr">
        <is>
          <t>Tilgodehavender</t>
        </is>
      </c>
      <c r="B27" s="17" t="n"/>
      <c r="C27" s="17" t="n"/>
      <c r="D27" s="17" t="n"/>
      <c r="E27" s="17" t="n">
        <v>167000</v>
      </c>
      <c r="F27" s="17" t="n">
        <v>198000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200500</v>
      </c>
      <c r="C29" s="17" t="n">
        <v>258500</v>
      </c>
      <c r="D29" s="17" t="n">
        <v>887900</v>
      </c>
      <c r="E29" s="17" t="n">
        <v>1518000</v>
      </c>
      <c r="F29" s="17" t="n">
        <v>1214000</v>
      </c>
    </row>
    <row r="30">
      <c r="A30" s="15" t="inlineStr">
        <is>
          <t>Omsætningsaktiver</t>
        </is>
      </c>
      <c r="B30" s="17" t="n">
        <v>1123100</v>
      </c>
      <c r="C30" s="17" t="n">
        <v>1381700</v>
      </c>
      <c r="D30" s="17" t="n">
        <v>2023500</v>
      </c>
      <c r="E30" s="17" t="n">
        <v>2676000</v>
      </c>
      <c r="F30" s="17" t="n">
        <v>2627000</v>
      </c>
    </row>
    <row r="31">
      <c r="A31" s="15" t="inlineStr">
        <is>
          <t>Aktiver</t>
        </is>
      </c>
      <c r="B31" s="17" t="n">
        <v>2553400</v>
      </c>
      <c r="C31" s="17" t="n">
        <v>2767400</v>
      </c>
      <c r="D31" s="17" t="n">
        <v>3604000</v>
      </c>
      <c r="E31" s="17" t="n">
        <v>4859000</v>
      </c>
      <c r="F31" s="17" t="n">
        <v>5595000</v>
      </c>
    </row>
    <row r="32">
      <c r="A32" s="16" t="inlineStr">
        <is>
          <t>Selskabskapital</t>
        </is>
      </c>
      <c r="B32" s="17" t="n">
        <v>115400</v>
      </c>
      <c r="C32" s="17" t="n">
        <v>115400</v>
      </c>
      <c r="D32" s="17" t="n">
        <v>144300</v>
      </c>
      <c r="E32" s="17" t="n">
        <v>144000</v>
      </c>
      <c r="F32" s="17" t="n">
        <v>144000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147500</v>
      </c>
      <c r="C36" s="17" t="n">
        <v>68900</v>
      </c>
      <c r="D36" s="17" t="n">
        <v>27900</v>
      </c>
      <c r="E36" s="17" t="n">
        <v>-17000</v>
      </c>
      <c r="F36" s="17" t="n">
        <v>56000</v>
      </c>
    </row>
    <row r="37">
      <c r="A37" s="16" t="inlineStr">
        <is>
          <t>Overført resultat</t>
        </is>
      </c>
      <c r="B37" s="17" t="n">
        <v>744600</v>
      </c>
      <c r="C37" s="17" t="n">
        <v>805900</v>
      </c>
      <c r="D37" s="17" t="n">
        <v>1247400</v>
      </c>
      <c r="E37" s="17" t="n">
        <v>1571000</v>
      </c>
      <c r="F37" s="17" t="n">
        <v>1838000</v>
      </c>
    </row>
    <row r="38">
      <c r="A38" s="15" t="inlineStr">
        <is>
          <t>Egenkapital i alt</t>
        </is>
      </c>
      <c r="B38" s="17" t="n">
        <v>1007500</v>
      </c>
      <c r="C38" s="17" t="n">
        <v>990200</v>
      </c>
      <c r="D38" s="17" t="n">
        <v>1419600</v>
      </c>
      <c r="E38" s="17" t="n">
        <v>1698000</v>
      </c>
      <c r="F38" s="17" t="n">
        <v>2038000</v>
      </c>
    </row>
    <row r="39">
      <c r="A39" s="16" t="inlineStr">
        <is>
          <t>Hensættelse til udskudt skat</t>
        </is>
      </c>
      <c r="B39" s="17" t="n">
        <v>71800</v>
      </c>
      <c r="C39" s="17" t="n">
        <v>54900</v>
      </c>
      <c r="D39" s="17" t="n">
        <v>36700</v>
      </c>
      <c r="E39" s="17" t="n">
        <v>34000</v>
      </c>
      <c r="F39" s="17" t="n">
        <v>54000</v>
      </c>
    </row>
    <row r="40">
      <c r="A40" s="15" t="inlineStr">
        <is>
          <t>Hensatte forpligtelser</t>
        </is>
      </c>
      <c r="B40" s="17" t="n">
        <v>62500</v>
      </c>
      <c r="C40" s="17" t="n">
        <v>41300</v>
      </c>
      <c r="D40" s="17" t="n">
        <v>39500</v>
      </c>
      <c r="E40" s="17" t="n">
        <v>42000</v>
      </c>
      <c r="F40" s="17" t="n">
        <v>36000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>
        <v>81000</v>
      </c>
      <c r="F43" s="17" t="n">
        <v>104000</v>
      </c>
    </row>
    <row r="44">
      <c r="A44" s="16" t="inlineStr">
        <is>
          <t>Anden gæld (langfristet)</t>
        </is>
      </c>
      <c r="B44" s="17" t="n"/>
      <c r="C44" s="17" t="n"/>
      <c r="D44" s="17" t="n"/>
      <c r="E44" s="17" t="n">
        <v>51000</v>
      </c>
      <c r="F44" s="17" t="n">
        <v>11000</v>
      </c>
    </row>
    <row r="45">
      <c r="A45" s="15" t="inlineStr">
        <is>
          <t>Langfristede gældsforpligtelser</t>
        </is>
      </c>
      <c r="B45" s="17" t="n">
        <v>196400</v>
      </c>
      <c r="C45" s="17" t="n">
        <v>180900</v>
      </c>
      <c r="D45" s="17" t="n">
        <v>195500</v>
      </c>
      <c r="E45" s="17" t="n">
        <v>140000</v>
      </c>
      <c r="F45" s="17" t="n">
        <v>125000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17500</v>
      </c>
      <c r="C48" s="17" t="n">
        <v>14900</v>
      </c>
      <c r="D48" s="17" t="n">
        <v>11900</v>
      </c>
      <c r="E48" s="17" t="n">
        <v>6000</v>
      </c>
      <c r="F48" s="17" t="n">
        <v>7000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>
        <v>11000</v>
      </c>
      <c r="F49" s="17" t="n">
        <v>15000</v>
      </c>
    </row>
    <row r="50">
      <c r="A50" s="16" t="inlineStr">
        <is>
          <t>Leverandører af varer og tjenesteydelser</t>
        </is>
      </c>
      <c r="B50" s="17" t="n">
        <v>341800</v>
      </c>
      <c r="C50" s="17" t="n">
        <v>351000</v>
      </c>
      <c r="D50" s="17" t="n">
        <v>364400</v>
      </c>
      <c r="E50" s="17" t="n">
        <v>534000</v>
      </c>
      <c r="F50" s="17" t="n">
        <v>554000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170400</v>
      </c>
      <c r="C55" s="17" t="n">
        <v>223700</v>
      </c>
      <c r="D55" s="17" t="n">
        <v>238900</v>
      </c>
      <c r="E55" s="17" t="n">
        <v>291000</v>
      </c>
      <c r="F55" s="17" t="n">
        <v>276000</v>
      </c>
    </row>
    <row r="56">
      <c r="A56" s="16" t="inlineStr">
        <is>
          <t>Periodeafgrænsningsposter (passiver)</t>
        </is>
      </c>
      <c r="B56" s="17" t="n">
        <v>459300</v>
      </c>
      <c r="C56" s="17" t="n">
        <v>677600</v>
      </c>
      <c r="D56" s="17" t="n">
        <v>1036600</v>
      </c>
      <c r="E56" s="17" t="n">
        <v>626000</v>
      </c>
      <c r="F56" s="17" t="n">
        <v>948000</v>
      </c>
    </row>
    <row r="57">
      <c r="A57" s="15" t="inlineStr">
        <is>
          <t>Kortfristede gældsforpligtelser</t>
        </is>
      </c>
      <c r="B57" s="17" t="n">
        <v>1062800</v>
      </c>
      <c r="C57" s="17" t="n">
        <v>1335100</v>
      </c>
      <c r="D57" s="17" t="n">
        <v>1746100</v>
      </c>
      <c r="E57" s="17" t="n">
        <v>1607000</v>
      </c>
      <c r="F57" s="17" t="n">
        <v>1975000</v>
      </c>
    </row>
    <row r="58">
      <c r="A58" s="15" t="inlineStr">
        <is>
          <t>Gældsforpligtelser</t>
        </is>
      </c>
      <c r="B58" s="17" t="n">
        <v>1393500</v>
      </c>
      <c r="C58" s="17" t="n">
        <v>1623600</v>
      </c>
      <c r="D58" s="17" t="n">
        <v>2029000</v>
      </c>
      <c r="E58" s="17" t="n">
        <v>3006000</v>
      </c>
      <c r="F58" s="17" t="n">
        <v>3402000</v>
      </c>
    </row>
    <row r="59">
      <c r="A59" s="15" t="inlineStr">
        <is>
          <t>Passiver</t>
        </is>
      </c>
      <c r="B59" s="17" t="n">
        <v>2553400</v>
      </c>
      <c r="C59" s="17" t="n">
        <v>2767400</v>
      </c>
      <c r="D59" s="17" t="n">
        <v>3604000</v>
      </c>
      <c r="E59" s="17" t="n">
        <v>4859000</v>
      </c>
      <c r="F59" s="17" t="n">
        <v>5595000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nkt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208800</v>
      </c>
      <c r="C2" s="17" t="n">
        <v>298200</v>
      </c>
      <c r="D2" s="17" t="n">
        <v>542400</v>
      </c>
      <c r="E2" s="17" t="n"/>
      <c r="F2" s="17" t="n"/>
    </row>
    <row r="3">
      <c r="A3" s="16" t="inlineStr">
        <is>
          <t>Pengestrømme fra investeringsaktivitet</t>
        </is>
      </c>
      <c r="B3" s="17" t="n">
        <v>-211200</v>
      </c>
      <c r="C3" s="17" t="n">
        <v>-204800</v>
      </c>
      <c r="D3" s="17" t="n">
        <v>-247000</v>
      </c>
      <c r="E3" s="17" t="n"/>
      <c r="F3" s="17" t="n"/>
    </row>
    <row r="4">
      <c r="A4" s="16" t="inlineStr">
        <is>
          <t>Pengestrømme fra finansieringsaktivitet</t>
        </is>
      </c>
      <c r="B4" s="17" t="n">
        <v>-36600</v>
      </c>
      <c r="C4" s="17" t="n">
        <v>-36000</v>
      </c>
      <c r="D4" s="17" t="n">
        <v>333800</v>
      </c>
      <c r="E4" s="17" t="n">
        <v>-27000</v>
      </c>
      <c r="F4" s="17" t="n">
        <v>-58000</v>
      </c>
    </row>
    <row r="5">
      <c r="A5" s="16" t="inlineStr">
        <is>
          <t>Årets pengestrøm</t>
        </is>
      </c>
      <c r="B5" s="17" t="n">
        <v>-38700</v>
      </c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nkt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IF('balance_raw'!$F$31="","—",IF(ABS(B21-'balance_raw'!$F$31)&lt;=1,"✓ OK","❌ "&amp;TEXT(B21-'balance_raw'!$F$31,"+#,##0;-#,##0")&amp;" t.EUR"))</f>
        <v/>
      </c>
      <c r="C61" s="29">
        <f>IF('balance_raw'!$E$31="","—",IF(ABS(C21-'balance_raw'!$E$31)&lt;=1,"✓ OK","❌ "&amp;TEXT(C21-'balance_raw'!$E$31,"+#,##0;-#,##0")&amp;" t.EUR"))</f>
        <v/>
      </c>
      <c r="D61" s="29">
        <f>IF('balance_raw'!$D$31="","—",IF(ABS(D21-'balance_raw'!$D$31)&lt;=1,"✓ OK","❌ "&amp;TEXT(D21-'balance_raw'!$D$31,"+#,##0;-#,##0")&amp;" t.EUR"))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IF('balance_raw'!$F$59="","—",IF(ABS(B25-'balance_raw'!$F$59)&lt;=1,"✓ OK","❌ "&amp;TEXT(B25-'balance_raw'!$F$59,"+#,##0;-#,##0")&amp;" t.EUR"))</f>
        <v/>
      </c>
      <c r="C62" s="29">
        <f>IF('balance_raw'!$E$59="","—",IF(ABS(C25-'balance_raw'!$E$59)&lt;=1,"✓ OK","❌ "&amp;TEXT(C25-'balance_raw'!$E$59,"+#,##0;-#,##0")&amp;" t.EUR"))</f>
        <v/>
      </c>
      <c r="D62" s="29">
        <f>IF('balance_raw'!$D$59="","—",IF(ABS(D25-'balance_raw'!$D$59)&lt;=1,"✓ OK","❌ "&amp;TEXT(D25-'balance_raw'!$D$59,"+#,##0;-#,##0")&amp;" t.EUR"))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t.EUR")</f>
        <v/>
      </c>
      <c r="C63" s="29">
        <f>IF(ABS(C21-C25)&lt;=1,"✓ OK","❌ "&amp;TEXT(C21-C25,"+#,##0;-#,##0")&amp;" t.EUR")</f>
        <v/>
      </c>
      <c r="D63" s="29">
        <f>IF(ABS(D21-D25)&lt;=1,"✓ OK","❌ "&amp;TEXT(D21-D25,"+#,##0;-#,##0")&amp;" t.EUR")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t.EUR"))</f>
        <v/>
      </c>
      <c r="C64" s="29">
        <f>IF('res_raw'!$E$6="","—",IF(ABS(C9-'res_raw'!$E$6)&lt;=1,"✓ OK","❌ "&amp;TEXT(C9-'res_raw'!$E$6,"+#,##0;-#,##0")&amp;" t.EUR"))</f>
        <v/>
      </c>
      <c r="D64" s="29">
        <f>IF('res_raw'!$D$6="","—",IF(ABS(D9-'res_raw'!$D$6)&lt;=1,"✓ OK","❌ "&amp;TEXT(D9-'res_raw'!$D$6,"+#,##0;-#,##0")&amp;" t.EUR"))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t.EUR"))</f>
        <v/>
      </c>
      <c r="C65" s="29">
        <f>IF('res_raw'!$E$11="","—",IF(ABS(C13-'res_raw'!$E$11)&lt;=1,"✓ OK","❌ "&amp;TEXT(C13-'res_raw'!$E$11,"+#,##0;-#,##0")&amp;" t.EUR"))</f>
        <v/>
      </c>
      <c r="D65" s="29">
        <f>IF('res_raw'!$D$11="","—",IF(ABS(D13-'res_raw'!$D$11)&lt;=1,"✓ OK","❌ "&amp;TEXT(D13-'res_raw'!$D$11,"+#,##0;-#,##0")&amp;" t.EUR"))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t.EUR"))</f>
        <v/>
      </c>
      <c r="C66" s="29">
        <f>IF('res_raw'!$E$16="","—",IF(ABS(C16-'res_raw'!$E$16)&lt;=1,"✓ OK","❌ "&amp;TEXT(C16-'res_raw'!$E$16,"+#,##0;-#,##0")&amp;" t.EUR"))</f>
        <v/>
      </c>
      <c r="D66" s="29">
        <f>IF('res_raw'!$D$16="","—",IF(ABS(D16-'res_raw'!$D$16)&lt;=1,"✓ OK","❌ "&amp;TEXT(D16-'res_raw'!$D$16,"+#,##0;-#,##0")&amp;" t.EUR"))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nkt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ifrs-full:AmortisationExpense</t>
        </is>
      </c>
      <c r="C3" s="34" t="inlineStr">
        <is>
          <t>ifrs-full:AmortisationExpense</t>
        </is>
      </c>
      <c r="D3" s="35" t="n">
        <v>25800</v>
      </c>
      <c r="E3" s="35" t="n">
        <v>22700</v>
      </c>
      <c r="F3" s="35" t="n">
        <v>18400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ifrs-full:CashFlowsFromUsedInInvestingActivitiesContinuingOperations</t>
        </is>
      </c>
      <c r="C4" s="37" t="inlineStr">
        <is>
          <t>ifrs-full:CashFlowsFromUsedInInvestingActivitiesContinuingOperations</t>
        </is>
      </c>
      <c r="D4" s="38" t="n"/>
      <c r="E4" s="38" t="n"/>
      <c r="F4" s="38" t="n"/>
      <c r="G4" s="38" t="n">
        <v>-639000</v>
      </c>
      <c r="H4" s="38" t="n">
        <v>-743000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ifrs-full:CashFlowsFromUsedInOperatingActivitiesContinuingOperations</t>
        </is>
      </c>
      <c r="C5" s="34" t="inlineStr">
        <is>
          <t>ifrs-full:CashFlowsFromUsedInOperatingActivitiesContinuingOperations</t>
        </is>
      </c>
      <c r="D5" s="35" t="n"/>
      <c r="E5" s="35" t="n"/>
      <c r="F5" s="35" t="n"/>
      <c r="G5" s="35" t="n">
        <v>1039000</v>
      </c>
      <c r="H5" s="35" t="n">
        <v>499000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ifrs-full:ComputerSoftware</t>
        </is>
      </c>
      <c r="C6" s="37" t="inlineStr">
        <is>
          <t>ifrs-full:ComputerSoftware</t>
        </is>
      </c>
      <c r="D6" s="38" t="n">
        <v>42200</v>
      </c>
      <c r="E6" s="38" t="n">
        <v>31200</v>
      </c>
      <c r="F6" s="38" t="n">
        <v>24400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ifrs-full:CopyrightsPatentsAndOtherIndustrialPropertyRightsServiceAndOperatingRights</t>
        </is>
      </c>
      <c r="C7" s="34" t="inlineStr">
        <is>
          <t>ifrs-full:CopyrightsPatentsAndOtherIndustrialPropertyRightsServiceAndOperatingRights</t>
        </is>
      </c>
      <c r="D7" s="35" t="n">
        <v>54400</v>
      </c>
      <c r="E7" s="35" t="n">
        <v>39400</v>
      </c>
      <c r="F7" s="35" t="n">
        <v>35200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ifrs-full:CurrentNoncashAssetsPledgedAsCollateralForWhichTransfereeHasRightByContractOrCustomToSellOrRepledgeCollateral</t>
        </is>
      </c>
      <c r="C8" s="37" t="inlineStr">
        <is>
          <t>ifrs-full:CurrentNoncashAssetsPledgedAsCollateralForWhichTransfereeHasRightByContractOrCustomToSellOrRepledgeCollateral</t>
        </is>
      </c>
      <c r="D8" s="38" t="n"/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ifrs-full:DividendsRecognisedAsDistributionsToOwnersPerShare</t>
        </is>
      </c>
      <c r="C9" s="34" t="inlineStr">
        <is>
          <t>ifrs-full:DividendsRecognisedAsDistributionsToOwnersPerShare</t>
        </is>
      </c>
      <c r="D9" s="35" t="n"/>
      <c r="E9" s="35" t="n">
        <v>0</v>
      </c>
      <c r="F9" s="35" t="n">
        <v>0</v>
      </c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ifrs-full:GainsLossesOnChangeInValueOfForwardElementsOfForwardContractsBeforeTax</t>
        </is>
      </c>
      <c r="C10" s="37" t="inlineStr">
        <is>
          <t>ifrs-full:GainsLossesOnChangeInValueOfForwardElementsOfForwardContractsBeforeTax</t>
        </is>
      </c>
      <c r="D10" s="38" t="n"/>
      <c r="E10" s="38" t="n">
        <v>1700</v>
      </c>
      <c r="F10" s="38" t="n">
        <v>24800</v>
      </c>
      <c r="G10" s="38" t="n">
        <v>-8000</v>
      </c>
      <c r="H10" s="38" t="n">
        <v>-25000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ifrs-full:IncomeTaxRelatingToChangeInValueOfForwardElementsOfForwardContractsOfOtherComprehensiveIncome</t>
        </is>
      </c>
      <c r="C11" s="34" t="inlineStr">
        <is>
          <t>ifrs-full:IncomeTaxRelatingToChangeInValueOfForwardElementsOfForwardContractsOfOtherComprehensiveIncome</t>
        </is>
      </c>
      <c r="D11" s="35" t="n"/>
      <c r="E11" s="35" t="n"/>
      <c r="F11" s="35" t="n"/>
      <c r="G11" s="35" t="n">
        <v>-1000</v>
      </c>
      <c r="H11" s="35" t="n">
        <v>-5000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ifrs-full:IncomeTaxesRefundClassifiedAsOperatingActivities</t>
        </is>
      </c>
      <c r="C12" s="37" t="inlineStr">
        <is>
          <t>ifrs-full:IncomeTaxesRefundClassifiedAsOperatingActivities</t>
        </is>
      </c>
      <c r="D12" s="38" t="n">
        <v>3700</v>
      </c>
      <c r="E12" s="38" t="n">
        <v>11100</v>
      </c>
      <c r="F12" s="38" t="n">
        <v>13400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ifrs-full:IncreaseDecreaseInCashAndCashEquivalentsDiscontinuedOperations</t>
        </is>
      </c>
      <c r="C13" s="34" t="inlineStr">
        <is>
          <t>ifrs-full:IncreaseDecreaseInCashAndCashEquivalentsDiscontinuedOperations</t>
        </is>
      </c>
      <c r="D13" s="35" t="n"/>
      <c r="E13" s="35" t="n">
        <v>8000</v>
      </c>
      <c r="F13" s="35" t="n">
        <v>-1300</v>
      </c>
      <c r="G13" s="35" t="n">
        <v>248000</v>
      </c>
      <c r="H13" s="35" t="n">
        <v>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ifrs-full:IncreaseDecreaseThroughExerciseOfWarrantsEquity</t>
        </is>
      </c>
      <c r="C14" s="37" t="inlineStr">
        <is>
          <t>ifrs-full:IncreaseDecreaseThroughExerciseOfWarrantsEquity</t>
        </is>
      </c>
      <c r="D14" s="38" t="n"/>
      <c r="E14" s="38" t="n"/>
      <c r="F14" s="38" t="n"/>
      <c r="G14" s="38" t="n"/>
      <c r="H14" s="38" t="n"/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ifrs-full:Machinery</t>
        </is>
      </c>
      <c r="C15" s="34" t="inlineStr">
        <is>
          <t>ifrs-full:Machinery</t>
        </is>
      </c>
      <c r="D15" s="35" t="n">
        <v>257500</v>
      </c>
      <c r="E15" s="35" t="n">
        <v>297900</v>
      </c>
      <c r="F15" s="35" t="n">
        <v>379000</v>
      </c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ifrs-full:NoncurrentAssetsOrDisposalGroupsClassifiedAsHeldForSaleOrAsHeldForDistributionToOwners</t>
        </is>
      </c>
      <c r="C16" s="37" t="inlineStr">
        <is>
          <t>ifrs-full:NoncurrentAssetsOrDisposalGroupsClassifiedAsHeldForSaleOrAsHeldForDistributionToOwners</t>
        </is>
      </c>
      <c r="D16" s="38" t="n">
        <v>0</v>
      </c>
      <c r="E16" s="38" t="n">
        <v>164100</v>
      </c>
      <c r="F16" s="38" t="n">
        <v>177400</v>
      </c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ifrs-full:NoncurrentContractLiabilities</t>
        </is>
      </c>
      <c r="C17" s="34" t="inlineStr">
        <is>
          <t>ifrs-full:NoncurrentContractLiabilities</t>
        </is>
      </c>
      <c r="D17" s="35" t="n"/>
      <c r="E17" s="35" t="n"/>
      <c r="F17" s="35" t="n"/>
      <c r="G17" s="35" t="n">
        <v>1016000</v>
      </c>
      <c r="H17" s="35" t="n">
        <v>1057000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ifrs-full:OtherWorkPerformedByEntityAndCapitalised</t>
        </is>
      </c>
      <c r="C18" s="37" t="inlineStr">
        <is>
          <t>ifrs-full:OtherWorkPerformedByEntityAndCapitalised</t>
        </is>
      </c>
      <c r="D18" s="38" t="n">
        <v>28500</v>
      </c>
      <c r="E18" s="38" t="n">
        <v>33100</v>
      </c>
      <c r="F18" s="38" t="n">
        <v>31400</v>
      </c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ifrs-full:ReclassificationAdjustmentsOnChangeInValueOfForwardElementsOfForwardContractsBeforeTax</t>
        </is>
      </c>
      <c r="C19" s="34" t="inlineStr">
        <is>
          <t>ifrs-full:ReclassificationAdjustmentsOnChangeInValueOfForwardElementsOfForwardContractsBeforeTax</t>
        </is>
      </c>
      <c r="D19" s="35" t="n"/>
      <c r="E19" s="35" t="n">
        <v>0</v>
      </c>
      <c r="F19" s="35" t="n">
        <v>-3300</v>
      </c>
      <c r="G19" s="35" t="n">
        <v>-2000</v>
      </c>
      <c r="H19" s="35" t="n">
        <v>-10000</v>
      </c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ifrs-full:ReclassificationAdjustmentsOnExchangeDifferencesOnTranslationBeforeTax</t>
        </is>
      </c>
      <c r="C20" s="37" t="inlineStr">
        <is>
          <t>ifrs-full:ReclassificationAdjustmentsOnExchangeDifferencesOnTranslationBeforeTax</t>
        </is>
      </c>
      <c r="D20" s="38" t="n"/>
      <c r="E20" s="38" t="n"/>
      <c r="F20" s="38" t="n"/>
      <c r="G20" s="38" t="n">
        <v>1000</v>
      </c>
      <c r="H20" s="38" t="n">
        <v>0</v>
      </c>
      <c r="I2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2026-09-29T14:48:03Z</dcterms:created>
  <dcterms:modified xmlns:dcterms="http://purl.org/dc/terms/" xmlns:xsi="http://www.w3.org/2001/XMLSchema-instance" xsi:type="dcterms:W3CDTF">2026-09-29T14:48:04Z</dcterms:modified>
</cp:coreProperties>
</file>