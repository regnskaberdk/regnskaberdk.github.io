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60808" sheetId="1" state="visible" r:id="rId1"/>
    <sheet xmlns:r="http://schemas.openxmlformats.org/officeDocument/2006/relationships" name="res_raw_11160808" sheetId="2" state="visible" r:id="rId2"/>
    <sheet xmlns:r="http://schemas.openxmlformats.org/officeDocument/2006/relationships" name="balance_raw_111608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HIRTSHALS SEAFOOD A/S (CVR 11160808)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'res_raw_11160808'!$B$2</f>
        <v/>
      </c>
      <c r="C4" s="5">
        <f>'res_raw_11160808'!$C$2</f>
        <v/>
      </c>
      <c r="D4" s="5">
        <f>'res_raw_11160808'!$D$2</f>
        <v/>
      </c>
      <c r="E4" s="5">
        <f>'res_raw_11160808'!$E$2</f>
        <v/>
      </c>
      <c r="F4" s="5">
        <f>'res_raw_11160808'!$F$2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'res_raw_11160808'!$B$3</f>
        <v/>
      </c>
      <c r="C5" s="8">
        <f>'res_raw_11160808'!$C$3</f>
        <v/>
      </c>
      <c r="D5" s="8">
        <f>'res_raw_11160808'!$D$3</f>
        <v/>
      </c>
      <c r="E5" s="8">
        <f>'res_raw_11160808'!$E$3</f>
        <v/>
      </c>
      <c r="F5" s="8">
        <f>'res_raw_11160808'!$F$3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'res_raw_11160808'!$B$4</f>
        <v/>
      </c>
      <c r="C6" s="5">
        <f>'res_raw_11160808'!$C$4</f>
        <v/>
      </c>
      <c r="D6" s="5">
        <f>'res_raw_11160808'!$D$4</f>
        <v/>
      </c>
      <c r="E6" s="5">
        <f>'res_raw_11160808'!$E$4</f>
        <v/>
      </c>
      <c r="F6" s="5">
        <f>'res_raw_11160808'!$F$4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'res_raw_11160808'!$B$5</f>
        <v/>
      </c>
      <c r="C7" s="8">
        <f>'res_raw_11160808'!$C$5</f>
        <v/>
      </c>
      <c r="D7" s="8">
        <f>'res_raw_11160808'!$D$5</f>
        <v/>
      </c>
      <c r="E7" s="8">
        <f>'res_raw_11160808'!$E$5</f>
        <v/>
      </c>
      <c r="F7" s="8">
        <f>'res_raw_11160808'!$F$5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'res_raw_11160808'!$B$6</f>
        <v/>
      </c>
      <c r="C8" s="11">
        <f>'res_raw_11160808'!$C$6</f>
        <v/>
      </c>
      <c r="D8" s="11">
        <f>'res_raw_11160808'!$D$6</f>
        <v/>
      </c>
      <c r="E8" s="11">
        <f>'res_raw_11160808'!$E$6</f>
        <v/>
      </c>
      <c r="F8" s="11">
        <f>'res_raw_11160808'!$F$6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'res_raw_11160808'!$B$7</f>
        <v/>
      </c>
      <c r="C9" s="8">
        <f>'res_raw_11160808'!$C$7</f>
        <v/>
      </c>
      <c r="D9" s="8">
        <f>'res_raw_11160808'!$D$7</f>
        <v/>
      </c>
      <c r="E9" s="8">
        <f>'res_raw_11160808'!$E$7</f>
        <v/>
      </c>
      <c r="F9" s="8">
        <f>'res_raw_11160808'!$F$7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'res_raw_11160808'!$B$9</f>
        <v/>
      </c>
      <c r="C11" s="8">
        <f>'res_raw_11160808'!$C$9</f>
        <v/>
      </c>
      <c r="D11" s="8">
        <f>'res_raw_11160808'!$D$9</f>
        <v/>
      </c>
      <c r="E11" s="8">
        <f>'res_raw_11160808'!$E$9</f>
        <v/>
      </c>
      <c r="F11" s="8">
        <f>'res_raw_11160808'!$F$9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'res_raw_11160808'!$B$10</f>
        <v/>
      </c>
      <c r="C12" s="5">
        <f>'res_raw_11160808'!$C$10</f>
        <v/>
      </c>
      <c r="D12" s="5">
        <f>'res_raw_11160808'!$D$10</f>
        <v/>
      </c>
      <c r="E12" s="5">
        <f>'res_raw_11160808'!$E$10</f>
        <v/>
      </c>
      <c r="F12" s="5">
        <f>'res_raw_11160808'!$F$10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'res_raw_11160808'!$B$11</f>
        <v/>
      </c>
      <c r="C13" s="11">
        <f>'res_raw_11160808'!$C$11</f>
        <v/>
      </c>
      <c r="D13" s="11">
        <f>'res_raw_11160808'!$D$11</f>
        <v/>
      </c>
      <c r="E13" s="11">
        <f>'res_raw_11160808'!$E$11</f>
        <v/>
      </c>
      <c r="F13" s="11">
        <f>'res_raw_11160808'!$F$11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'res_raw_11160808'!$B$12</f>
        <v/>
      </c>
      <c r="C14" s="5">
        <f>'res_raw_11160808'!$C$12</f>
        <v/>
      </c>
      <c r="D14" s="5">
        <f>'res_raw_11160808'!$D$12</f>
        <v/>
      </c>
      <c r="E14" s="5">
        <f>'res_raw_11160808'!$E$12</f>
        <v/>
      </c>
      <c r="F14" s="5">
        <f>'res_raw_11160808'!$F$12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'res_raw_11160808'!$B$13</f>
        <v/>
      </c>
      <c r="C15" s="8">
        <f>'res_raw_11160808'!$C$13</f>
        <v/>
      </c>
      <c r="D15" s="8">
        <f>'res_raw_11160808'!$D$13</f>
        <v/>
      </c>
      <c r="E15" s="8">
        <f>'res_raw_11160808'!$E$13</f>
        <v/>
      </c>
      <c r="F15" s="8">
        <f>'res_raw_11160808'!$F$13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'res_raw_11160808'!$B$14</f>
        <v/>
      </c>
      <c r="C16" s="5">
        <f>'res_raw_11160808'!$C$14</f>
        <v/>
      </c>
      <c r="D16" s="5">
        <f>'res_raw_11160808'!$D$14</f>
        <v/>
      </c>
      <c r="E16" s="5">
        <f>'res_raw_11160808'!$E$14</f>
        <v/>
      </c>
      <c r="F16" s="5">
        <f>'res_raw_11160808'!$F$14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'res_raw_11160808'!$B$15</f>
        <v/>
      </c>
      <c r="C17" s="11">
        <f>'res_raw_11160808'!$C$15</f>
        <v/>
      </c>
      <c r="D17" s="11">
        <f>'res_raw_11160808'!$D$15</f>
        <v/>
      </c>
      <c r="E17" s="11">
        <f>'res_raw_11160808'!$E$15</f>
        <v/>
      </c>
      <c r="F17" s="11">
        <f>'res_raw_11160808'!$F$15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'res_raw_11160808'!$B$16</f>
        <v/>
      </c>
      <c r="C18" s="11">
        <f>'res_raw_11160808'!$C$16</f>
        <v/>
      </c>
      <c r="D18" s="11">
        <f>'res_raw_11160808'!$D$16</f>
        <v/>
      </c>
      <c r="E18" s="11">
        <f>'res_raw_11160808'!$E$16</f>
        <v/>
      </c>
      <c r="F18" s="11">
        <f>'res_raw_11160808'!$F$16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'res_raw_11160808'!$B$17</f>
        <v/>
      </c>
      <c r="C19" s="8">
        <f>'res_raw_11160808'!$C$17</f>
        <v/>
      </c>
      <c r="D19" s="8">
        <f>'res_raw_11160808'!$D$17</f>
        <v/>
      </c>
      <c r="E19" s="8">
        <f>'res_raw_11160808'!$E$17</f>
        <v/>
      </c>
      <c r="F19" s="8">
        <f>'res_raw_11160808'!$F$17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'res_raw_11160808'!$B$18</f>
        <v/>
      </c>
      <c r="C20" s="11">
        <f>'res_raw_11160808'!$C$18</f>
        <v/>
      </c>
      <c r="D20" s="11">
        <f>'res_raw_11160808'!$D$18</f>
        <v/>
      </c>
      <c r="E20" s="11">
        <f>'res_raw_11160808'!$E$18</f>
        <v/>
      </c>
      <c r="F20" s="11">
        <f>'res_raw_11160808'!$F$18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'balance_raw_11160808'!$B$2</f>
        <v/>
      </c>
      <c r="C23" s="8">
        <f>'balance_raw_11160808'!$C$2</f>
        <v/>
      </c>
      <c r="D23" s="8">
        <f>'balance_raw_11160808'!$D$2</f>
        <v/>
      </c>
      <c r="E23" s="8">
        <f>'balance_raw_11160808'!$E$2</f>
        <v/>
      </c>
      <c r="F23" s="8">
        <f>'balance_raw_11160808'!$F$2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'balance_raw_11160808'!$B$3</f>
        <v/>
      </c>
      <c r="C24" s="5">
        <f>'balance_raw_11160808'!$C$3</f>
        <v/>
      </c>
      <c r="D24" s="5">
        <f>'balance_raw_11160808'!$D$3</f>
        <v/>
      </c>
      <c r="E24" s="5">
        <f>'balance_raw_11160808'!$E$3</f>
        <v/>
      </c>
      <c r="F24" s="5">
        <f>'balance_raw_11160808'!$F$3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'balance_raw_11160808'!$B$4</f>
        <v/>
      </c>
      <c r="C25" s="8">
        <f>'balance_raw_11160808'!$C$4</f>
        <v/>
      </c>
      <c r="D25" s="8">
        <f>'balance_raw_11160808'!$D$4</f>
        <v/>
      </c>
      <c r="E25" s="8">
        <f>'balance_raw_11160808'!$E$4</f>
        <v/>
      </c>
      <c r="F25" s="8">
        <f>'balance_raw_11160808'!$F$4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'balance_raw_11160808'!$B$5</f>
        <v/>
      </c>
      <c r="C26" s="5">
        <f>'balance_raw_11160808'!$C$5</f>
        <v/>
      </c>
      <c r="D26" s="5">
        <f>'balance_raw_11160808'!$D$5</f>
        <v/>
      </c>
      <c r="E26" s="5">
        <f>'balance_raw_11160808'!$E$5</f>
        <v/>
      </c>
      <c r="F26" s="5">
        <f>'balance_raw_11160808'!$F$5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'balance_raw_11160808'!$B$6</f>
        <v/>
      </c>
      <c r="C27" s="8">
        <f>'balance_raw_11160808'!$C$6</f>
        <v/>
      </c>
      <c r="D27" s="8">
        <f>'balance_raw_11160808'!$D$6</f>
        <v/>
      </c>
      <c r="E27" s="8">
        <f>'balance_raw_11160808'!$E$6</f>
        <v/>
      </c>
      <c r="F27" s="8">
        <f>'balance_raw_11160808'!$F$6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'balance_raw_11160808'!$B$7</f>
        <v/>
      </c>
      <c r="C28" s="11">
        <f>'balance_raw_11160808'!$C$7</f>
        <v/>
      </c>
      <c r="D28" s="11">
        <f>'balance_raw_11160808'!$D$7</f>
        <v/>
      </c>
      <c r="E28" s="11">
        <f>'balance_raw_11160808'!$E$7</f>
        <v/>
      </c>
      <c r="F28" s="11">
        <f>'balance_raw_11160808'!$F$7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'balance_raw_11160808'!$B$8</f>
        <v/>
      </c>
      <c r="C29" s="8">
        <f>'balance_raw_11160808'!$C$8</f>
        <v/>
      </c>
      <c r="D29" s="8">
        <f>'balance_raw_11160808'!$D$8</f>
        <v/>
      </c>
      <c r="E29" s="8">
        <f>'balance_raw_11160808'!$E$8</f>
        <v/>
      </c>
      <c r="F29" s="8">
        <f>'balance_raw_11160808'!$F$8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'balance_raw_11160808'!$B$9</f>
        <v/>
      </c>
      <c r="C30" s="5">
        <f>'balance_raw_11160808'!$C$9</f>
        <v/>
      </c>
      <c r="D30" s="5">
        <f>'balance_raw_11160808'!$D$9</f>
        <v/>
      </c>
      <c r="E30" s="5">
        <f>'balance_raw_11160808'!$E$9</f>
        <v/>
      </c>
      <c r="F30" s="5">
        <f>'balance_raw_11160808'!$F$9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'balance_raw_11160808'!$B$10</f>
        <v/>
      </c>
      <c r="C31" s="11">
        <f>'balance_raw_11160808'!$C$10</f>
        <v/>
      </c>
      <c r="D31" s="11">
        <f>'balance_raw_11160808'!$D$10</f>
        <v/>
      </c>
      <c r="E31" s="11">
        <f>'balance_raw_11160808'!$E$10</f>
        <v/>
      </c>
      <c r="F31" s="11">
        <f>'balance_raw_11160808'!$F$10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'balance_raw_11160808'!$B$11</f>
        <v/>
      </c>
      <c r="C32" s="11">
        <f>'balance_raw_11160808'!$C$11</f>
        <v/>
      </c>
      <c r="D32" s="11">
        <f>'balance_raw_11160808'!$D$11</f>
        <v/>
      </c>
      <c r="E32" s="11">
        <f>'balance_raw_11160808'!$E$11</f>
        <v/>
      </c>
      <c r="F32" s="11">
        <f>'balance_raw_11160808'!$F$11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'balance_raw_11160808'!$B$12</f>
        <v/>
      </c>
      <c r="C33" s="8">
        <f>'balance_raw_11160808'!$C$12</f>
        <v/>
      </c>
      <c r="D33" s="8">
        <f>'balance_raw_11160808'!$D$12</f>
        <v/>
      </c>
      <c r="E33" s="8">
        <f>'balance_raw_11160808'!$E$12</f>
        <v/>
      </c>
      <c r="F33" s="8">
        <f>'balance_raw_11160808'!$F$12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'balance_raw_11160808'!$B$13</f>
        <v/>
      </c>
      <c r="C34" s="5">
        <f>'balance_raw_11160808'!$C$13</f>
        <v/>
      </c>
      <c r="D34" s="5">
        <f>'balance_raw_11160808'!$D$13</f>
        <v/>
      </c>
      <c r="E34" s="5">
        <f>'balance_raw_11160808'!$E$13</f>
        <v/>
      </c>
      <c r="F34" s="5">
        <f>'balance_raw_11160808'!$F$13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'balance_raw_11160808'!$B$14</f>
        <v/>
      </c>
      <c r="C35" s="8">
        <f>'balance_raw_11160808'!$C$14</f>
        <v/>
      </c>
      <c r="D35" s="8">
        <f>'balance_raw_11160808'!$D$14</f>
        <v/>
      </c>
      <c r="E35" s="8">
        <f>'balance_raw_11160808'!$E$14</f>
        <v/>
      </c>
      <c r="F35" s="8">
        <f>'balance_raw_11160808'!$F$14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'balance_raw_11160808'!$B$15</f>
        <v/>
      </c>
      <c r="C36" s="11">
        <f>'balance_raw_11160808'!$C$15</f>
        <v/>
      </c>
      <c r="D36" s="11">
        <f>'balance_raw_11160808'!$D$15</f>
        <v/>
      </c>
      <c r="E36" s="11">
        <f>'balance_raw_11160808'!$E$15</f>
        <v/>
      </c>
      <c r="F36" s="11">
        <f>'balance_raw_11160808'!$F$15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'balance_raw_11160808'!$B$16</f>
        <v/>
      </c>
      <c r="C37" s="8">
        <f>'balance_raw_11160808'!$C$16</f>
        <v/>
      </c>
      <c r="D37" s="8">
        <f>'balance_raw_11160808'!$D$16</f>
        <v/>
      </c>
      <c r="E37" s="8">
        <f>'balance_raw_11160808'!$E$16</f>
        <v/>
      </c>
      <c r="F37" s="8">
        <f>'balance_raw_11160808'!$F$16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'balance_raw_11160808'!$B$17</f>
        <v/>
      </c>
      <c r="C38" s="5">
        <f>'balance_raw_11160808'!$C$17</f>
        <v/>
      </c>
      <c r="D38" s="5">
        <f>'balance_raw_11160808'!$D$17</f>
        <v/>
      </c>
      <c r="E38" s="5">
        <f>'balance_raw_11160808'!$E$17</f>
        <v/>
      </c>
      <c r="F38" s="5">
        <f>'balance_raw_11160808'!$F$17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'balance_raw_11160808'!$B$18</f>
        <v/>
      </c>
      <c r="C39" s="8">
        <f>'balance_raw_11160808'!$C$18</f>
        <v/>
      </c>
      <c r="D39" s="8">
        <f>'balance_raw_11160808'!$D$18</f>
        <v/>
      </c>
      <c r="E39" s="8">
        <f>'balance_raw_11160808'!$E$18</f>
        <v/>
      </c>
      <c r="F39" s="8">
        <f>'balance_raw_11160808'!$F$18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'balance_raw_11160808'!$B$19</f>
        <v/>
      </c>
      <c r="C40" s="5">
        <f>'balance_raw_11160808'!$C$19</f>
        <v/>
      </c>
      <c r="D40" s="5">
        <f>'balance_raw_11160808'!$D$19</f>
        <v/>
      </c>
      <c r="E40" s="5">
        <f>'balance_raw_11160808'!$E$19</f>
        <v/>
      </c>
      <c r="F40" s="5">
        <f>'balance_raw_11160808'!$F$19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'balance_raw_11160808'!$B$20</f>
        <v/>
      </c>
      <c r="C41" s="8">
        <f>'balance_raw_11160808'!$C$20</f>
        <v/>
      </c>
      <c r="D41" s="8">
        <f>'balance_raw_11160808'!$D$20</f>
        <v/>
      </c>
      <c r="E41" s="8">
        <f>'balance_raw_11160808'!$E$20</f>
        <v/>
      </c>
      <c r="F41" s="8">
        <f>'balance_raw_11160808'!$F$20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'balance_raw_11160808'!$B$21</f>
        <v/>
      </c>
      <c r="C42" s="5">
        <f>'balance_raw_11160808'!$C$21</f>
        <v/>
      </c>
      <c r="D42" s="5">
        <f>'balance_raw_11160808'!$D$21</f>
        <v/>
      </c>
      <c r="E42" s="5">
        <f>'balance_raw_11160808'!$E$21</f>
        <v/>
      </c>
      <c r="F42" s="5">
        <f>'balance_raw_11160808'!$F$21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'balance_raw_11160808'!$B$22</f>
        <v/>
      </c>
      <c r="C43" s="8">
        <f>'balance_raw_11160808'!$C$22</f>
        <v/>
      </c>
      <c r="D43" s="8">
        <f>'balance_raw_11160808'!$D$22</f>
        <v/>
      </c>
      <c r="E43" s="8">
        <f>'balance_raw_11160808'!$E$22</f>
        <v/>
      </c>
      <c r="F43" s="8">
        <f>'balance_raw_11160808'!$F$22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'balance_raw_11160808'!$B$23</f>
        <v/>
      </c>
      <c r="C44" s="11">
        <f>'balance_raw_11160808'!$C$23</f>
        <v/>
      </c>
      <c r="D44" s="11">
        <f>'balance_raw_11160808'!$D$23</f>
        <v/>
      </c>
      <c r="E44" s="11">
        <f>'balance_raw_11160808'!$E$23</f>
        <v/>
      </c>
      <c r="F44" s="11">
        <f>'balance_raw_11160808'!$F$23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'balance_raw_11160808'!$B$24</f>
        <v/>
      </c>
      <c r="C45" s="8">
        <f>'balance_raw_11160808'!$C$24</f>
        <v/>
      </c>
      <c r="D45" s="8">
        <f>'balance_raw_11160808'!$D$24</f>
        <v/>
      </c>
      <c r="E45" s="8">
        <f>'balance_raw_11160808'!$E$24</f>
        <v/>
      </c>
      <c r="F45" s="8">
        <f>'balance_raw_11160808'!$F$24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'balance_raw_11160808'!$B$25</f>
        <v/>
      </c>
      <c r="C46" s="5">
        <f>'balance_raw_11160808'!$C$25</f>
        <v/>
      </c>
      <c r="D46" s="5">
        <f>'balance_raw_11160808'!$D$25</f>
        <v/>
      </c>
      <c r="E46" s="5">
        <f>'balance_raw_11160808'!$E$25</f>
        <v/>
      </c>
      <c r="F46" s="5">
        <f>'balance_raw_11160808'!$F$25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'balance_raw_11160808'!$B$26</f>
        <v/>
      </c>
      <c r="C47" s="11">
        <f>'balance_raw_11160808'!$C$26</f>
        <v/>
      </c>
      <c r="D47" s="11">
        <f>'balance_raw_11160808'!$D$26</f>
        <v/>
      </c>
      <c r="E47" s="11">
        <f>'balance_raw_11160808'!$E$26</f>
        <v/>
      </c>
      <c r="F47" s="11">
        <f>'balance_raw_11160808'!$F$26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'balance_raw_11160808'!$B$27</f>
        <v/>
      </c>
      <c r="C48" s="11">
        <f>'balance_raw_11160808'!$C$27</f>
        <v/>
      </c>
      <c r="D48" s="11">
        <f>'balance_raw_11160808'!$D$27</f>
        <v/>
      </c>
      <c r="E48" s="11">
        <f>'balance_raw_11160808'!$E$27</f>
        <v/>
      </c>
      <c r="F48" s="11">
        <f>'balance_raw_11160808'!$F$27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'balance_raw_11160808'!$B$28</f>
        <v/>
      </c>
      <c r="C51" s="8">
        <f>'balance_raw_11160808'!$C$28</f>
        <v/>
      </c>
      <c r="D51" s="8">
        <f>'balance_raw_11160808'!$D$28</f>
        <v/>
      </c>
      <c r="E51" s="8">
        <f>'balance_raw_11160808'!$E$28</f>
        <v/>
      </c>
      <c r="F51" s="8">
        <f>'balance_raw_11160808'!$F$28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'balance_raw_11160808'!$B$29</f>
        <v/>
      </c>
      <c r="C52" s="5">
        <f>'balance_raw_11160808'!$C$29</f>
        <v/>
      </c>
      <c r="D52" s="5">
        <f>'balance_raw_11160808'!$D$29</f>
        <v/>
      </c>
      <c r="E52" s="5">
        <f>'balance_raw_11160808'!$E$29</f>
        <v/>
      </c>
      <c r="F52" s="5">
        <f>'balance_raw_11160808'!$F$29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'balance_raw_11160808'!$B$30</f>
        <v/>
      </c>
      <c r="C53" s="8">
        <f>'balance_raw_11160808'!$C$30</f>
        <v/>
      </c>
      <c r="D53" s="8">
        <f>'balance_raw_11160808'!$D$30</f>
        <v/>
      </c>
      <c r="E53" s="8">
        <f>'balance_raw_11160808'!$E$30</f>
        <v/>
      </c>
      <c r="F53" s="8">
        <f>'balance_raw_11160808'!$F$30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'balance_raw_11160808'!$B$31</f>
        <v/>
      </c>
      <c r="C54" s="5">
        <f>'balance_raw_11160808'!$C$31</f>
        <v/>
      </c>
      <c r="D54" s="5">
        <f>'balance_raw_11160808'!$D$31</f>
        <v/>
      </c>
      <c r="E54" s="5">
        <f>'balance_raw_11160808'!$E$31</f>
        <v/>
      </c>
      <c r="F54" s="5">
        <f>'balance_raw_11160808'!$F$31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'balance_raw_11160808'!$B$32</f>
        <v/>
      </c>
      <c r="C55" s="8">
        <f>'balance_raw_11160808'!$C$32</f>
        <v/>
      </c>
      <c r="D55" s="8">
        <f>'balance_raw_11160808'!$D$32</f>
        <v/>
      </c>
      <c r="E55" s="8">
        <f>'balance_raw_11160808'!$E$32</f>
        <v/>
      </c>
      <c r="F55" s="8">
        <f>'balance_raw_11160808'!$F$32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'balance_raw_11160808'!$B$33</f>
        <v/>
      </c>
      <c r="C56" s="5">
        <f>'balance_raw_11160808'!$C$33</f>
        <v/>
      </c>
      <c r="D56" s="5">
        <f>'balance_raw_11160808'!$D$33</f>
        <v/>
      </c>
      <c r="E56" s="5">
        <f>'balance_raw_11160808'!$E$33</f>
        <v/>
      </c>
      <c r="F56" s="5">
        <f>'balance_raw_11160808'!$F$33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'balance_raw_11160808'!$B$34</f>
        <v/>
      </c>
      <c r="C57" s="11">
        <f>'balance_raw_11160808'!$C$34</f>
        <v/>
      </c>
      <c r="D57" s="11">
        <f>'balance_raw_11160808'!$D$34</f>
        <v/>
      </c>
      <c r="E57" s="11">
        <f>'balance_raw_11160808'!$E$34</f>
        <v/>
      </c>
      <c r="F57" s="11">
        <f>'balance_raw_11160808'!$F$34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'balance_raw_11160808'!$B$35</f>
        <v/>
      </c>
      <c r="C58" s="5">
        <f>'balance_raw_11160808'!$C$35</f>
        <v/>
      </c>
      <c r="D58" s="5">
        <f>'balance_raw_11160808'!$D$35</f>
        <v/>
      </c>
      <c r="E58" s="5">
        <f>'balance_raw_11160808'!$E$35</f>
        <v/>
      </c>
      <c r="F58" s="5">
        <f>'balance_raw_11160808'!$F$35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'balance_raw_11160808'!$B$36</f>
        <v/>
      </c>
      <c r="C59" s="8">
        <f>'balance_raw_11160808'!$C$36</f>
        <v/>
      </c>
      <c r="D59" s="8">
        <f>'balance_raw_11160808'!$D$36</f>
        <v/>
      </c>
      <c r="E59" s="8">
        <f>'balance_raw_11160808'!$E$36</f>
        <v/>
      </c>
      <c r="F59" s="8">
        <f>'balance_raw_11160808'!$F$36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'balance_raw_11160808'!$B$37</f>
        <v/>
      </c>
      <c r="C60" s="5">
        <f>'balance_raw_11160808'!$C$37</f>
        <v/>
      </c>
      <c r="D60" s="5">
        <f>'balance_raw_11160808'!$D$37</f>
        <v/>
      </c>
      <c r="E60" s="5">
        <f>'balance_raw_11160808'!$E$37</f>
        <v/>
      </c>
      <c r="F60" s="5">
        <f>'balance_raw_11160808'!$F$37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'balance_raw_11160808'!$B$38</f>
        <v/>
      </c>
      <c r="C61" s="8">
        <f>'balance_raw_11160808'!$C$38</f>
        <v/>
      </c>
      <c r="D61" s="8">
        <f>'balance_raw_11160808'!$D$38</f>
        <v/>
      </c>
      <c r="E61" s="8">
        <f>'balance_raw_11160808'!$E$38</f>
        <v/>
      </c>
      <c r="F61" s="8">
        <f>'balance_raw_11160808'!$F$38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'balance_raw_11160808'!$B$39</f>
        <v/>
      </c>
      <c r="C62" s="11">
        <f>'balance_raw_11160808'!$C$39</f>
        <v/>
      </c>
      <c r="D62" s="11">
        <f>'balance_raw_11160808'!$D$39</f>
        <v/>
      </c>
      <c r="E62" s="11">
        <f>'balance_raw_11160808'!$E$39</f>
        <v/>
      </c>
      <c r="F62" s="11">
        <f>'balance_raw_11160808'!$F$39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'balance_raw_11160808'!$B$40</f>
        <v/>
      </c>
      <c r="C63" s="8">
        <f>'balance_raw_11160808'!$C$40</f>
        <v/>
      </c>
      <c r="D63" s="8">
        <f>'balance_raw_11160808'!$D$40</f>
        <v/>
      </c>
      <c r="E63" s="8">
        <f>'balance_raw_11160808'!$E$40</f>
        <v/>
      </c>
      <c r="F63" s="8">
        <f>'balance_raw_11160808'!$F$40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'balance_raw_11160808'!$B$41</f>
        <v/>
      </c>
      <c r="C64" s="5">
        <f>'balance_raw_11160808'!$C$41</f>
        <v/>
      </c>
      <c r="D64" s="5">
        <f>'balance_raw_11160808'!$D$41</f>
        <v/>
      </c>
      <c r="E64" s="5">
        <f>'balance_raw_11160808'!$E$41</f>
        <v/>
      </c>
      <c r="F64" s="5">
        <f>'balance_raw_11160808'!$F$41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'balance_raw_11160808'!$B$42</f>
        <v/>
      </c>
      <c r="C65" s="8">
        <f>'balance_raw_11160808'!$C$42</f>
        <v/>
      </c>
      <c r="D65" s="8">
        <f>'balance_raw_11160808'!$D$42</f>
        <v/>
      </c>
      <c r="E65" s="8">
        <f>'balance_raw_11160808'!$E$42</f>
        <v/>
      </c>
      <c r="F65" s="8">
        <f>'balance_raw_11160808'!$F$42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'balance_raw_11160808'!$B$43</f>
        <v/>
      </c>
      <c r="C66" s="5">
        <f>'balance_raw_11160808'!$C$43</f>
        <v/>
      </c>
      <c r="D66" s="5">
        <f>'balance_raw_11160808'!$D$43</f>
        <v/>
      </c>
      <c r="E66" s="5">
        <f>'balance_raw_11160808'!$E$43</f>
        <v/>
      </c>
      <c r="F66" s="5">
        <f>'balance_raw_11160808'!$F$43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'balance_raw_11160808'!$B$44</f>
        <v/>
      </c>
      <c r="C67" s="8">
        <f>'balance_raw_11160808'!$C$44</f>
        <v/>
      </c>
      <c r="D67" s="8">
        <f>'balance_raw_11160808'!$D$44</f>
        <v/>
      </c>
      <c r="E67" s="8">
        <f>'balance_raw_11160808'!$E$44</f>
        <v/>
      </c>
      <c r="F67" s="8">
        <f>'balance_raw_11160808'!$F$44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'balance_raw_11160808'!$B$45</f>
        <v/>
      </c>
      <c r="C68" s="5">
        <f>'balance_raw_11160808'!$C$45</f>
        <v/>
      </c>
      <c r="D68" s="5">
        <f>'balance_raw_11160808'!$D$45</f>
        <v/>
      </c>
      <c r="E68" s="5">
        <f>'balance_raw_11160808'!$E$45</f>
        <v/>
      </c>
      <c r="F68" s="5">
        <f>'balance_raw_11160808'!$F$45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'balance_raw_11160808'!$B$46</f>
        <v/>
      </c>
      <c r="C69" s="8">
        <f>'balance_raw_11160808'!$C$46</f>
        <v/>
      </c>
      <c r="D69" s="8">
        <f>'balance_raw_11160808'!$D$46</f>
        <v/>
      </c>
      <c r="E69" s="8">
        <f>'balance_raw_11160808'!$E$46</f>
        <v/>
      </c>
      <c r="F69" s="8">
        <f>'balance_raw_11160808'!$F$46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'balance_raw_11160808'!$B$47</f>
        <v/>
      </c>
      <c r="C70" s="5">
        <f>'balance_raw_11160808'!$C$47</f>
        <v/>
      </c>
      <c r="D70" s="5">
        <f>'balance_raw_11160808'!$D$47</f>
        <v/>
      </c>
      <c r="E70" s="5">
        <f>'balance_raw_11160808'!$E$47</f>
        <v/>
      </c>
      <c r="F70" s="5">
        <f>'balance_raw_11160808'!$F$47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'balance_raw_11160808'!$B$48</f>
        <v/>
      </c>
      <c r="C71" s="8">
        <f>'balance_raw_11160808'!$C$48</f>
        <v/>
      </c>
      <c r="D71" s="8">
        <f>'balance_raw_11160808'!$D$48</f>
        <v/>
      </c>
      <c r="E71" s="8">
        <f>'balance_raw_11160808'!$E$48</f>
        <v/>
      </c>
      <c r="F71" s="8">
        <f>'balance_raw_11160808'!$F$48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'balance_raw_11160808'!$B$49</f>
        <v/>
      </c>
      <c r="C72" s="5">
        <f>'balance_raw_11160808'!$C$49</f>
        <v/>
      </c>
      <c r="D72" s="5">
        <f>'balance_raw_11160808'!$D$49</f>
        <v/>
      </c>
      <c r="E72" s="5">
        <f>'balance_raw_11160808'!$E$49</f>
        <v/>
      </c>
      <c r="F72" s="5">
        <f>'balance_raw_11160808'!$F$49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'balance_raw_11160808'!$B$50</f>
        <v/>
      </c>
      <c r="C73" s="8">
        <f>'balance_raw_11160808'!$C$50</f>
        <v/>
      </c>
      <c r="D73" s="8">
        <f>'balance_raw_11160808'!$D$50</f>
        <v/>
      </c>
      <c r="E73" s="8">
        <f>'balance_raw_11160808'!$E$50</f>
        <v/>
      </c>
      <c r="F73" s="8">
        <f>'balance_raw_11160808'!$F$50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'balance_raw_11160808'!$B$51</f>
        <v/>
      </c>
      <c r="C74" s="11">
        <f>'balance_raw_11160808'!$C$51</f>
        <v/>
      </c>
      <c r="D74" s="11">
        <f>'balance_raw_11160808'!$D$51</f>
        <v/>
      </c>
      <c r="E74" s="11">
        <f>'balance_raw_11160808'!$E$51</f>
        <v/>
      </c>
      <c r="F74" s="11">
        <f>'balance_raw_11160808'!$F$51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'balance_raw_11160808'!$B$52</f>
        <v/>
      </c>
      <c r="C75" s="11">
        <f>'balance_raw_11160808'!$C$52</f>
        <v/>
      </c>
      <c r="D75" s="11">
        <f>'balance_raw_11160808'!$D$52</f>
        <v/>
      </c>
      <c r="E75" s="11">
        <f>'balance_raw_11160808'!$E$52</f>
        <v/>
      </c>
      <c r="F75" s="11">
        <f>'balance_raw_11160808'!$F$52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'balance_raw_11160808'!$B$53</f>
        <v/>
      </c>
      <c r="C76" s="11">
        <f>'balance_raw_11160808'!$C$53</f>
        <v/>
      </c>
      <c r="D76" s="11">
        <f>'balance_raw_11160808'!$D$53</f>
        <v/>
      </c>
      <c r="E76" s="11">
        <f>'balance_raw_11160808'!$E$53</f>
        <v/>
      </c>
      <c r="F76" s="11">
        <f>'balance_raw_11160808'!$F$53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'res_raw_11160808'!$B$19</f>
        <v/>
      </c>
      <c r="C79" s="8">
        <f>'res_raw_11160808'!$C$19</f>
        <v/>
      </c>
      <c r="D79" s="8">
        <f>'res_raw_11160808'!$D$19</f>
        <v/>
      </c>
      <c r="E79" s="8">
        <f>'res_raw_11160808'!$E$19</f>
        <v/>
      </c>
      <c r="F79" s="8">
        <f>'res_raw_11160808'!$F$19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'res_raw_11160808'!$B$20</f>
        <v/>
      </c>
      <c r="C80" s="5">
        <f>'res_raw_11160808'!$C$20</f>
        <v/>
      </c>
      <c r="D80" s="5">
        <f>'res_raw_11160808'!$D$20</f>
        <v/>
      </c>
      <c r="E80" s="5">
        <f>'res_raw_11160808'!$E$20</f>
        <v/>
      </c>
      <c r="F80" s="5">
        <f>'res_raw_11160808'!$F$20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14109</v>
      </c>
      <c r="C6" s="16" t="n">
        <v>15261</v>
      </c>
      <c r="D6" s="16" t="n">
        <v>17889</v>
      </c>
      <c r="E6" s="16" t="n">
        <v>24967</v>
      </c>
      <c r="F6" s="16" t="n">
        <v>27338</v>
      </c>
    </row>
    <row r="7">
      <c r="A7" s="15" t="inlineStr">
        <is>
          <t>Personaleomkostninger</t>
        </is>
      </c>
      <c r="B7" s="16" t="n">
        <v>14842</v>
      </c>
      <c r="C7" s="16" t="n">
        <v>13907</v>
      </c>
      <c r="D7" s="16" t="n">
        <v>15531</v>
      </c>
      <c r="E7" s="16" t="n">
        <v>24886</v>
      </c>
      <c r="F7" s="16" t="n">
        <v>27386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1001</v>
      </c>
      <c r="C9" s="16" t="n">
        <v>986</v>
      </c>
      <c r="D9" s="16" t="n">
        <v>976</v>
      </c>
      <c r="E9" s="16" t="n">
        <v>1076</v>
      </c>
      <c r="F9" s="16" t="n">
        <v>1566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-1734</v>
      </c>
      <c r="C11" s="16" t="n">
        <v>367</v>
      </c>
      <c r="D11" s="16" t="n">
        <v>1382</v>
      </c>
      <c r="E11" s="16" t="n">
        <v>-995</v>
      </c>
      <c r="F11" s="16" t="n">
        <v>-1613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54</v>
      </c>
      <c r="C13" s="16" t="n">
        <v>18</v>
      </c>
      <c r="D13" s="16" t="n">
        <v>45</v>
      </c>
      <c r="E13" s="16" t="n">
        <v>110</v>
      </c>
      <c r="F13" s="16" t="n">
        <v>84</v>
      </c>
    </row>
    <row r="14">
      <c r="A14" s="15" t="inlineStr">
        <is>
          <t>Finansielle omkostninger</t>
        </is>
      </c>
      <c r="B14" s="16" t="n">
        <v>231</v>
      </c>
      <c r="C14" s="16" t="n">
        <v>184</v>
      </c>
      <c r="D14" s="16" t="n">
        <v>421</v>
      </c>
      <c r="E14" s="16" t="n">
        <v>1910</v>
      </c>
      <c r="F14" s="16" t="n">
        <v>755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-2043</v>
      </c>
      <c r="C16" s="16" t="n">
        <v>159</v>
      </c>
      <c r="D16" s="16" t="n">
        <v>939</v>
      </c>
      <c r="E16" s="16" t="n">
        <v>-1840</v>
      </c>
      <c r="F16" s="16" t="n">
        <v>-2285</v>
      </c>
    </row>
    <row r="17">
      <c r="A17" s="15" t="inlineStr">
        <is>
          <t>Skat af årets resultat</t>
        </is>
      </c>
      <c r="B17" s="16" t="n">
        <v>-194</v>
      </c>
      <c r="C17" s="16" t="n">
        <v>0</v>
      </c>
      <c r="D17" s="16" t="n">
        <v>60</v>
      </c>
      <c r="E17" s="16" t="n">
        <v>-9</v>
      </c>
      <c r="F17" s="16" t="n">
        <v>0</v>
      </c>
    </row>
    <row r="18">
      <c r="A18" s="17" t="inlineStr">
        <is>
          <t>Årets resultat</t>
        </is>
      </c>
      <c r="B18" s="16" t="n">
        <v>-1849</v>
      </c>
      <c r="C18" s="16" t="n">
        <v>159</v>
      </c>
      <c r="D18" s="16" t="n">
        <v>879</v>
      </c>
      <c r="E18" s="16" t="n">
        <v>-1832</v>
      </c>
      <c r="F18" s="16" t="n">
        <v>-2285</v>
      </c>
    </row>
    <row r="19">
      <c r="A19" s="15" t="inlineStr">
        <is>
          <t>Gns. antal medarbejdere</t>
        </is>
      </c>
      <c r="B19" s="16" t="n">
        <v>34</v>
      </c>
      <c r="C19" s="16" t="n">
        <v>30</v>
      </c>
      <c r="D19" s="16" t="n">
        <v>33</v>
      </c>
      <c r="E19" s="16" t="n">
        <v>49</v>
      </c>
      <c r="F19" s="16" t="n">
        <v>49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12848</v>
      </c>
      <c r="C2" s="16" t="n">
        <v>12819</v>
      </c>
      <c r="D2" s="16" t="n">
        <v>12400</v>
      </c>
      <c r="E2" s="16" t="n">
        <v>16828</v>
      </c>
      <c r="F2" s="16" t="n">
        <v>11978</v>
      </c>
    </row>
    <row r="3">
      <c r="A3" s="15" t="inlineStr">
        <is>
          <t>Produktionsanlæg og maskiner</t>
        </is>
      </c>
      <c r="B3" s="16" t="n">
        <v>1821</v>
      </c>
      <c r="C3" s="16" t="n">
        <v>1391</v>
      </c>
      <c r="D3" s="16" t="n">
        <v>1684</v>
      </c>
      <c r="E3" s="16" t="n">
        <v>5868</v>
      </c>
      <c r="F3" s="16" t="n">
        <v>2469</v>
      </c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61</v>
      </c>
      <c r="E4" s="16" t="n">
        <v>375</v>
      </c>
      <c r="F4" s="16" t="n">
        <v>281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54</v>
      </c>
      <c r="D6" s="16" t="n">
        <v>47</v>
      </c>
      <c r="E6" s="16" t="n">
        <v>0</v>
      </c>
      <c r="F6" s="16" t="n">
        <v>28</v>
      </c>
    </row>
    <row r="7">
      <c r="A7" s="17" t="inlineStr">
        <is>
          <t>Materielle anlægsaktiver</t>
        </is>
      </c>
      <c r="B7" s="16" t="n">
        <v>14669</v>
      </c>
      <c r="C7" s="16" t="n">
        <v>14264</v>
      </c>
      <c r="D7" s="16" t="n">
        <v>14192</v>
      </c>
      <c r="E7" s="16" t="n">
        <v>23071</v>
      </c>
      <c r="F7" s="16" t="n">
        <v>14755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>
        <v>15</v>
      </c>
      <c r="F9" s="16" t="n">
        <v>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>
        <v>15</v>
      </c>
      <c r="F10" s="16" t="n">
        <v>0</v>
      </c>
    </row>
    <row r="11">
      <c r="A11" s="17" t="inlineStr">
        <is>
          <t>Anlægsaktiver</t>
        </is>
      </c>
      <c r="B11" s="16" t="n">
        <v>14669</v>
      </c>
      <c r="C11" s="16" t="n">
        <v>14264</v>
      </c>
      <c r="D11" s="16" t="n">
        <v>14192</v>
      </c>
      <c r="E11" s="16" t="n">
        <v>23085</v>
      </c>
      <c r="F11" s="16" t="n">
        <v>14755</v>
      </c>
    </row>
    <row r="12">
      <c r="A12" s="15" t="inlineStr">
        <is>
          <t>Råvarer og hjælpematerialer</t>
        </is>
      </c>
      <c r="B12" s="16" t="n">
        <v>5791</v>
      </c>
      <c r="C12" s="16" t="n">
        <v>8903</v>
      </c>
      <c r="D12" s="16" t="n">
        <v>12948</v>
      </c>
      <c r="E12" s="16" t="n">
        <v>14397</v>
      </c>
      <c r="F12" s="16" t="n">
        <v>7889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3024</v>
      </c>
      <c r="C14" s="16" t="n">
        <v>6984</v>
      </c>
      <c r="D14" s="16" t="n">
        <v>6779</v>
      </c>
      <c r="E14" s="16" t="n">
        <v>7991</v>
      </c>
      <c r="F14" s="16" t="n">
        <v>6721</v>
      </c>
    </row>
    <row r="15">
      <c r="A15" s="17" t="inlineStr">
        <is>
          <t>Varebeholdninger</t>
        </is>
      </c>
      <c r="B15" s="16" t="n">
        <v>8816</v>
      </c>
      <c r="C15" s="16" t="n">
        <v>15888</v>
      </c>
      <c r="D15" s="16" t="n">
        <v>19727</v>
      </c>
      <c r="E15" s="16" t="n">
        <v>22387</v>
      </c>
      <c r="F15" s="16" t="n">
        <v>14610</v>
      </c>
    </row>
    <row r="16">
      <c r="A16" s="15" t="inlineStr">
        <is>
          <t>Tilgodehavender fra salg og tjenesteydelser</t>
        </is>
      </c>
      <c r="B16" s="16" t="n">
        <v>3318</v>
      </c>
      <c r="C16" s="16" t="n">
        <v>3790</v>
      </c>
      <c r="D16" s="16" t="n">
        <v>7230</v>
      </c>
      <c r="E16" s="16" t="n">
        <v>12101</v>
      </c>
      <c r="F16" s="16" t="n">
        <v>20178</v>
      </c>
    </row>
    <row r="17">
      <c r="A17" s="15" t="inlineStr">
        <is>
          <t>Tilgodehavender hos tilknyttede virksomheder</t>
        </is>
      </c>
      <c r="B17" s="16" t="n">
        <v>0</v>
      </c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2601</v>
      </c>
      <c r="C18" s="16" t="n">
        <v>644</v>
      </c>
      <c r="D18" s="16" t="n">
        <v>62</v>
      </c>
      <c r="E18" s="16" t="n">
        <v>69</v>
      </c>
      <c r="F18" s="16" t="n">
        <v>283</v>
      </c>
    </row>
    <row r="19">
      <c r="A19" s="15" t="inlineStr">
        <is>
          <t>Periodeafgrænsningsposter (aktiver)</t>
        </is>
      </c>
      <c r="B19" s="16" t="n">
        <v>152</v>
      </c>
      <c r="C19" s="16" t="n">
        <v>107</v>
      </c>
      <c r="D19" s="16" t="n">
        <v>56</v>
      </c>
      <c r="E19" s="16" t="n">
        <v>169</v>
      </c>
      <c r="F19" s="16" t="n">
        <v>699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6071</v>
      </c>
      <c r="C23" s="16" t="n">
        <v>4540</v>
      </c>
      <c r="D23" s="16" t="n">
        <v>7348</v>
      </c>
      <c r="E23" s="16" t="n">
        <v>12339</v>
      </c>
      <c r="F23" s="16" t="n">
        <v>21160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75</v>
      </c>
      <c r="C25" s="16" t="n">
        <v>243</v>
      </c>
      <c r="D25" s="16" t="n">
        <v>253</v>
      </c>
      <c r="E25" s="16" t="n">
        <v>325</v>
      </c>
      <c r="F25" s="16" t="n">
        <v>873</v>
      </c>
    </row>
    <row r="26">
      <c r="A26" s="17" t="inlineStr">
        <is>
          <t>Omsætningsaktiver</t>
        </is>
      </c>
      <c r="B26" s="16" t="n">
        <v>14961</v>
      </c>
      <c r="C26" s="16" t="n">
        <v>20671</v>
      </c>
      <c r="D26" s="16" t="n">
        <v>27328</v>
      </c>
      <c r="E26" s="16" t="n">
        <v>35051</v>
      </c>
      <c r="F26" s="16" t="n">
        <v>36643</v>
      </c>
    </row>
    <row r="27">
      <c r="A27" s="17" t="inlineStr">
        <is>
          <t>Aktiver</t>
        </is>
      </c>
      <c r="B27" s="16" t="n">
        <v>29630</v>
      </c>
      <c r="C27" s="16" t="n">
        <v>34935</v>
      </c>
      <c r="D27" s="16" t="n">
        <v>41520</v>
      </c>
      <c r="E27" s="16" t="n">
        <v>58137</v>
      </c>
      <c r="F27" s="16" t="n">
        <v>51399</v>
      </c>
    </row>
    <row r="28">
      <c r="A28" s="15" t="inlineStr">
        <is>
          <t>Selskabskapital</t>
        </is>
      </c>
      <c r="B28" s="16" t="n">
        <v>15250</v>
      </c>
      <c r="C28" s="16" t="n">
        <v>15250</v>
      </c>
      <c r="D28" s="16" t="n">
        <v>15250</v>
      </c>
      <c r="E28" s="16" t="n">
        <v>15250</v>
      </c>
      <c r="F28" s="16" t="n">
        <v>15250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227</v>
      </c>
      <c r="C32" s="16" t="n">
        <v>220</v>
      </c>
      <c r="D32" s="16" t="n">
        <v>0</v>
      </c>
      <c r="E32" s="16" t="n"/>
      <c r="F32" s="16" t="n"/>
    </row>
    <row r="33">
      <c r="A33" s="15" t="inlineStr">
        <is>
          <t>Overført resultat</t>
        </is>
      </c>
      <c r="B33" s="16" t="n">
        <v>-167</v>
      </c>
      <c r="C33" s="16" t="n">
        <v>-2</v>
      </c>
      <c r="D33" s="16" t="n">
        <v>829</v>
      </c>
      <c r="E33" s="16" t="n">
        <v>997</v>
      </c>
      <c r="F33" s="16" t="n">
        <v>-1287</v>
      </c>
    </row>
    <row r="34">
      <c r="A34" s="17" t="inlineStr">
        <is>
          <t>Egenkapital i alt</t>
        </is>
      </c>
      <c r="B34" s="16" t="n">
        <v>15310</v>
      </c>
      <c r="C34" s="16" t="n">
        <v>15468</v>
      </c>
      <c r="D34" s="16" t="n">
        <v>16079</v>
      </c>
      <c r="E34" s="16" t="n">
        <v>16247</v>
      </c>
      <c r="F34" s="16" t="n">
        <v>13963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1902</v>
      </c>
      <c r="C38" s="16" t="n">
        <v>1941</v>
      </c>
      <c r="D38" s="16" t="n">
        <v>2006</v>
      </c>
      <c r="E38" s="16" t="n"/>
      <c r="F38" s="16" t="n"/>
    </row>
    <row r="39">
      <c r="A39" s="17" t="inlineStr">
        <is>
          <t>Langfristede gældsforpligtelser</t>
        </is>
      </c>
      <c r="B39" s="16" t="n">
        <v>2972</v>
      </c>
      <c r="C39" s="16" t="n">
        <v>3014</v>
      </c>
      <c r="D39" s="16" t="n">
        <v>3036</v>
      </c>
      <c r="E39" s="16" t="n">
        <v>4311</v>
      </c>
      <c r="F39" s="16" t="n">
        <v>3023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4478</v>
      </c>
      <c r="C44" s="16" t="n">
        <v>7218</v>
      </c>
      <c r="D44" s="16" t="n">
        <v>9990</v>
      </c>
      <c r="E44" s="16" t="n">
        <v>13052</v>
      </c>
      <c r="F44" s="16" t="n">
        <v>7614</v>
      </c>
    </row>
    <row r="45">
      <c r="A45" s="15" t="inlineStr">
        <is>
          <t>Gæld til tilknyttede virksomheder</t>
        </is>
      </c>
      <c r="B45" s="16" t="n">
        <v>4138</v>
      </c>
      <c r="C45" s="16" t="n">
        <v>7350</v>
      </c>
      <c r="D45" s="16" t="n">
        <v>9288</v>
      </c>
      <c r="E45" s="16" t="n">
        <v>21457</v>
      </c>
      <c r="F45" s="16" t="n">
        <v>19943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2705</v>
      </c>
      <c r="C49" s="16" t="n">
        <v>1839</v>
      </c>
      <c r="D49" s="16" t="n">
        <v>3083</v>
      </c>
      <c r="E49" s="16" t="n"/>
      <c r="F49" s="16" t="n"/>
    </row>
    <row r="50">
      <c r="A50" s="15" t="inlineStr">
        <is>
          <t>Periodeafgrænsningsposter (passiver)</t>
        </is>
      </c>
      <c r="B50" s="16" t="n">
        <v>27</v>
      </c>
      <c r="C50" s="16" t="n">
        <v>44</v>
      </c>
      <c r="D50" s="16" t="n">
        <v>44</v>
      </c>
      <c r="E50" s="16" t="n">
        <v>211</v>
      </c>
      <c r="F50" s="16" t="n">
        <v>27</v>
      </c>
    </row>
    <row r="51">
      <c r="A51" s="17" t="inlineStr">
        <is>
          <t>Kortfristede gældsforpligtelser</t>
        </is>
      </c>
      <c r="B51" s="16" t="n">
        <v>11348</v>
      </c>
      <c r="C51" s="16" t="n">
        <v>16452</v>
      </c>
      <c r="D51" s="16" t="n">
        <v>22405</v>
      </c>
      <c r="E51" s="16" t="n">
        <v>37578</v>
      </c>
      <c r="F51" s="16" t="n">
        <v>34413</v>
      </c>
    </row>
    <row r="52">
      <c r="A52" s="17" t="inlineStr">
        <is>
          <t>Gældsforpligtelser</t>
        </is>
      </c>
      <c r="B52" s="16" t="n">
        <v>14320</v>
      </c>
      <c r="C52" s="16" t="n">
        <v>19466</v>
      </c>
      <c r="D52" s="16" t="n">
        <v>25441</v>
      </c>
      <c r="E52" s="16" t="n">
        <v>41889</v>
      </c>
      <c r="F52" s="16" t="n">
        <v>37436</v>
      </c>
    </row>
    <row r="53">
      <c r="A53" s="17" t="inlineStr">
        <is>
          <t>Passiver</t>
        </is>
      </c>
      <c r="B53" s="16" t="n">
        <v>29630</v>
      </c>
      <c r="C53" s="16" t="n">
        <v>34935</v>
      </c>
      <c r="D53" s="16" t="n">
        <v>41520</v>
      </c>
      <c r="E53" s="16" t="n">
        <v>58137</v>
      </c>
      <c r="F53" s="16" t="n">
        <v>51399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HIRTSHALS SEAFOOD A/S (CVR 11160808) — Regnskabs- og nøgletal (CVR: 11160808)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'res_raw_11160808'!$F$2</f>
        <v/>
      </c>
      <c r="C5" s="24">
        <f>'res_raw_11160808'!$E$2</f>
        <v/>
      </c>
      <c r="D5" s="24">
        <f>'res_raw_11160808'!$D$2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'res_raw_11160808'!$F$3</f>
        <v/>
      </c>
      <c r="C6" s="24">
        <f>'res_raw_11160808'!$E$3</f>
        <v/>
      </c>
      <c r="D6" s="24">
        <f>'res_raw_11160808'!$D$3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-'res_raw_11160808'!$F$4</f>
        <v/>
      </c>
      <c r="C7" s="24">
        <f>-'res_raw_11160808'!$E$4</f>
        <v/>
      </c>
      <c r="D7" s="24">
        <f>-'res_raw_11160808'!$D$4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-'res_raw_11160808'!$F$5</f>
        <v/>
      </c>
      <c r="C8" s="24">
        <f>-'res_raw_11160808'!$E$5</f>
        <v/>
      </c>
      <c r="D8" s="24">
        <f>-'res_raw_11160808'!$D$5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IF(ABS((SUM(B5:B8))-'res_raw_11160808'!$F$6)&lt;=2,SUM(B5:B8),'res_raw_11160808'!$F$6)</f>
        <v/>
      </c>
      <c r="C9" s="27">
        <f>IF(ABS((SUM(C5:C8))-'res_raw_11160808'!$E$6)&lt;=2,SUM(C5:C8),'res_raw_11160808'!$E$6)</f>
        <v/>
      </c>
      <c r="D9" s="27">
        <f>IF(ABS((SUM(D5:D8))-'res_raw_11160808'!$D$6)&lt;=2,SUM(D5:D8),'res_raw_11160808'!$D$6)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-'res_raw_11160808'!$F$7</f>
        <v/>
      </c>
      <c r="C10" s="24">
        <f>-'res_raw_11160808'!$E$7</f>
        <v/>
      </c>
      <c r="D10" s="24">
        <f>-'res_raw_11160808'!$D$7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-'res_raw_11160808'!$F$9</f>
        <v/>
      </c>
      <c r="C11" s="24">
        <f>-'res_raw_11160808'!$E$9</f>
        <v/>
      </c>
      <c r="D11" s="24">
        <f>-'res_raw_11160808'!$D$9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-'res_raw_11160808'!$F$10</f>
        <v/>
      </c>
      <c r="C12" s="24">
        <f>-'res_raw_11160808'!$E$10</f>
        <v/>
      </c>
      <c r="D12" s="24">
        <f>-'res_raw_11160808'!$D$10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IF(ABS((SUM(B9:B12))-'res_raw_11160808'!$F$11)&lt;=2,SUM(B9:B12),'res_raw_11160808'!$F$11)</f>
        <v/>
      </c>
      <c r="C13" s="27">
        <f>IF(ABS((SUM(C9:C12))-'res_raw_11160808'!$E$11)&lt;=2,SUM(C9:C12),'res_raw_11160808'!$E$11)</f>
        <v/>
      </c>
      <c r="D13" s="27">
        <f>IF(ABS((SUM(D9:D12))-'res_raw_11160808'!$D$11)&lt;=2,SUM(D9:D12),'res_raw_11160808'!$D$11)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N('res_raw_11160808'!$F$12)+N('res_raw_11160808'!$F$13)</f>
        <v/>
      </c>
      <c r="C14" s="24">
        <f>N('res_raw_11160808'!$E$12)+N('res_raw_11160808'!$E$13)</f>
        <v/>
      </c>
      <c r="D14" s="24">
        <f>N('res_raw_11160808'!$D$12)+N('res_raw_11160808'!$D$13)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-'res_raw_11160808'!$F$14</f>
        <v/>
      </c>
      <c r="C15" s="24">
        <f>-'res_raw_11160808'!$E$14</f>
        <v/>
      </c>
      <c r="D15" s="24">
        <f>-'res_raw_11160808'!$D$14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IF(ABS((SUM(B13:B15))-'res_raw_11160808'!$F$16)&lt;=2,SUM(B13:B15),'res_raw_11160808'!$F$16)</f>
        <v/>
      </c>
      <c r="C16" s="27">
        <f>IF(ABS((SUM(C13:C15))-'res_raw_11160808'!$E$16)&lt;=2,SUM(C13:C15),'res_raw_11160808'!$E$16)</f>
        <v/>
      </c>
      <c r="D16" s="27">
        <f>IF(ABS((SUM(D13:D15))-'res_raw_11160808'!$D$16)&lt;=2,SUM(D13:D15),'res_raw_11160808'!$D$16)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'balance_raw_11160808'!$F$11</f>
        <v/>
      </c>
      <c r="C19" s="24">
        <f>'balance_raw_11160808'!$E$11</f>
        <v/>
      </c>
      <c r="D19" s="24">
        <f>'balance_raw_11160808'!$D$11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'balance_raw_11160808'!$F$26</f>
        <v/>
      </c>
      <c r="C20" s="24">
        <f>'balance_raw_11160808'!$E$26</f>
        <v/>
      </c>
      <c r="D20" s="24">
        <f>'balance_raw_11160808'!$D$26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'balance_raw_11160808'!$F$34</f>
        <v/>
      </c>
      <c r="C23" s="24">
        <f>'balance_raw_11160808'!$E$34</f>
        <v/>
      </c>
      <c r="D23" s="24">
        <f>'balance_raw_11160808'!$D$34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'balance_raw_11160808'!$F$53-'balance_raw_11160808'!$F$34</f>
        <v/>
      </c>
      <c r="C24" s="24">
        <f>'balance_raw_11160808'!$E$53-'balance_raw_11160808'!$E$34</f>
        <v/>
      </c>
      <c r="D24" s="24">
        <f>'balance_raw_11160808'!$D$53-'balance_raw_11160808'!$D$34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'balance_raw_11160808'!$F$15</f>
        <v/>
      </c>
      <c r="C28" s="24">
        <f>'balance_raw_11160808'!$E$15</f>
        <v/>
      </c>
      <c r="D28" s="24">
        <f>'balance_raw_11160808'!$D$15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'balance_raw_11160808'!$F$16</f>
        <v/>
      </c>
      <c r="C29" s="24">
        <f>'balance_raw_11160808'!$E$16</f>
        <v/>
      </c>
      <c r="D29" s="24">
        <f>'balance_raw_11160808'!$D$16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'balance_raw_11160808'!$F$51</f>
        <v/>
      </c>
      <c r="C30" s="24">
        <f>'balance_raw_11160808'!$E$51</f>
        <v/>
      </c>
      <c r="D30" s="24">
        <f>'balance_raw_11160808'!$D$51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IF('balance_raw_11160808'!$F$27="","—",IF(ABS(B21-'balance_raw_11160808'!$F$27)&lt;=1,"✓ OK","❌ "&amp;TEXT(B21-'balance_raw_11160808'!$F$27,"+#,##0;-#,##0")&amp;" t.kr."))</f>
        <v/>
      </c>
      <c r="C61" s="29">
        <f>IF('balance_raw_11160808'!$E$27="","—",IF(ABS(C21-'balance_raw_11160808'!$E$27)&lt;=1,"✓ OK","❌ "&amp;TEXT(C21-'balance_raw_11160808'!$E$27,"+#,##0;-#,##0")&amp;" t.kr."))</f>
        <v/>
      </c>
      <c r="D61" s="29">
        <f>IF('balance_raw_11160808'!$D$27="","—",IF(ABS(D21-'balance_raw_11160808'!$D$27)&lt;=1,"✓ OK","❌ "&amp;TEXT(D21-'balance_raw_11160808'!$D$27,"+#,##0;-#,##0")&amp;"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IF('balance_raw_11160808'!$F$53="","—",IF(ABS(B25-'balance_raw_11160808'!$F$53)&lt;=1,"✓ OK","❌ "&amp;TEXT(B25-'balance_raw_11160808'!$F$53,"+#,##0;-#,##0")&amp;" t.kr."))</f>
        <v/>
      </c>
      <c r="C62" s="29">
        <f>IF('balance_raw_11160808'!$E$53="","—",IF(ABS(C25-'balance_raw_11160808'!$E$53)&lt;=1,"✓ OK","❌ "&amp;TEXT(C25-'balance_raw_11160808'!$E$53,"+#,##0;-#,##0")&amp;" t.kr."))</f>
        <v/>
      </c>
      <c r="D62" s="29">
        <f>IF('balance_raw_11160808'!$D$53="","—",IF(ABS(D25-'balance_raw_11160808'!$D$53)&lt;=1,"✓ OK","❌ "&amp;TEXT(D25-'balance_raw_11160808'!$D$53,"+#,##0;-#,##0")&amp;"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IF('res_raw_11160808'!$F$6="","—",IF(ABS(B9-'res_raw_11160808'!$F$6)&lt;=1,"✓ OK","❌ "&amp;TEXT(B9-'res_raw_11160808'!$F$6,"+#,##0;-#,##0")&amp;" t.kr."))</f>
        <v/>
      </c>
      <c r="C64" s="29">
        <f>IF('res_raw_11160808'!$E$6="","—",IF(ABS(C9-'res_raw_11160808'!$E$6)&lt;=1,"✓ OK","❌ "&amp;TEXT(C9-'res_raw_11160808'!$E$6,"+#,##0;-#,##0")&amp;" t.kr."))</f>
        <v/>
      </c>
      <c r="D64" s="29">
        <f>IF('res_raw_11160808'!$D$6="","—",IF(ABS(D9-'res_raw_11160808'!$D$6)&lt;=1,"✓ OK","❌ "&amp;TEXT(D9-'res_raw_11160808'!$D$6,"+#,##0;-#,##0")&amp;"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IF('res_raw_11160808'!$F$11="","—",IF(ABS(B13-'res_raw_11160808'!$F$11)&lt;=1,"✓ OK","❌ "&amp;TEXT(B13-'res_raw_11160808'!$F$11,"+#,##0;-#,##0")&amp;" t.kr."))</f>
        <v/>
      </c>
      <c r="C65" s="29">
        <f>IF('res_raw_11160808'!$E$11="","—",IF(ABS(C13-'res_raw_11160808'!$E$11)&lt;=1,"✓ OK","❌ "&amp;TEXT(C13-'res_raw_11160808'!$E$11,"+#,##0;-#,##0")&amp;" t.kr."))</f>
        <v/>
      </c>
      <c r="D65" s="29">
        <f>IF('res_raw_11160808'!$D$11="","—",IF(ABS(D13-'res_raw_11160808'!$D$11)&lt;=1,"✓ OK","❌ "&amp;TEXT(D13-'res_raw_11160808'!$D$11,"+#,##0;-#,##0")&amp;"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IF('res_raw_11160808'!$F$16="","—",IF(ABS(B16-'res_raw_11160808'!$F$16)&lt;=1,"✓ OK","❌ "&amp;TEXT(B16-'res_raw_11160808'!$F$16,"+#,##0;-#,##0")&amp;" t.kr."))</f>
        <v/>
      </c>
      <c r="C66" s="29">
        <f>IF('res_raw_11160808'!$E$16="","—",IF(ABS(C16-'res_raw_11160808'!$E$16)&lt;=1,"✓ OK","❌ "&amp;TEXT(C16-'res_raw_11160808'!$E$16,"+#,##0;-#,##0")&amp;" t.kr."))</f>
        <v/>
      </c>
      <c r="D66" s="29">
        <f>IF('res_raw_11160808'!$D$16="","—",IF(ABS(D16-'res_raw_11160808'!$D$16)&lt;=1,"✓ OK","❌ "&amp;TEXT(D16-'res_raw_11160808'!$D$16,"+#,##0;-#,##0")&amp;"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HIRTSHALS SEAFOOD A/S (CVR 11160808)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30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132</v>
      </c>
      <c r="E4" s="38" t="n">
        <v>43</v>
      </c>
      <c r="F4" s="38" t="n">
        <v>67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fsa:HolidayAllowanceLiabilitiesLongterm</t>
        </is>
      </c>
      <c r="C5" s="34" t="inlineStr">
        <is>
          <t>fsa:HolidayAllowanceLiabilitiesLongterm</t>
        </is>
      </c>
      <c r="D5" s="35" t="n"/>
      <c r="E5" s="35" t="n"/>
      <c r="F5" s="35" t="n"/>
      <c r="G5" s="35" t="n">
        <v>2064</v>
      </c>
      <c r="H5" s="35" t="n">
        <v>2061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1070</v>
      </c>
      <c r="E6" s="38" t="n">
        <v>1073</v>
      </c>
      <c r="F6" s="38" t="n">
        <v>1029</v>
      </c>
      <c r="G6" s="38" t="n">
        <v>2247</v>
      </c>
      <c r="H6" s="38" t="n">
        <v>961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fsa:OtherContingentLiabilitiesNotRecognisedInBalanceSheet</t>
        </is>
      </c>
      <c r="C7" s="34" t="inlineStr">
        <is>
          <t>fsa:OtherContingentLiabilitiesNotRecognisedInBalanceSheet</t>
        </is>
      </c>
      <c r="D7" s="35" t="n"/>
      <c r="E7" s="35" t="n"/>
      <c r="F7" s="35" t="n"/>
      <c r="G7" s="35" t="n"/>
      <c r="H7" s="35" t="n">
        <v>908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2026-09-29T14:47:18Z</dcterms:created>
  <dcterms:modified xmlns:dcterms="http://purl.org/dc/terms/" xmlns:xsi="http://www.w3.org/2001/XMLSchema-instance" xsi:type="dcterms:W3CDTF">2026-09-29T14:47:19Z</dcterms:modified>
</cp:coreProperties>
</file>