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5937712" sheetId="1" state="visible" r:id="rId1"/>
    <sheet xmlns:r="http://schemas.openxmlformats.org/officeDocument/2006/relationships" name="res_raw_45937712" sheetId="2" state="visible" r:id="rId2"/>
    <sheet xmlns:r="http://schemas.openxmlformats.org/officeDocument/2006/relationships" name="balance_raw_45937712" sheetId="3" state="visible" r:id="rId3"/>
    <sheet xmlns:r="http://schemas.openxmlformats.org/officeDocument/2006/relationships" name="pengestrom_raw_45937712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A/S Læsø Fiskeindustri (CVR 45937712)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'res_raw_45937712'!$B$2</f>
        <v/>
      </c>
      <c r="C4" s="5">
        <f>'res_raw_45937712'!$C$2</f>
        <v/>
      </c>
      <c r="D4" s="5">
        <f>'res_raw_45937712'!$D$2</f>
        <v/>
      </c>
      <c r="E4" s="5">
        <f>'res_raw_45937712'!$E$2</f>
        <v/>
      </c>
      <c r="F4" s="5">
        <f>'res_raw_45937712'!$F$2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'res_raw_45937712'!$B$3</f>
        <v/>
      </c>
      <c r="C5" s="8">
        <f>'res_raw_45937712'!$C$3</f>
        <v/>
      </c>
      <c r="D5" s="8">
        <f>'res_raw_45937712'!$D$3</f>
        <v/>
      </c>
      <c r="E5" s="8">
        <f>'res_raw_45937712'!$E$3</f>
        <v/>
      </c>
      <c r="F5" s="8">
        <f>'res_raw_45937712'!$F$3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'res_raw_45937712'!$B$4</f>
        <v/>
      </c>
      <c r="C6" s="5">
        <f>'res_raw_45937712'!$C$4</f>
        <v/>
      </c>
      <c r="D6" s="5">
        <f>'res_raw_45937712'!$D$4</f>
        <v/>
      </c>
      <c r="E6" s="5">
        <f>'res_raw_45937712'!$E$4</f>
        <v/>
      </c>
      <c r="F6" s="5">
        <f>'res_raw_45937712'!$F$4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'res_raw_45937712'!$B$5</f>
        <v/>
      </c>
      <c r="C7" s="8">
        <f>'res_raw_45937712'!$C$5</f>
        <v/>
      </c>
      <c r="D7" s="8">
        <f>'res_raw_45937712'!$D$5</f>
        <v/>
      </c>
      <c r="E7" s="8">
        <f>'res_raw_45937712'!$E$5</f>
        <v/>
      </c>
      <c r="F7" s="8">
        <f>'res_raw_45937712'!$F$5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'res_raw_45937712'!$B$6</f>
        <v/>
      </c>
      <c r="C8" s="11">
        <f>'res_raw_45937712'!$C$6</f>
        <v/>
      </c>
      <c r="D8" s="11">
        <f>'res_raw_45937712'!$D$6</f>
        <v/>
      </c>
      <c r="E8" s="11">
        <f>'res_raw_45937712'!$E$6</f>
        <v/>
      </c>
      <c r="F8" s="11">
        <f>'res_raw_45937712'!$F$6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'res_raw_45937712'!$B$7</f>
        <v/>
      </c>
      <c r="C9" s="8">
        <f>'res_raw_45937712'!$C$7</f>
        <v/>
      </c>
      <c r="D9" s="8">
        <f>'res_raw_45937712'!$D$7</f>
        <v/>
      </c>
      <c r="E9" s="8">
        <f>'res_raw_45937712'!$E$7</f>
        <v/>
      </c>
      <c r="F9" s="8">
        <f>'res_raw_45937712'!$F$7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'res_raw_45937712'!$B$9</f>
        <v/>
      </c>
      <c r="C11" s="8">
        <f>'res_raw_45937712'!$C$9</f>
        <v/>
      </c>
      <c r="D11" s="8">
        <f>'res_raw_45937712'!$D$9</f>
        <v/>
      </c>
      <c r="E11" s="8">
        <f>'res_raw_45937712'!$E$9</f>
        <v/>
      </c>
      <c r="F11" s="8">
        <f>'res_raw_45937712'!$F$9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'res_raw_45937712'!$B$10</f>
        <v/>
      </c>
      <c r="C12" s="5">
        <f>'res_raw_45937712'!$C$10</f>
        <v/>
      </c>
      <c r="D12" s="5">
        <f>'res_raw_45937712'!$D$10</f>
        <v/>
      </c>
      <c r="E12" s="5">
        <f>'res_raw_45937712'!$E$10</f>
        <v/>
      </c>
      <c r="F12" s="5">
        <f>'res_raw_45937712'!$F$10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'res_raw_45937712'!$B$11</f>
        <v/>
      </c>
      <c r="C13" s="11">
        <f>'res_raw_45937712'!$C$11</f>
        <v/>
      </c>
      <c r="D13" s="11">
        <f>'res_raw_45937712'!$D$11</f>
        <v/>
      </c>
      <c r="E13" s="11">
        <f>'res_raw_45937712'!$E$11</f>
        <v/>
      </c>
      <c r="F13" s="11">
        <f>'res_raw_45937712'!$F$11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'res_raw_45937712'!$B$12</f>
        <v/>
      </c>
      <c r="C14" s="5">
        <f>'res_raw_45937712'!$C$12</f>
        <v/>
      </c>
      <c r="D14" s="5">
        <f>'res_raw_45937712'!$D$12</f>
        <v/>
      </c>
      <c r="E14" s="5">
        <f>'res_raw_45937712'!$E$12</f>
        <v/>
      </c>
      <c r="F14" s="5">
        <f>'res_raw_45937712'!$F$12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'res_raw_45937712'!$B$13</f>
        <v/>
      </c>
      <c r="C15" s="8">
        <f>'res_raw_45937712'!$C$13</f>
        <v/>
      </c>
      <c r="D15" s="8">
        <f>'res_raw_45937712'!$D$13</f>
        <v/>
      </c>
      <c r="E15" s="8">
        <f>'res_raw_45937712'!$E$13</f>
        <v/>
      </c>
      <c r="F15" s="8">
        <f>'res_raw_45937712'!$F$13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'res_raw_45937712'!$B$14</f>
        <v/>
      </c>
      <c r="C16" s="5">
        <f>'res_raw_45937712'!$C$14</f>
        <v/>
      </c>
      <c r="D16" s="5">
        <f>'res_raw_45937712'!$D$14</f>
        <v/>
      </c>
      <c r="E16" s="5">
        <f>'res_raw_45937712'!$E$14</f>
        <v/>
      </c>
      <c r="F16" s="5">
        <f>'res_raw_45937712'!$F$14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'res_raw_45937712'!$B$15</f>
        <v/>
      </c>
      <c r="C17" s="11">
        <f>'res_raw_45937712'!$C$15</f>
        <v/>
      </c>
      <c r="D17" s="11">
        <f>'res_raw_45937712'!$D$15</f>
        <v/>
      </c>
      <c r="E17" s="11">
        <f>'res_raw_45937712'!$E$15</f>
        <v/>
      </c>
      <c r="F17" s="11">
        <f>'res_raw_45937712'!$F$15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'res_raw_45937712'!$B$16</f>
        <v/>
      </c>
      <c r="C18" s="11">
        <f>'res_raw_45937712'!$C$16</f>
        <v/>
      </c>
      <c r="D18" s="11">
        <f>'res_raw_45937712'!$D$16</f>
        <v/>
      </c>
      <c r="E18" s="11">
        <f>'res_raw_45937712'!$E$16</f>
        <v/>
      </c>
      <c r="F18" s="11">
        <f>'res_raw_45937712'!$F$16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'res_raw_45937712'!$B$17</f>
        <v/>
      </c>
      <c r="C19" s="8">
        <f>'res_raw_45937712'!$C$17</f>
        <v/>
      </c>
      <c r="D19" s="8">
        <f>'res_raw_45937712'!$D$17</f>
        <v/>
      </c>
      <c r="E19" s="8">
        <f>'res_raw_45937712'!$E$17</f>
        <v/>
      </c>
      <c r="F19" s="8">
        <f>'res_raw_45937712'!$F$17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'res_raw_45937712'!$B$18</f>
        <v/>
      </c>
      <c r="C20" s="11">
        <f>'res_raw_45937712'!$C$18</f>
        <v/>
      </c>
      <c r="D20" s="11">
        <f>'res_raw_45937712'!$D$18</f>
        <v/>
      </c>
      <c r="E20" s="11">
        <f>'res_raw_45937712'!$E$18</f>
        <v/>
      </c>
      <c r="F20" s="11">
        <f>'res_raw_45937712'!$F$18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'balance_raw_45937712'!$B$2</f>
        <v/>
      </c>
      <c r="C23" s="11">
        <f>'balance_raw_45937712'!$C$2</f>
        <v/>
      </c>
      <c r="D23" s="11">
        <f>'balance_raw_45937712'!$D$2</f>
        <v/>
      </c>
      <c r="E23" s="11">
        <f>'balance_raw_45937712'!$E$2</f>
        <v/>
      </c>
      <c r="F23" s="11">
        <f>'balance_raw_45937712'!$F$2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'balance_raw_45937712'!$B$3</f>
        <v/>
      </c>
      <c r="C24" s="5">
        <f>'balance_raw_45937712'!$C$3</f>
        <v/>
      </c>
      <c r="D24" s="5">
        <f>'balance_raw_45937712'!$D$3</f>
        <v/>
      </c>
      <c r="E24" s="5">
        <f>'balance_raw_45937712'!$E$3</f>
        <v/>
      </c>
      <c r="F24" s="5">
        <f>'balance_raw_45937712'!$F$3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'balance_raw_45937712'!$B$4</f>
        <v/>
      </c>
      <c r="C25" s="8">
        <f>'balance_raw_45937712'!$C$4</f>
        <v/>
      </c>
      <c r="D25" s="8">
        <f>'balance_raw_45937712'!$D$4</f>
        <v/>
      </c>
      <c r="E25" s="8">
        <f>'balance_raw_45937712'!$E$4</f>
        <v/>
      </c>
      <c r="F25" s="8">
        <f>'balance_raw_45937712'!$F$4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'balance_raw_45937712'!$B$5</f>
        <v/>
      </c>
      <c r="C26" s="5">
        <f>'balance_raw_45937712'!$C$5</f>
        <v/>
      </c>
      <c r="D26" s="5">
        <f>'balance_raw_45937712'!$D$5</f>
        <v/>
      </c>
      <c r="E26" s="5">
        <f>'balance_raw_45937712'!$E$5</f>
        <v/>
      </c>
      <c r="F26" s="5">
        <f>'balance_raw_45937712'!$F$5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'balance_raw_45937712'!$B$6</f>
        <v/>
      </c>
      <c r="C27" s="8">
        <f>'balance_raw_45937712'!$C$6</f>
        <v/>
      </c>
      <c r="D27" s="8">
        <f>'balance_raw_45937712'!$D$6</f>
        <v/>
      </c>
      <c r="E27" s="8">
        <f>'balance_raw_45937712'!$E$6</f>
        <v/>
      </c>
      <c r="F27" s="8">
        <f>'balance_raw_45937712'!$F$6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'balance_raw_45937712'!$B$7</f>
        <v/>
      </c>
      <c r="C28" s="5">
        <f>'balance_raw_45937712'!$C$7</f>
        <v/>
      </c>
      <c r="D28" s="5">
        <f>'balance_raw_45937712'!$D$7</f>
        <v/>
      </c>
      <c r="E28" s="5">
        <f>'balance_raw_45937712'!$E$7</f>
        <v/>
      </c>
      <c r="F28" s="5">
        <f>'balance_raw_45937712'!$F$7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'balance_raw_45937712'!$B$8</f>
        <v/>
      </c>
      <c r="C29" s="11">
        <f>'balance_raw_45937712'!$C$8</f>
        <v/>
      </c>
      <c r="D29" s="11">
        <f>'balance_raw_45937712'!$D$8</f>
        <v/>
      </c>
      <c r="E29" s="11">
        <f>'balance_raw_45937712'!$E$8</f>
        <v/>
      </c>
      <c r="F29" s="11">
        <f>'balance_raw_45937712'!$F$8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Kapitalandele, dattervirksomheder</t>
        </is>
      </c>
      <c r="B30" s="5">
        <f>'balance_raw_45937712'!$B$9</f>
        <v/>
      </c>
      <c r="C30" s="5">
        <f>'balance_raw_45937712'!$C$9</f>
        <v/>
      </c>
      <c r="D30" s="5">
        <f>'balance_raw_45937712'!$D$9</f>
        <v/>
      </c>
      <c r="E30" s="5">
        <f>'balance_raw_45937712'!$E$9</f>
        <v/>
      </c>
      <c r="F30" s="5">
        <f>'balance_raw_45937712'!$F$9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Deposita</t>
        </is>
      </c>
      <c r="B31" s="8">
        <f>'balance_raw_45937712'!$B$10</f>
        <v/>
      </c>
      <c r="C31" s="8">
        <f>'balance_raw_45937712'!$C$10</f>
        <v/>
      </c>
      <c r="D31" s="8">
        <f>'balance_raw_45937712'!$D$10</f>
        <v/>
      </c>
      <c r="E31" s="8">
        <f>'balance_raw_45937712'!$E$10</f>
        <v/>
      </c>
      <c r="F31" s="8">
        <f>'balance_raw_45937712'!$F$10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Finansielle anlægsaktiver</t>
        </is>
      </c>
      <c r="B32" s="11">
        <f>'balance_raw_45937712'!$B$11</f>
        <v/>
      </c>
      <c r="C32" s="11">
        <f>'balance_raw_45937712'!$C$11</f>
        <v/>
      </c>
      <c r="D32" s="11">
        <f>'balance_raw_45937712'!$D$11</f>
        <v/>
      </c>
      <c r="E32" s="11">
        <f>'balance_raw_45937712'!$E$11</f>
        <v/>
      </c>
      <c r="F32" s="11">
        <f>'balance_raw_45937712'!$F$11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'balance_raw_45937712'!$B$12</f>
        <v/>
      </c>
      <c r="C33" s="11">
        <f>'balance_raw_45937712'!$C$12</f>
        <v/>
      </c>
      <c r="D33" s="11">
        <f>'balance_raw_45937712'!$D$12</f>
        <v/>
      </c>
      <c r="E33" s="11">
        <f>'balance_raw_45937712'!$E$12</f>
        <v/>
      </c>
      <c r="F33" s="11">
        <f>'balance_raw_45937712'!$F$12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'balance_raw_45937712'!$B$13</f>
        <v/>
      </c>
      <c r="C34" s="5">
        <f>'balance_raw_45937712'!$C$13</f>
        <v/>
      </c>
      <c r="D34" s="5">
        <f>'balance_raw_45937712'!$D$13</f>
        <v/>
      </c>
      <c r="E34" s="5">
        <f>'balance_raw_45937712'!$E$13</f>
        <v/>
      </c>
      <c r="F34" s="5">
        <f>'balance_raw_45937712'!$F$13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'balance_raw_45937712'!$B$14</f>
        <v/>
      </c>
      <c r="C35" s="8">
        <f>'balance_raw_45937712'!$C$14</f>
        <v/>
      </c>
      <c r="D35" s="8">
        <f>'balance_raw_45937712'!$D$14</f>
        <v/>
      </c>
      <c r="E35" s="8">
        <f>'balance_raw_45937712'!$E$14</f>
        <v/>
      </c>
      <c r="F35" s="8">
        <f>'balance_raw_45937712'!$F$14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'balance_raw_45937712'!$B$15</f>
        <v/>
      </c>
      <c r="C36" s="5">
        <f>'balance_raw_45937712'!$C$15</f>
        <v/>
      </c>
      <c r="D36" s="5">
        <f>'balance_raw_45937712'!$D$15</f>
        <v/>
      </c>
      <c r="E36" s="5">
        <f>'balance_raw_45937712'!$E$15</f>
        <v/>
      </c>
      <c r="F36" s="5">
        <f>'balance_raw_45937712'!$F$15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'balance_raw_45937712'!$B$16</f>
        <v/>
      </c>
      <c r="C37" s="11">
        <f>'balance_raw_45937712'!$C$16</f>
        <v/>
      </c>
      <c r="D37" s="11">
        <f>'balance_raw_45937712'!$D$16</f>
        <v/>
      </c>
      <c r="E37" s="11">
        <f>'balance_raw_45937712'!$E$16</f>
        <v/>
      </c>
      <c r="F37" s="11">
        <f>'balance_raw_45937712'!$F$16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'balance_raw_45937712'!$B$17</f>
        <v/>
      </c>
      <c r="C38" s="5">
        <f>'balance_raw_45937712'!$C$17</f>
        <v/>
      </c>
      <c r="D38" s="5">
        <f>'balance_raw_45937712'!$D$17</f>
        <v/>
      </c>
      <c r="E38" s="5">
        <f>'balance_raw_45937712'!$E$17</f>
        <v/>
      </c>
      <c r="F38" s="5">
        <f>'balance_raw_45937712'!$F$17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'balance_raw_45937712'!$B$18</f>
        <v/>
      </c>
      <c r="C39" s="8">
        <f>'balance_raw_45937712'!$C$18</f>
        <v/>
      </c>
      <c r="D39" s="8">
        <f>'balance_raw_45937712'!$D$18</f>
        <v/>
      </c>
      <c r="E39" s="8">
        <f>'balance_raw_45937712'!$E$18</f>
        <v/>
      </c>
      <c r="F39" s="8">
        <f>'balance_raw_45937712'!$F$18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'balance_raw_45937712'!$B$19</f>
        <v/>
      </c>
      <c r="C40" s="5">
        <f>'balance_raw_45937712'!$C$19</f>
        <v/>
      </c>
      <c r="D40" s="5">
        <f>'balance_raw_45937712'!$D$19</f>
        <v/>
      </c>
      <c r="E40" s="5">
        <f>'balance_raw_45937712'!$E$19</f>
        <v/>
      </c>
      <c r="F40" s="5">
        <f>'balance_raw_45937712'!$F$19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'balance_raw_45937712'!$B$20</f>
        <v/>
      </c>
      <c r="C41" s="8">
        <f>'balance_raw_45937712'!$C$20</f>
        <v/>
      </c>
      <c r="D41" s="8">
        <f>'balance_raw_45937712'!$D$20</f>
        <v/>
      </c>
      <c r="E41" s="8">
        <f>'balance_raw_45937712'!$E$20</f>
        <v/>
      </c>
      <c r="F41" s="8">
        <f>'balance_raw_45937712'!$F$20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'balance_raw_45937712'!$B$21</f>
        <v/>
      </c>
      <c r="C42" s="5">
        <f>'balance_raw_45937712'!$C$21</f>
        <v/>
      </c>
      <c r="D42" s="5">
        <f>'balance_raw_45937712'!$D$21</f>
        <v/>
      </c>
      <c r="E42" s="5">
        <f>'balance_raw_45937712'!$E$21</f>
        <v/>
      </c>
      <c r="F42" s="5">
        <f>'balance_raw_45937712'!$F$21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'balance_raw_45937712'!$B$22</f>
        <v/>
      </c>
      <c r="C43" s="8">
        <f>'balance_raw_45937712'!$C$22</f>
        <v/>
      </c>
      <c r="D43" s="8">
        <f>'balance_raw_45937712'!$D$22</f>
        <v/>
      </c>
      <c r="E43" s="8">
        <f>'balance_raw_45937712'!$E$22</f>
        <v/>
      </c>
      <c r="F43" s="8">
        <f>'balance_raw_45937712'!$F$22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'balance_raw_45937712'!$B$23</f>
        <v/>
      </c>
      <c r="C44" s="5">
        <f>'balance_raw_45937712'!$C$23</f>
        <v/>
      </c>
      <c r="D44" s="5">
        <f>'balance_raw_45937712'!$D$23</f>
        <v/>
      </c>
      <c r="E44" s="5">
        <f>'balance_raw_45937712'!$E$23</f>
        <v/>
      </c>
      <c r="F44" s="5">
        <f>'balance_raw_45937712'!$F$23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'balance_raw_45937712'!$B$24</f>
        <v/>
      </c>
      <c r="C45" s="11">
        <f>'balance_raw_45937712'!$C$24</f>
        <v/>
      </c>
      <c r="D45" s="11">
        <f>'balance_raw_45937712'!$D$24</f>
        <v/>
      </c>
      <c r="E45" s="11">
        <f>'balance_raw_45937712'!$E$24</f>
        <v/>
      </c>
      <c r="F45" s="11">
        <f>'balance_raw_45937712'!$F$24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'balance_raw_45937712'!$B$25</f>
        <v/>
      </c>
      <c r="C46" s="5">
        <f>'balance_raw_45937712'!$C$25</f>
        <v/>
      </c>
      <c r="D46" s="5">
        <f>'balance_raw_45937712'!$D$25</f>
        <v/>
      </c>
      <c r="E46" s="5">
        <f>'balance_raw_45937712'!$E$25</f>
        <v/>
      </c>
      <c r="F46" s="5">
        <f>'balance_raw_45937712'!$F$25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'balance_raw_45937712'!$B$26</f>
        <v/>
      </c>
      <c r="C47" s="8">
        <f>'balance_raw_45937712'!$C$26</f>
        <v/>
      </c>
      <c r="D47" s="8">
        <f>'balance_raw_45937712'!$D$26</f>
        <v/>
      </c>
      <c r="E47" s="8">
        <f>'balance_raw_45937712'!$E$26</f>
        <v/>
      </c>
      <c r="F47" s="8">
        <f>'balance_raw_45937712'!$F$26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'balance_raw_45937712'!$B$27</f>
        <v/>
      </c>
      <c r="C48" s="11">
        <f>'balance_raw_45937712'!$C$27</f>
        <v/>
      </c>
      <c r="D48" s="11">
        <f>'balance_raw_45937712'!$D$27</f>
        <v/>
      </c>
      <c r="E48" s="11">
        <f>'balance_raw_45937712'!$E$27</f>
        <v/>
      </c>
      <c r="F48" s="11">
        <f>'balance_raw_45937712'!$F$27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'balance_raw_45937712'!$B$28</f>
        <v/>
      </c>
      <c r="C49" s="11">
        <f>'balance_raw_45937712'!$C$28</f>
        <v/>
      </c>
      <c r="D49" s="11">
        <f>'balance_raw_45937712'!$D$28</f>
        <v/>
      </c>
      <c r="E49" s="11">
        <f>'balance_raw_45937712'!$E$28</f>
        <v/>
      </c>
      <c r="F49" s="11">
        <f>'balance_raw_45937712'!$F$28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'balance_raw_45937712'!$B$29</f>
        <v/>
      </c>
      <c r="C52" s="5">
        <f>'balance_raw_45937712'!$C$29</f>
        <v/>
      </c>
      <c r="D52" s="5">
        <f>'balance_raw_45937712'!$D$29</f>
        <v/>
      </c>
      <c r="E52" s="5">
        <f>'balance_raw_45937712'!$E$29</f>
        <v/>
      </c>
      <c r="F52" s="5">
        <f>'balance_raw_45937712'!$F$29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'balance_raw_45937712'!$B$30</f>
        <v/>
      </c>
      <c r="C53" s="8">
        <f>'balance_raw_45937712'!$C$30</f>
        <v/>
      </c>
      <c r="D53" s="8">
        <f>'balance_raw_45937712'!$D$30</f>
        <v/>
      </c>
      <c r="E53" s="8">
        <f>'balance_raw_45937712'!$E$30</f>
        <v/>
      </c>
      <c r="F53" s="8">
        <f>'balance_raw_45937712'!$F$30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'balance_raw_45937712'!$B$31</f>
        <v/>
      </c>
      <c r="C54" s="5">
        <f>'balance_raw_45937712'!$C$31</f>
        <v/>
      </c>
      <c r="D54" s="5">
        <f>'balance_raw_45937712'!$D$31</f>
        <v/>
      </c>
      <c r="E54" s="5">
        <f>'balance_raw_45937712'!$E$31</f>
        <v/>
      </c>
      <c r="F54" s="5">
        <f>'balance_raw_45937712'!$F$31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'balance_raw_45937712'!$B$32</f>
        <v/>
      </c>
      <c r="C55" s="8">
        <f>'balance_raw_45937712'!$C$32</f>
        <v/>
      </c>
      <c r="D55" s="8">
        <f>'balance_raw_45937712'!$D$32</f>
        <v/>
      </c>
      <c r="E55" s="8">
        <f>'balance_raw_45937712'!$E$32</f>
        <v/>
      </c>
      <c r="F55" s="8">
        <f>'balance_raw_45937712'!$F$32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'balance_raw_45937712'!$B$33</f>
        <v/>
      </c>
      <c r="C56" s="5">
        <f>'balance_raw_45937712'!$C$33</f>
        <v/>
      </c>
      <c r="D56" s="5">
        <f>'balance_raw_45937712'!$D$33</f>
        <v/>
      </c>
      <c r="E56" s="5">
        <f>'balance_raw_45937712'!$E$33</f>
        <v/>
      </c>
      <c r="F56" s="5">
        <f>'balance_raw_45937712'!$F$33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'balance_raw_45937712'!$B$34</f>
        <v/>
      </c>
      <c r="C57" s="8">
        <f>'balance_raw_45937712'!$C$34</f>
        <v/>
      </c>
      <c r="D57" s="8">
        <f>'balance_raw_45937712'!$D$34</f>
        <v/>
      </c>
      <c r="E57" s="8">
        <f>'balance_raw_45937712'!$E$34</f>
        <v/>
      </c>
      <c r="F57" s="8">
        <f>'balance_raw_45937712'!$F$34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'balance_raw_45937712'!$B$35</f>
        <v/>
      </c>
      <c r="C58" s="11">
        <f>'balance_raw_45937712'!$C$35</f>
        <v/>
      </c>
      <c r="D58" s="11">
        <f>'balance_raw_45937712'!$D$35</f>
        <v/>
      </c>
      <c r="E58" s="11">
        <f>'balance_raw_45937712'!$E$35</f>
        <v/>
      </c>
      <c r="F58" s="11">
        <f>'balance_raw_45937712'!$F$35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'balance_raw_45937712'!$B$36</f>
        <v/>
      </c>
      <c r="C59" s="8">
        <f>'balance_raw_45937712'!$C$36</f>
        <v/>
      </c>
      <c r="D59" s="8">
        <f>'balance_raw_45937712'!$D$36</f>
        <v/>
      </c>
      <c r="E59" s="8">
        <f>'balance_raw_45937712'!$E$36</f>
        <v/>
      </c>
      <c r="F59" s="8">
        <f>'balance_raw_45937712'!$F$36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'balance_raw_45937712'!$B$37</f>
        <v/>
      </c>
      <c r="C60" s="11">
        <f>'balance_raw_45937712'!$C$37</f>
        <v/>
      </c>
      <c r="D60" s="11">
        <f>'balance_raw_45937712'!$D$37</f>
        <v/>
      </c>
      <c r="E60" s="11">
        <f>'balance_raw_45937712'!$E$37</f>
        <v/>
      </c>
      <c r="F60" s="11">
        <f>'balance_raw_45937712'!$F$37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(langfristet)</t>
        </is>
      </c>
      <c r="B61" s="8">
        <f>'balance_raw_45937712'!$B$38</f>
        <v/>
      </c>
      <c r="C61" s="8">
        <f>'balance_raw_45937712'!$C$38</f>
        <v/>
      </c>
      <c r="D61" s="8">
        <f>'balance_raw_45937712'!$D$38</f>
        <v/>
      </c>
      <c r="E61" s="8">
        <f>'balance_raw_45937712'!$E$38</f>
        <v/>
      </c>
      <c r="F61" s="8">
        <f>'balance_raw_45937712'!$F$38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Langfristede lån</t>
        </is>
      </c>
      <c r="B62" s="5">
        <f>'balance_raw_45937712'!$B$39</f>
        <v/>
      </c>
      <c r="C62" s="5">
        <f>'balance_raw_45937712'!$C$39</f>
        <v/>
      </c>
      <c r="D62" s="5">
        <f>'balance_raw_45937712'!$D$39</f>
        <v/>
      </c>
      <c r="E62" s="5">
        <f>'balance_raw_45937712'!$E$39</f>
        <v/>
      </c>
      <c r="F62" s="5">
        <f>'balance_raw_45937712'!$F$39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(langfristet)</t>
        </is>
      </c>
      <c r="B63" s="8">
        <f>'balance_raw_45937712'!$B$40</f>
        <v/>
      </c>
      <c r="C63" s="8">
        <f>'balance_raw_45937712'!$C$40</f>
        <v/>
      </c>
      <c r="D63" s="8">
        <f>'balance_raw_45937712'!$D$40</f>
        <v/>
      </c>
      <c r="E63" s="8">
        <f>'balance_raw_45937712'!$E$40</f>
        <v/>
      </c>
      <c r="F63" s="8">
        <f>'balance_raw_45937712'!$F$40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'balance_raw_45937712'!$B$41</f>
        <v/>
      </c>
      <c r="C64" s="5">
        <f>'balance_raw_45937712'!$C$41</f>
        <v/>
      </c>
      <c r="D64" s="5">
        <f>'balance_raw_45937712'!$D$41</f>
        <v/>
      </c>
      <c r="E64" s="5">
        <f>'balance_raw_45937712'!$E$41</f>
        <v/>
      </c>
      <c r="F64" s="5">
        <f>'balance_raw_45937712'!$F$41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Langfristede gældsforpligtelser</t>
        </is>
      </c>
      <c r="B65" s="11">
        <f>'balance_raw_45937712'!$B$42</f>
        <v/>
      </c>
      <c r="C65" s="11">
        <f>'balance_raw_45937712'!$C$42</f>
        <v/>
      </c>
      <c r="D65" s="11">
        <f>'balance_raw_45937712'!$D$42</f>
        <v/>
      </c>
      <c r="E65" s="11">
        <f>'balance_raw_45937712'!$E$42</f>
        <v/>
      </c>
      <c r="F65" s="11">
        <f>'balance_raw_45937712'!$F$42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'balance_raw_45937712'!$B$43</f>
        <v/>
      </c>
      <c r="C66" s="5">
        <f>'balance_raw_45937712'!$C$43</f>
        <v/>
      </c>
      <c r="D66" s="5">
        <f>'balance_raw_45937712'!$D$43</f>
        <v/>
      </c>
      <c r="E66" s="5">
        <f>'balance_raw_45937712'!$E$43</f>
        <v/>
      </c>
      <c r="F66" s="5">
        <f>'balance_raw_45937712'!$F$43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Kortfristet del af langfristede gældsforpligtelser</t>
        </is>
      </c>
      <c r="B67" s="8">
        <f>'balance_raw_45937712'!$B$44</f>
        <v/>
      </c>
      <c r="C67" s="8">
        <f>'balance_raw_45937712'!$C$44</f>
        <v/>
      </c>
      <c r="D67" s="8">
        <f>'balance_raw_45937712'!$D$44</f>
        <v/>
      </c>
      <c r="E67" s="8">
        <f>'balance_raw_45937712'!$E$44</f>
        <v/>
      </c>
      <c r="F67" s="8">
        <f>'balance_raw_45937712'!$F$44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Kreditinstitutter</t>
        </is>
      </c>
      <c r="B68" s="5">
        <f>'balance_raw_45937712'!$B$45</f>
        <v/>
      </c>
      <c r="C68" s="5">
        <f>'balance_raw_45937712'!$C$45</f>
        <v/>
      </c>
      <c r="D68" s="5">
        <f>'balance_raw_45937712'!$D$45</f>
        <v/>
      </c>
      <c r="E68" s="5">
        <f>'balance_raw_45937712'!$E$45</f>
        <v/>
      </c>
      <c r="F68" s="5">
        <f>'balance_raw_45937712'!$F$45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Leasingforpligtelser (kortfristet)</t>
        </is>
      </c>
      <c r="B69" s="8">
        <f>'balance_raw_45937712'!$B$46</f>
        <v/>
      </c>
      <c r="C69" s="8">
        <f>'balance_raw_45937712'!$C$46</f>
        <v/>
      </c>
      <c r="D69" s="8">
        <f>'balance_raw_45937712'!$D$46</f>
        <v/>
      </c>
      <c r="E69" s="8">
        <f>'balance_raw_45937712'!$E$46</f>
        <v/>
      </c>
      <c r="F69" s="8">
        <f>'balance_raw_45937712'!$F$46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'balance_raw_45937712'!$B$47</f>
        <v/>
      </c>
      <c r="C70" s="5">
        <f>'balance_raw_45937712'!$C$47</f>
        <v/>
      </c>
      <c r="D70" s="5">
        <f>'balance_raw_45937712'!$D$47</f>
        <v/>
      </c>
      <c r="E70" s="5">
        <f>'balance_raw_45937712'!$E$47</f>
        <v/>
      </c>
      <c r="F70" s="5">
        <f>'balance_raw_45937712'!$F$47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</t>
        </is>
      </c>
      <c r="B71" s="8">
        <f>'balance_raw_45937712'!$B$48</f>
        <v/>
      </c>
      <c r="C71" s="8">
        <f>'balance_raw_45937712'!$C$48</f>
        <v/>
      </c>
      <c r="D71" s="8">
        <f>'balance_raw_45937712'!$D$48</f>
        <v/>
      </c>
      <c r="E71" s="8">
        <f>'balance_raw_45937712'!$E$48</f>
        <v/>
      </c>
      <c r="F71" s="8">
        <f>'balance_raw_45937712'!$F$48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'balance_raw_45937712'!$B$49</f>
        <v/>
      </c>
      <c r="C72" s="5">
        <f>'balance_raw_45937712'!$C$49</f>
        <v/>
      </c>
      <c r="D72" s="5">
        <f>'balance_raw_45937712'!$D$49</f>
        <v/>
      </c>
      <c r="E72" s="5">
        <f>'balance_raw_45937712'!$E$49</f>
        <v/>
      </c>
      <c r="F72" s="5">
        <f>'balance_raw_45937712'!$F$49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Selskabsskat</t>
        </is>
      </c>
      <c r="B73" s="8">
        <f>'balance_raw_45937712'!$B$50</f>
        <v/>
      </c>
      <c r="C73" s="8">
        <f>'balance_raw_45937712'!$C$50</f>
        <v/>
      </c>
      <c r="D73" s="8">
        <f>'balance_raw_45937712'!$D$50</f>
        <v/>
      </c>
      <c r="E73" s="8">
        <f>'balance_raw_45937712'!$E$50</f>
        <v/>
      </c>
      <c r="F73" s="8">
        <f>'balance_raw_45937712'!$F$50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'balance_raw_45937712'!$B$51</f>
        <v/>
      </c>
      <c r="C74" s="5">
        <f>'balance_raw_45937712'!$C$51</f>
        <v/>
      </c>
      <c r="D74" s="5">
        <f>'balance_raw_45937712'!$D$51</f>
        <v/>
      </c>
      <c r="E74" s="5">
        <f>'balance_raw_45937712'!$E$51</f>
        <v/>
      </c>
      <c r="F74" s="5">
        <f>'balance_raw_45937712'!$F$51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Anden gæld (kortfristet)</t>
        </is>
      </c>
      <c r="B75" s="8">
        <f>'balance_raw_45937712'!$B$52</f>
        <v/>
      </c>
      <c r="C75" s="8">
        <f>'balance_raw_45937712'!$C$52</f>
        <v/>
      </c>
      <c r="D75" s="8">
        <f>'balance_raw_45937712'!$D$52</f>
        <v/>
      </c>
      <c r="E75" s="8">
        <f>'balance_raw_45937712'!$E$52</f>
        <v/>
      </c>
      <c r="F75" s="8">
        <f>'balance_raw_45937712'!$F$52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'balance_raw_45937712'!$B$53</f>
        <v/>
      </c>
      <c r="C76" s="5">
        <f>'balance_raw_45937712'!$C$53</f>
        <v/>
      </c>
      <c r="D76" s="5">
        <f>'balance_raw_45937712'!$D$53</f>
        <v/>
      </c>
      <c r="E76" s="5">
        <f>'balance_raw_45937712'!$E$53</f>
        <v/>
      </c>
      <c r="F76" s="5">
        <f>'balance_raw_45937712'!$F$53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Kortfristede gældsforpligtelser</t>
        </is>
      </c>
      <c r="B77" s="11">
        <f>'balance_raw_45937712'!$B$54</f>
        <v/>
      </c>
      <c r="C77" s="11">
        <f>'balance_raw_45937712'!$C$54</f>
        <v/>
      </c>
      <c r="D77" s="11">
        <f>'balance_raw_45937712'!$D$54</f>
        <v/>
      </c>
      <c r="E77" s="11">
        <f>'balance_raw_45937712'!$E$54</f>
        <v/>
      </c>
      <c r="F77" s="11">
        <f>'balance_raw_45937712'!$F$54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Gældsforpligtelser</t>
        </is>
      </c>
      <c r="B78" s="11">
        <f>'balance_raw_45937712'!$B$55</f>
        <v/>
      </c>
      <c r="C78" s="11">
        <f>'balance_raw_45937712'!$C$55</f>
        <v/>
      </c>
      <c r="D78" s="11">
        <f>'balance_raw_45937712'!$D$55</f>
        <v/>
      </c>
      <c r="E78" s="11">
        <f>'balance_raw_45937712'!$E$55</f>
        <v/>
      </c>
      <c r="F78" s="11">
        <f>'balance_raw_45937712'!$F$55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Passiver</t>
        </is>
      </c>
      <c r="B79" s="11">
        <f>'balance_raw_45937712'!$B$56</f>
        <v/>
      </c>
      <c r="C79" s="11">
        <f>'balance_raw_45937712'!$C$56</f>
        <v/>
      </c>
      <c r="D79" s="11">
        <f>'balance_raw_45937712'!$D$56</f>
        <v/>
      </c>
      <c r="E79" s="11">
        <f>'balance_raw_45937712'!$E$56</f>
        <v/>
      </c>
      <c r="F79" s="11">
        <f>'balance_raw_45937712'!$F$56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NØGLEOPLYSNINGER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Gns. antal medarbejdere</t>
        </is>
      </c>
      <c r="B82" s="5">
        <f>'res_raw_45937712'!$B$19</f>
        <v/>
      </c>
      <c r="C82" s="5">
        <f>'res_raw_45937712'!$C$19</f>
        <v/>
      </c>
      <c r="D82" s="5">
        <f>'res_raw_45937712'!$D$19</f>
        <v/>
      </c>
      <c r="E82" s="5">
        <f>'res_raw_45937712'!$E$19</f>
        <v/>
      </c>
      <c r="F82" s="5">
        <f>'res_raw_45937712'!$F$19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7" t="inlineStr">
        <is>
          <t>Investering i materielle anlægsaktiver</t>
        </is>
      </c>
      <c r="B83" s="8">
        <f>'res_raw_45937712'!$B$20</f>
        <v/>
      </c>
      <c r="C83" s="8">
        <f>'res_raw_45937712'!$C$20</f>
        <v/>
      </c>
      <c r="D83" s="8">
        <f>'res_raw_45937712'!$D$20</f>
        <v/>
      </c>
      <c r="E83" s="8">
        <f>'res_raw_45937712'!$E$20</f>
        <v/>
      </c>
      <c r="F83" s="8">
        <f>'res_raw_45937712'!$F$20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5" ht="22" customHeight="1">
      <c r="A85" s="3" t="inlineStr">
        <is>
          <t>NØGLETAL</t>
        </is>
      </c>
      <c r="B85" s="3" t="n">
        <v>2021</v>
      </c>
      <c r="C85" s="3" t="n">
        <v>2022</v>
      </c>
      <c r="D85" s="3" t="n">
        <v>2023</v>
      </c>
      <c r="E85" s="3" t="n">
        <v>2024</v>
      </c>
      <c r="F85" s="3" t="n">
        <v>2025</v>
      </c>
    </row>
    <row r="86" ht="16" customHeight="1">
      <c r="A86" s="4" t="inlineStr">
        <is>
          <t>Afkastningsgrad, %</t>
        </is>
      </c>
      <c r="B86" s="13">
        <f>IFERROR(($B$13+$B$15+$B$14)/$B$49*100,"")</f>
        <v/>
      </c>
      <c r="C86" s="13">
        <f>IFERROR(($C$13+$C$15+$C$14)/$C$49*100,"")</f>
        <v/>
      </c>
      <c r="D86" s="13">
        <f>IFERROR(($D$13+$D$15+$D$14)/$D$49*100,"")</f>
        <v/>
      </c>
      <c r="E86" s="13">
        <f>IFERROR(($E$13+$E$15+$E$14)/$E$49*100,"")</f>
        <v/>
      </c>
      <c r="F86" s="13">
        <f>IFERROR(($F$13+$F$15+$F$14)/$F$49*100,"")</f>
        <v/>
      </c>
    </row>
    <row r="87" ht="16" customHeight="1">
      <c r="A87" s="7" t="inlineStr">
        <is>
          <t>Overskudsgrad, %</t>
        </is>
      </c>
      <c r="B87" s="14">
        <f>IFERROR(($B$13+$B$15+$B$14)/$B$4*100,"")</f>
        <v/>
      </c>
      <c r="C87" s="14">
        <f>IFERROR(($C$13+$C$15+$C$14)/$C$4*100,"")</f>
        <v/>
      </c>
      <c r="D87" s="14">
        <f>IFERROR(($D$13+$D$15+$D$14)/$D$4*100,"")</f>
        <v/>
      </c>
      <c r="E87" s="14">
        <f>IFERROR(($E$13+$E$15+$E$14)/$E$4*100,"")</f>
        <v/>
      </c>
      <c r="F87" s="14">
        <f>IFERROR(($F$13+$F$15+$F$14)/$F$4*100,"")</f>
        <v/>
      </c>
    </row>
    <row r="88" ht="16" customHeight="1">
      <c r="A88" s="4" t="inlineStr">
        <is>
          <t>Aktivernes omsætningshastighed, gange</t>
        </is>
      </c>
      <c r="B88" s="13">
        <f>IFERROR($B$4/$B$49,"")</f>
        <v/>
      </c>
      <c r="C88" s="13">
        <f>IFERROR($C$4/$C$49,"")</f>
        <v/>
      </c>
      <c r="D88" s="13">
        <f>IFERROR($D$4/$D$49,"")</f>
        <v/>
      </c>
      <c r="E88" s="13">
        <f>IFERROR($E$4/$E$49,"")</f>
        <v/>
      </c>
      <c r="F88" s="13">
        <f>IFERROR($F$4/$F$49,"")</f>
        <v/>
      </c>
    </row>
    <row r="89" ht="16" customHeight="1">
      <c r="A89" s="7" t="inlineStr">
        <is>
          <t>Egenkapitalens forrentning, %</t>
        </is>
      </c>
      <c r="B89" s="14">
        <f>IFERROR($B$18/$B$58*100,"")</f>
        <v/>
      </c>
      <c r="C89" s="14">
        <f>IFERROR($C$18/$C$58*100,"")</f>
        <v/>
      </c>
      <c r="D89" s="14">
        <f>IFERROR($D$18/$D$58*100,"")</f>
        <v/>
      </c>
      <c r="E89" s="14">
        <f>IFERROR($E$18/$E$58*100,"")</f>
        <v/>
      </c>
      <c r="F89" s="14">
        <f>IFERROR($F$18/$F$58*100,"")</f>
        <v/>
      </c>
    </row>
    <row r="90" ht="16" customHeight="1">
      <c r="A90" s="4" t="inlineStr">
        <is>
          <t>Gældsrente, %</t>
        </is>
      </c>
      <c r="B90" s="13">
        <f>IFERROR($B$16/($B$79-$B$58)*100,"")</f>
        <v/>
      </c>
      <c r="C90" s="13">
        <f>IFERROR($C$16/($C$79-$C$58)*100,"")</f>
        <v/>
      </c>
      <c r="D90" s="13">
        <f>IFERROR($D$16/($D$79-$D$58)*100,"")</f>
        <v/>
      </c>
      <c r="E90" s="13">
        <f>IFERROR($E$16/($E$79-$E$58)*100,"")</f>
        <v/>
      </c>
      <c r="F90" s="13">
        <f>IFERROR($F$16/($F$79-$F$58)*100,"")</f>
        <v/>
      </c>
    </row>
    <row r="91" ht="16" customHeight="1">
      <c r="A91" s="7" t="inlineStr">
        <is>
          <t>Soliditetsgrad, %</t>
        </is>
      </c>
      <c r="B91" s="14">
        <f>IFERROR($B$58/$B$49*100,"")</f>
        <v/>
      </c>
      <c r="C91" s="14">
        <f>IFERROR($C$58/$C$49*100,"")</f>
        <v/>
      </c>
      <c r="D91" s="14">
        <f>IFERROR($D$58/$D$49*100,"")</f>
        <v/>
      </c>
      <c r="E91" s="14">
        <f>IFERROR($E$58/$E$49*100,"")</f>
        <v/>
      </c>
      <c r="F91" s="14">
        <f>IFERROR($F$58/$F$49*100,"")</f>
        <v/>
      </c>
    </row>
    <row r="92" ht="16" customHeight="1">
      <c r="A92" s="4" t="inlineStr">
        <is>
          <t>Gearing</t>
        </is>
      </c>
      <c r="B92" s="13">
        <f>IFERROR(($B$79-$B$58)/$B$58,"")</f>
        <v/>
      </c>
      <c r="C92" s="13">
        <f>IFERROR(($C$79-$C$58)/$C$58,"")</f>
        <v/>
      </c>
      <c r="D92" s="13">
        <f>IFERROR(($D$79-$D$58)/$D$58,"")</f>
        <v/>
      </c>
      <c r="E92" s="13">
        <f>IFERROR(($E$79-$E$58)/$E$58,"")</f>
        <v/>
      </c>
      <c r="F92" s="13">
        <f>IFERROR(($F$79-$F$58)/$F$58,"")</f>
        <v/>
      </c>
    </row>
    <row r="93" ht="16" customHeight="1">
      <c r="A93" s="7" t="inlineStr">
        <is>
          <t>Likviditetsgrad, %</t>
        </is>
      </c>
      <c r="B93" s="14">
        <f>IFERROR($B$48/$B$77*100,"")</f>
        <v/>
      </c>
      <c r="C93" s="14">
        <f>IFERROR($C$48/$C$77*100,"")</f>
        <v/>
      </c>
      <c r="D93" s="14">
        <f>IFERROR($D$48/$D$77*100,"")</f>
        <v/>
      </c>
      <c r="E93" s="14">
        <f>IFERROR($E$48/$E$77*100,"")</f>
        <v/>
      </c>
      <c r="F93" s="14">
        <f>IFERROR($F$48/$F$77*100,"")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7" t="inlineStr">
        <is>
          <t>Gældsandel, %</t>
        </is>
      </c>
      <c r="B95" s="14">
        <f>IFERROR(($B$79-$B$58)/$B$49*100,"")</f>
        <v/>
      </c>
      <c r="C95" s="14">
        <f>IFERROR(($C$79-$C$58)/$C$49*100,"")</f>
        <v/>
      </c>
      <c r="D95" s="14">
        <f>IFERROR(($D$79-$D$58)/$D$49*100,"")</f>
        <v/>
      </c>
      <c r="E95" s="14">
        <f>IFERROR(($E$79-$E$58)/$E$49*100,"")</f>
        <v/>
      </c>
      <c r="F95" s="14">
        <f>IFERROR(($F$79-$F$58)/$F$49*100,"")</f>
        <v/>
      </c>
    </row>
    <row r="96" ht="16" customHeight="1">
      <c r="A96" s="4" t="inlineStr">
        <is>
          <t>Kapitalbindingsgrad, %</t>
        </is>
      </c>
      <c r="B96" s="13">
        <f>IFERROR($B$33/($B$58+$B$65)*100,"")</f>
        <v/>
      </c>
      <c r="C96" s="13">
        <f>IFERROR($C$33/($C$58+$C$65)*100,"")</f>
        <v/>
      </c>
      <c r="D96" s="13">
        <f>IFERROR($D$33/($D$58+$D$65)*100,"")</f>
        <v/>
      </c>
      <c r="E96" s="13">
        <f>IFERROR($E$33/($E$58+$E$65)*100,"")</f>
        <v/>
      </c>
      <c r="F96" s="13">
        <f>IFERROR($F$33/($F$58+$F$65)*100,"")</f>
        <v/>
      </c>
    </row>
    <row r="98">
      <c r="A98" s="15" t="inlineStr">
        <is>
          <t>PENGESTRØMSOPGØRELSE t.kr.</t>
        </is>
      </c>
    </row>
    <row r="99">
      <c r="A99" s="16" t="inlineStr">
        <is>
          <t>Pengestrømme fra driftsaktivitet</t>
        </is>
      </c>
      <c r="B99" s="17">
        <f>'pengestrom_raw_45937712'!$B$2</f>
        <v/>
      </c>
      <c r="C99" s="17">
        <f>'pengestrom_raw_45937712'!$C$2</f>
        <v/>
      </c>
      <c r="D99" s="17">
        <f>'pengestrom_raw_45937712'!$D$2</f>
        <v/>
      </c>
      <c r="E99" s="17">
        <f>'pengestrom_raw_45937712'!$E$2</f>
        <v/>
      </c>
      <c r="F99" s="17">
        <f>'pengestrom_raw_45937712'!$F$2</f>
        <v/>
      </c>
    </row>
    <row r="100">
      <c r="A100" s="16" t="inlineStr">
        <is>
          <t>Pengestrømme fra investeringsaktivitet</t>
        </is>
      </c>
      <c r="B100" s="17">
        <f>'pengestrom_raw_45937712'!$B$3</f>
        <v/>
      </c>
      <c r="C100" s="17">
        <f>'pengestrom_raw_45937712'!$C$3</f>
        <v/>
      </c>
      <c r="D100" s="17">
        <f>'pengestrom_raw_45937712'!$D$3</f>
        <v/>
      </c>
      <c r="E100" s="17">
        <f>'pengestrom_raw_45937712'!$E$3</f>
        <v/>
      </c>
      <c r="F100" s="17">
        <f>'pengestrom_raw_45937712'!$F$3</f>
        <v/>
      </c>
    </row>
    <row r="101">
      <c r="A101" s="16" t="inlineStr">
        <is>
          <t>Pengestrømme fra finansieringsaktivitet</t>
        </is>
      </c>
      <c r="B101" s="17">
        <f>'pengestrom_raw_45937712'!$B$4</f>
        <v/>
      </c>
      <c r="C101" s="17">
        <f>'pengestrom_raw_45937712'!$C$4</f>
        <v/>
      </c>
      <c r="D101" s="17">
        <f>'pengestrom_raw_45937712'!$D$4</f>
        <v/>
      </c>
      <c r="E101" s="17">
        <f>'pengestrom_raw_45937712'!$E$4</f>
        <v/>
      </c>
      <c r="F101" s="17">
        <f>'pengestrom_raw_45937712'!$F$4</f>
        <v/>
      </c>
    </row>
    <row r="102">
      <c r="A102" s="16" t="inlineStr">
        <is>
          <t>Årets pengestrøm (rapporteret)</t>
        </is>
      </c>
      <c r="B102" s="17">
        <f>'pengestrom_raw_45937712'!$B$5</f>
        <v/>
      </c>
      <c r="C102" s="17">
        <f>'pengestrom_raw_45937712'!$C$5</f>
        <v/>
      </c>
      <c r="D102" s="17">
        <f>'pengestrom_raw_45937712'!$D$5</f>
        <v/>
      </c>
      <c r="E102" s="17">
        <f>'pengestrom_raw_45937712'!$E$5</f>
        <v/>
      </c>
      <c r="F102" s="17">
        <f>'pengestrom_raw_45937712'!$F$5</f>
        <v/>
      </c>
    </row>
    <row r="103">
      <c r="A103" s="16" t="inlineStr">
        <is>
          <t>Krydstjek: drift + inv. + fin. = årets pengestrøm</t>
        </is>
      </c>
      <c r="B103">
        <f>IF(ABS(('pengestrom_raw_45937712'!$B$2+'pengestrom_raw_45937712'!$B$3+'pengestrom_raw_45937712'!$B$4)-'pengestrom_raw_45937712'!$B$5)&lt;=2,"✓","⚠ "&amp;TEXT(('pengestrom_raw_45937712'!$B$2+'pengestrom_raw_45937712'!$B$3+'pengestrom_raw_45937712'!$B$4)-'pengestrom_raw_45937712'!$B$5,"+#,##0;-#,##0"))</f>
        <v/>
      </c>
      <c r="C103">
        <f>IF(ABS(('pengestrom_raw_45937712'!$C$2+'pengestrom_raw_45937712'!$C$3+'pengestrom_raw_45937712'!$C$4)-'pengestrom_raw_45937712'!$C$5)&lt;=2,"✓","⚠ "&amp;TEXT(('pengestrom_raw_45937712'!$C$2+'pengestrom_raw_45937712'!$C$3+'pengestrom_raw_45937712'!$C$4)-'pengestrom_raw_45937712'!$C$5,"+#,##0;-#,##0"))</f>
        <v/>
      </c>
      <c r="D103">
        <f>IF(ABS(('pengestrom_raw_45937712'!$D$2+'pengestrom_raw_45937712'!$D$3+'pengestrom_raw_45937712'!$D$4)-'pengestrom_raw_45937712'!$D$5)&lt;=2,"✓","⚠ "&amp;TEXT(('pengestrom_raw_45937712'!$D$2+'pengestrom_raw_45937712'!$D$3+'pengestrom_raw_45937712'!$D$4)-'pengestrom_raw_45937712'!$D$5,"+#,##0;-#,##0"))</f>
        <v/>
      </c>
      <c r="E103">
        <f>IF(ABS(('pengestrom_raw_45937712'!$E$2+'pengestrom_raw_45937712'!$E$3+'pengestrom_raw_45937712'!$E$4)-'pengestrom_raw_45937712'!$E$5)&lt;=2,"✓","⚠ "&amp;TEXT(('pengestrom_raw_45937712'!$E$2+'pengestrom_raw_45937712'!$E$3+'pengestrom_raw_45937712'!$E$4)-'pengestrom_raw_45937712'!$E$5,"+#,##0;-#,##0"))</f>
        <v/>
      </c>
      <c r="F103">
        <f>IF(ABS(('pengestrom_raw_45937712'!$F$2+'pengestrom_raw_45937712'!$F$3+'pengestrom_raw_45937712'!$F$4)-'pengestrom_raw_45937712'!$F$5)&lt;=2,"✓","⚠ "&amp;TEXT(('pengestrom_raw_45937712'!$F$2+'pengestrom_raw_45937712'!$F$3+'pengestrom_raw_45937712'!$F$4)-'pengestrom_raw_45937712'!$F$5,"+#,##0;-#,##0"))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A/S Læsø Fiskeindustri (CVR 45937712)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309763</v>
      </c>
      <c r="C2" s="17" t="n">
        <v>349842</v>
      </c>
      <c r="D2" s="17" t="n">
        <v>326379</v>
      </c>
      <c r="E2" s="17" t="n">
        <v>331820</v>
      </c>
      <c r="F2" s="17" t="n">
        <v>279834</v>
      </c>
    </row>
    <row r="3">
      <c r="A3" s="16" t="inlineStr">
        <is>
          <t>Andre driftsindtægter</t>
        </is>
      </c>
      <c r="B3" s="17" t="n">
        <v>2826</v>
      </c>
      <c r="C3" s="17" t="n">
        <v>1780</v>
      </c>
      <c r="D3" s="17" t="n">
        <v>2189</v>
      </c>
      <c r="E3" s="17" t="n">
        <v>2321</v>
      </c>
      <c r="F3" s="17" t="n">
        <v>2350</v>
      </c>
    </row>
    <row r="4">
      <c r="A4" s="16" t="inlineStr">
        <is>
          <t>Vareforbrug</t>
        </is>
      </c>
      <c r="B4" s="17" t="n">
        <v>214876</v>
      </c>
      <c r="C4" s="17" t="n">
        <v>231995</v>
      </c>
      <c r="D4" s="17" t="n">
        <v>214745</v>
      </c>
      <c r="E4" s="17" t="n">
        <v>221589</v>
      </c>
      <c r="F4" s="17" t="n">
        <v>201480</v>
      </c>
    </row>
    <row r="5">
      <c r="A5" s="16" t="inlineStr">
        <is>
          <t>Andre eksterne omkostninger</t>
        </is>
      </c>
      <c r="B5" s="17" t="n">
        <v>42804</v>
      </c>
      <c r="C5" s="17" t="n">
        <v>53682</v>
      </c>
      <c r="D5" s="17" t="n">
        <v>53891</v>
      </c>
      <c r="E5" s="17" t="n">
        <v>56442</v>
      </c>
      <c r="F5" s="17" t="n">
        <v>38091</v>
      </c>
    </row>
    <row r="6">
      <c r="A6" s="15" t="inlineStr">
        <is>
          <t>Bruttoresultat</t>
        </is>
      </c>
      <c r="B6" s="17" t="n">
        <v>54908</v>
      </c>
      <c r="C6" s="17" t="n">
        <v>65945</v>
      </c>
      <c r="D6" s="17" t="n">
        <v>59932</v>
      </c>
      <c r="E6" s="17" t="n">
        <v>56111</v>
      </c>
      <c r="F6" s="17" t="n">
        <v>42613</v>
      </c>
    </row>
    <row r="7">
      <c r="A7" s="16" t="inlineStr">
        <is>
          <t>Personaleomkostninger</t>
        </is>
      </c>
      <c r="B7" s="17" t="n">
        <v>45961</v>
      </c>
      <c r="C7" s="17" t="n">
        <v>53171</v>
      </c>
      <c r="D7" s="17" t="n">
        <v>59001</v>
      </c>
      <c r="E7" s="17" t="n">
        <v>59720</v>
      </c>
      <c r="F7" s="17" t="n">
        <v>41187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5805</v>
      </c>
      <c r="C9" s="17" t="n">
        <v>5031</v>
      </c>
      <c r="D9" s="17" t="n">
        <v>4006</v>
      </c>
      <c r="E9" s="17" t="n">
        <v>3817</v>
      </c>
      <c r="F9" s="17" t="n">
        <v>3143</v>
      </c>
    </row>
    <row r="10">
      <c r="A10" s="16" t="inlineStr">
        <is>
          <t>Andre driftsomkostninger</t>
        </is>
      </c>
      <c r="B10" s="17" t="n">
        <v>0</v>
      </c>
      <c r="C10" s="17" t="n">
        <v>0</v>
      </c>
      <c r="D10" s="17" t="n">
        <v>194</v>
      </c>
      <c r="E10" s="17" t="n">
        <v>0</v>
      </c>
      <c r="F10" s="17" t="n">
        <v>2400</v>
      </c>
    </row>
    <row r="11">
      <c r="A11" s="15" t="inlineStr">
        <is>
          <t>Resultat af primær drift</t>
        </is>
      </c>
      <c r="B11" s="17" t="n">
        <v>3143</v>
      </c>
      <c r="C11" s="17" t="n">
        <v>7743</v>
      </c>
      <c r="D11" s="17" t="n">
        <v>-3269</v>
      </c>
      <c r="E11" s="17" t="n">
        <v>-7426</v>
      </c>
      <c r="F11" s="17" t="n">
        <v>-4118</v>
      </c>
    </row>
    <row r="12">
      <c r="A12" s="16" t="inlineStr">
        <is>
          <t>Indtægter af kapitalandele, dattervirksomheder</t>
        </is>
      </c>
      <c r="B12" s="17" t="n">
        <v>1956</v>
      </c>
      <c r="C12" s="17" t="n">
        <v>3934</v>
      </c>
      <c r="D12" s="17" t="n">
        <v>2419</v>
      </c>
      <c r="E12" s="17" t="n">
        <v>0</v>
      </c>
      <c r="F12" s="17" t="n">
        <v>-12784</v>
      </c>
    </row>
    <row r="13">
      <c r="A13" s="16" t="inlineStr">
        <is>
          <t>Finansielle indtægter</t>
        </is>
      </c>
      <c r="B13" s="17" t="n">
        <v>2120</v>
      </c>
      <c r="C13" s="17" t="n">
        <v>222</v>
      </c>
      <c r="D13" s="17" t="n">
        <v>739</v>
      </c>
      <c r="E13" s="17" t="n">
        <v>205</v>
      </c>
      <c r="F13" s="17" t="n">
        <v>147</v>
      </c>
    </row>
    <row r="14">
      <c r="A14" s="16" t="inlineStr">
        <is>
          <t>Finansielle omkostninger</t>
        </is>
      </c>
      <c r="B14" s="17" t="n">
        <v>3373</v>
      </c>
      <c r="C14" s="17" t="n">
        <v>3480</v>
      </c>
      <c r="D14" s="17" t="n">
        <v>4935</v>
      </c>
      <c r="E14" s="17" t="n">
        <v>8848</v>
      </c>
      <c r="F14" s="17" t="n">
        <v>3376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3874</v>
      </c>
      <c r="C16" s="17" t="n">
        <v>8434</v>
      </c>
      <c r="D16" s="17" t="n">
        <v>-4889</v>
      </c>
      <c r="E16" s="17" t="n">
        <v>-13852</v>
      </c>
      <c r="F16" s="17" t="n">
        <v>-16848</v>
      </c>
    </row>
    <row r="17">
      <c r="A17" s="16" t="inlineStr">
        <is>
          <t>Skat af årets resultat</t>
        </is>
      </c>
      <c r="B17" s="17" t="n">
        <v>337</v>
      </c>
      <c r="C17" s="17" t="n">
        <v>986</v>
      </c>
      <c r="D17" s="17" t="n">
        <v>794</v>
      </c>
      <c r="E17" s="17" t="n">
        <v>-7366</v>
      </c>
      <c r="F17" s="17" t="n">
        <v>-1592</v>
      </c>
    </row>
    <row r="18">
      <c r="A18" s="15" t="inlineStr">
        <is>
          <t>Årets resultat</t>
        </is>
      </c>
      <c r="B18" s="17" t="n">
        <v>3537</v>
      </c>
      <c r="C18" s="17" t="n">
        <v>7448</v>
      </c>
      <c r="D18" s="17" t="n">
        <v>-5683</v>
      </c>
      <c r="E18" s="17" t="n">
        <v>-6486</v>
      </c>
      <c r="F18" s="17" t="n">
        <v>-15256</v>
      </c>
    </row>
    <row r="19">
      <c r="A19" s="16" t="inlineStr">
        <is>
          <t>Gns. antal medarbejdere</t>
        </is>
      </c>
      <c r="B19" s="17" t="n">
        <v>114</v>
      </c>
      <c r="C19" s="17" t="n">
        <v>136</v>
      </c>
      <c r="D19" s="17" t="n">
        <v>139</v>
      </c>
      <c r="E19" s="17" t="n">
        <v>132</v>
      </c>
      <c r="F19" s="17" t="n">
        <v>79</v>
      </c>
    </row>
    <row r="20">
      <c r="A20" s="16" t="inlineStr">
        <is>
          <t>Investering i materielle anlægsaktiver</t>
        </is>
      </c>
      <c r="B20" s="17" t="n">
        <v>-2553</v>
      </c>
      <c r="C20" s="17" t="n">
        <v>-4888</v>
      </c>
      <c r="D20" s="17" t="n">
        <v>-6403</v>
      </c>
      <c r="E20" s="17" t="n">
        <v>-3957</v>
      </c>
      <c r="F20" s="17" t="n">
        <v>-1186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A/S Læsø Fiskeindustri (CVR 45937712)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/>
      <c r="C2" s="17" t="n"/>
      <c r="D2" s="17" t="n"/>
      <c r="E2" s="17" t="n">
        <v>6360</v>
      </c>
      <c r="F2" s="17" t="n">
        <v>5842</v>
      </c>
    </row>
    <row r="3">
      <c r="A3" s="16" t="inlineStr">
        <is>
          <t>Grunde og bygninger</t>
        </is>
      </c>
      <c r="B3" s="17" t="n">
        <v>14970</v>
      </c>
      <c r="C3" s="17" t="n">
        <v>14438</v>
      </c>
      <c r="D3" s="17" t="n">
        <v>14707</v>
      </c>
      <c r="E3" s="17" t="n">
        <v>14385</v>
      </c>
      <c r="F3" s="17" t="n">
        <v>10156</v>
      </c>
    </row>
    <row r="4">
      <c r="A4" s="16" t="inlineStr">
        <is>
          <t>Produktionsanlæg og maskiner</t>
        </is>
      </c>
      <c r="B4" s="17" t="n">
        <v>10489</v>
      </c>
      <c r="C4" s="17" t="n">
        <v>9204</v>
      </c>
      <c r="D4" s="17" t="n">
        <v>8104</v>
      </c>
      <c r="E4" s="17" t="n">
        <v>8759</v>
      </c>
      <c r="F4" s="17" t="n">
        <v>5019</v>
      </c>
    </row>
    <row r="5">
      <c r="A5" s="16" t="inlineStr">
        <is>
          <t>Driftsmateriel og inventar</t>
        </is>
      </c>
      <c r="B5" s="17" t="n">
        <v>342</v>
      </c>
      <c r="C5" s="17" t="n">
        <v>1236</v>
      </c>
      <c r="D5" s="17" t="n">
        <v>1167</v>
      </c>
      <c r="E5" s="17" t="n">
        <v>1523</v>
      </c>
      <c r="F5" s="17" t="n">
        <v>1061</v>
      </c>
    </row>
    <row r="6">
      <c r="A6" s="16" t="inlineStr">
        <is>
          <t>Indretning af lejede lokaler</t>
        </is>
      </c>
      <c r="B6" s="17" t="n"/>
      <c r="C6" s="17" t="n"/>
      <c r="D6" s="17" t="n"/>
      <c r="E6" s="17" t="n"/>
      <c r="F6" s="17" t="n"/>
    </row>
    <row r="7">
      <c r="A7" s="16" t="inlineStr">
        <is>
          <t>Forudbetaling og anlægsaktiver under opførelse</t>
        </is>
      </c>
      <c r="B7" s="17" t="n">
        <v>1027</v>
      </c>
      <c r="C7" s="17" t="n">
        <v>519</v>
      </c>
      <c r="D7" s="17" t="n">
        <v>5256</v>
      </c>
      <c r="E7" s="17" t="n"/>
      <c r="F7" s="17" t="n"/>
    </row>
    <row r="8">
      <c r="A8" s="15" t="inlineStr">
        <is>
          <t>Materielle anlægsaktiver</t>
        </is>
      </c>
      <c r="B8" s="17" t="n">
        <v>26829</v>
      </c>
      <c r="C8" s="17" t="n">
        <v>25396</v>
      </c>
      <c r="D8" s="17" t="n">
        <v>29234</v>
      </c>
      <c r="E8" s="17" t="n">
        <v>24667</v>
      </c>
      <c r="F8" s="17" t="n">
        <v>16237</v>
      </c>
    </row>
    <row r="9">
      <c r="A9" s="16" t="inlineStr">
        <is>
          <t>Kapitalandele, dattervirksomheder</t>
        </is>
      </c>
      <c r="B9" s="17" t="n">
        <v>3582</v>
      </c>
      <c r="C9" s="17" t="n">
        <v>0</v>
      </c>
      <c r="D9" s="17" t="n">
        <v>0</v>
      </c>
      <c r="E9" s="17" t="n">
        <v>6981</v>
      </c>
      <c r="F9" s="17" t="n">
        <v>0</v>
      </c>
    </row>
    <row r="10">
      <c r="A10" s="16" t="inlineStr">
        <is>
          <t>Deposita</t>
        </is>
      </c>
      <c r="B10" s="17" t="n">
        <v>2850</v>
      </c>
      <c r="C10" s="17" t="n">
        <v>2216</v>
      </c>
      <c r="D10" s="17" t="n">
        <v>2128</v>
      </c>
      <c r="E10" s="17" t="n">
        <v>2235</v>
      </c>
      <c r="F10" s="17" t="n">
        <v>1532</v>
      </c>
    </row>
    <row r="11">
      <c r="A11" s="15" t="inlineStr">
        <is>
          <t>Finansielle anlægsaktiver</t>
        </is>
      </c>
      <c r="B11" s="17" t="n">
        <v>6533</v>
      </c>
      <c r="C11" s="17" t="n">
        <v>9794</v>
      </c>
      <c r="D11" s="17" t="n">
        <v>12124</v>
      </c>
      <c r="E11" s="17" t="n">
        <v>9277</v>
      </c>
      <c r="F11" s="17" t="n">
        <v>13857</v>
      </c>
    </row>
    <row r="12">
      <c r="A12" s="15" t="inlineStr">
        <is>
          <t>Anlægsaktiver</t>
        </is>
      </c>
      <c r="B12" s="17" t="n">
        <v>33362</v>
      </c>
      <c r="C12" s="17" t="n">
        <v>35190</v>
      </c>
      <c r="D12" s="17" t="n">
        <v>41358</v>
      </c>
      <c r="E12" s="17" t="n">
        <v>40304</v>
      </c>
      <c r="F12" s="17" t="n">
        <v>35936</v>
      </c>
    </row>
    <row r="13">
      <c r="A13" s="16" t="inlineStr">
        <is>
          <t>Råvarer og hjælpematerialer</t>
        </is>
      </c>
      <c r="B13" s="17" t="n">
        <v>27194</v>
      </c>
      <c r="C13" s="17" t="n">
        <v>22760</v>
      </c>
      <c r="D13" s="17" t="n">
        <v>24346</v>
      </c>
      <c r="E13" s="17" t="n">
        <v>63701</v>
      </c>
      <c r="F13" s="17" t="n">
        <v>32665</v>
      </c>
    </row>
    <row r="14">
      <c r="A14" s="16" t="inlineStr">
        <is>
          <t>Varer under fremstilling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Færdigvarer og handelsvarer</t>
        </is>
      </c>
      <c r="B15" s="17" t="n">
        <v>14957</v>
      </c>
      <c r="C15" s="17" t="n">
        <v>13427</v>
      </c>
      <c r="D15" s="17" t="n">
        <v>37535</v>
      </c>
      <c r="E15" s="17" t="n">
        <v>49567</v>
      </c>
      <c r="F15" s="17" t="n">
        <v>20728</v>
      </c>
    </row>
    <row r="16">
      <c r="A16" s="15" t="inlineStr">
        <is>
          <t>Varebeholdninger</t>
        </is>
      </c>
      <c r="B16" s="17" t="n">
        <v>42151</v>
      </c>
      <c r="C16" s="17" t="n">
        <v>36186</v>
      </c>
      <c r="D16" s="17" t="n">
        <v>61882</v>
      </c>
      <c r="E16" s="17" t="n">
        <v>113268</v>
      </c>
      <c r="F16" s="17" t="n">
        <v>53393</v>
      </c>
    </row>
    <row r="17">
      <c r="A17" s="16" t="inlineStr">
        <is>
          <t>Tilgodehavender fra salg og tjenesteydelser</t>
        </is>
      </c>
      <c r="B17" s="17" t="n">
        <v>64461</v>
      </c>
      <c r="C17" s="17" t="n">
        <v>49784</v>
      </c>
      <c r="D17" s="17" t="n">
        <v>50294</v>
      </c>
      <c r="E17" s="17" t="n">
        <v>49216</v>
      </c>
      <c r="F17" s="17" t="n">
        <v>40997</v>
      </c>
    </row>
    <row r="18">
      <c r="A18" s="16" t="inlineStr">
        <is>
          <t>Tilgodehavender hos tilknyttede virksomheder</t>
        </is>
      </c>
      <c r="B18" s="17" t="n">
        <v>0</v>
      </c>
      <c r="C18" s="17" t="n">
        <v>0</v>
      </c>
      <c r="D18" s="17" t="n">
        <v>0</v>
      </c>
      <c r="E18" s="17" t="n"/>
      <c r="F18" s="17" t="n"/>
    </row>
    <row r="19">
      <c r="A19" s="16" t="inlineStr">
        <is>
          <t>Andre tilgodehavender</t>
        </is>
      </c>
      <c r="B19" s="17" t="n">
        <v>3636</v>
      </c>
      <c r="C19" s="17" t="n">
        <v>3166</v>
      </c>
      <c r="D19" s="17" t="n">
        <v>5028</v>
      </c>
      <c r="E19" s="17" t="n">
        <v>4280</v>
      </c>
      <c r="F19" s="17" t="n">
        <v>16326</v>
      </c>
    </row>
    <row r="20">
      <c r="A20" s="16" t="inlineStr">
        <is>
          <t>Periodeafgrænsningsposter (aktiver)</t>
        </is>
      </c>
      <c r="B20" s="17" t="n">
        <v>396</v>
      </c>
      <c r="C20" s="17" t="n">
        <v>297</v>
      </c>
      <c r="D20" s="17" t="n">
        <v>318</v>
      </c>
      <c r="E20" s="17" t="n">
        <v>262</v>
      </c>
      <c r="F20" s="17" t="n">
        <v>235</v>
      </c>
    </row>
    <row r="21">
      <c r="A21" s="16" t="inlineStr">
        <is>
          <t>Udskudt skatteaktiv</t>
        </is>
      </c>
      <c r="B21" s="17" t="n"/>
      <c r="C21" s="17" t="n"/>
      <c r="D21" s="17" t="n"/>
      <c r="E21" s="17" t="n"/>
      <c r="F21" s="17" t="n">
        <v>1306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>
        <v>815</v>
      </c>
      <c r="C23" s="17" t="n">
        <v>546</v>
      </c>
      <c r="D23" s="17" t="n">
        <v>700</v>
      </c>
      <c r="E23" s="17" t="n">
        <v>0</v>
      </c>
      <c r="F23" s="17" t="n"/>
    </row>
    <row r="24">
      <c r="A24" s="15" t="inlineStr">
        <is>
          <t>Tilgodehavender</t>
        </is>
      </c>
      <c r="B24" s="17" t="n">
        <v>69308</v>
      </c>
      <c r="C24" s="17" t="n">
        <v>53793</v>
      </c>
      <c r="D24" s="17" t="n">
        <v>56340</v>
      </c>
      <c r="E24" s="17" t="n">
        <v>53758</v>
      </c>
      <c r="F24" s="17" t="n">
        <v>76477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2571</v>
      </c>
      <c r="C26" s="17" t="n">
        <v>5534</v>
      </c>
      <c r="D26" s="17" t="n">
        <v>1500</v>
      </c>
      <c r="E26" s="17" t="n">
        <v>1345</v>
      </c>
      <c r="F26" s="17" t="n">
        <v>12</v>
      </c>
    </row>
    <row r="27">
      <c r="A27" s="15" t="inlineStr">
        <is>
          <t>Omsætningsaktiver</t>
        </is>
      </c>
      <c r="B27" s="17" t="n">
        <v>114030</v>
      </c>
      <c r="C27" s="17" t="n">
        <v>95512</v>
      </c>
      <c r="D27" s="17" t="n">
        <v>119721</v>
      </c>
      <c r="E27" s="17" t="n">
        <v>168371</v>
      </c>
      <c r="F27" s="17" t="n">
        <v>129882</v>
      </c>
    </row>
    <row r="28">
      <c r="A28" s="15" t="inlineStr">
        <is>
          <t>Aktiver</t>
        </is>
      </c>
      <c r="B28" s="17" t="n">
        <v>147393</v>
      </c>
      <c r="C28" s="17" t="n">
        <v>130703</v>
      </c>
      <c r="D28" s="17" t="n">
        <v>161080</v>
      </c>
      <c r="E28" s="17" t="n">
        <v>208675</v>
      </c>
      <c r="F28" s="17" t="n">
        <v>165818</v>
      </c>
    </row>
    <row r="29">
      <c r="A29" s="16" t="inlineStr">
        <is>
          <t>Selskabskapital</t>
        </is>
      </c>
      <c r="B29" s="17" t="n">
        <v>15600</v>
      </c>
      <c r="C29" s="17" t="n">
        <v>15600</v>
      </c>
      <c r="D29" s="17" t="n">
        <v>15600</v>
      </c>
      <c r="E29" s="17" t="n">
        <v>15600</v>
      </c>
      <c r="F29" s="17" t="n">
        <v>15600</v>
      </c>
    </row>
    <row r="30">
      <c r="A30" s="16" t="inlineStr">
        <is>
          <t>Reserve for nettoopskrivning (indre værdis metode)</t>
        </is>
      </c>
      <c r="B30" s="17" t="n">
        <v>3082</v>
      </c>
      <c r="C30" s="17" t="n">
        <v>7016</v>
      </c>
      <c r="D30" s="17" t="n">
        <v>9435</v>
      </c>
      <c r="E30" s="17" t="n">
        <v>6481</v>
      </c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>
        <v>0</v>
      </c>
      <c r="E32" s="17" t="n"/>
      <c r="F32" s="17" t="n"/>
    </row>
    <row r="33">
      <c r="A33" s="16" t="inlineStr">
        <is>
          <t>Andre reserver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Overført resultat</t>
        </is>
      </c>
      <c r="B34" s="17" t="n">
        <v>26464</v>
      </c>
      <c r="C34" s="17" t="n">
        <v>28073</v>
      </c>
      <c r="D34" s="17" t="n">
        <v>20653</v>
      </c>
      <c r="E34" s="17" t="n">
        <v>16336</v>
      </c>
      <c r="F34" s="17" t="n">
        <v>8091</v>
      </c>
    </row>
    <row r="35">
      <c r="A35" s="15" t="inlineStr">
        <is>
          <t>Egenkapital i alt</t>
        </is>
      </c>
      <c r="B35" s="17" t="n">
        <v>46507</v>
      </c>
      <c r="C35" s="17" t="n">
        <v>53366</v>
      </c>
      <c r="D35" s="17" t="n">
        <v>45688</v>
      </c>
      <c r="E35" s="17" t="n">
        <v>38417</v>
      </c>
      <c r="F35" s="17" t="n">
        <v>23691</v>
      </c>
    </row>
    <row r="36">
      <c r="A36" s="16" t="inlineStr">
        <is>
          <t>Hensættelse til udskudt skat</t>
        </is>
      </c>
      <c r="B36" s="17" t="n">
        <v>5813</v>
      </c>
      <c r="C36" s="17" t="n">
        <v>6858</v>
      </c>
      <c r="D36" s="17" t="n">
        <v>7653</v>
      </c>
      <c r="E36" s="17" t="n">
        <v>287</v>
      </c>
      <c r="F36" s="17" t="n">
        <v>0</v>
      </c>
    </row>
    <row r="37">
      <c r="A37" s="15" t="inlineStr">
        <is>
          <t>Hensatte forpligtelser</t>
        </is>
      </c>
      <c r="B37" s="17" t="n">
        <v>5813</v>
      </c>
      <c r="C37" s="17" t="n">
        <v>6858</v>
      </c>
      <c r="D37" s="17" t="n">
        <v>7653</v>
      </c>
      <c r="E37" s="17" t="n">
        <v>287</v>
      </c>
      <c r="F37" s="17" t="n">
        <v>0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>
        <v>2344</v>
      </c>
      <c r="C39" s="17" t="n">
        <v>1462</v>
      </c>
      <c r="D39" s="17" t="n">
        <v>0</v>
      </c>
      <c r="E39" s="17" t="n">
        <v>20936</v>
      </c>
      <c r="F39" s="17" t="n">
        <v>17645</v>
      </c>
    </row>
    <row r="40">
      <c r="A40" s="16" t="inlineStr">
        <is>
          <t>Leasingforpligtelser (langfristet)</t>
        </is>
      </c>
      <c r="B40" s="17" t="n">
        <v>254</v>
      </c>
      <c r="C40" s="17" t="n">
        <v>0</v>
      </c>
      <c r="D40" s="17" t="n"/>
      <c r="E40" s="17" t="n"/>
      <c r="F40" s="17" t="n"/>
    </row>
    <row r="41">
      <c r="A41" s="16" t="inlineStr">
        <is>
          <t>Anden gæld (langfristet)</t>
        </is>
      </c>
      <c r="B41" s="17" t="n">
        <v>93</v>
      </c>
      <c r="C41" s="17" t="n">
        <v>5</v>
      </c>
      <c r="D41" s="17" t="n"/>
      <c r="E41" s="17" t="n"/>
      <c r="F41" s="17" t="n"/>
    </row>
    <row r="42">
      <c r="A42" s="15" t="inlineStr">
        <is>
          <t>Langfristede gældsforpligtelser</t>
        </is>
      </c>
      <c r="B42" s="17" t="n">
        <v>20579</v>
      </c>
      <c r="C42" s="17" t="n">
        <v>12724</v>
      </c>
      <c r="D42" s="17" t="n">
        <v>29314</v>
      </c>
      <c r="E42" s="17" t="n">
        <v>24186</v>
      </c>
      <c r="F42" s="17" t="n">
        <v>19007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>
        <v>40378</v>
      </c>
      <c r="C45" s="17" t="n">
        <v>33994</v>
      </c>
      <c r="D45" s="17" t="n">
        <v>60280</v>
      </c>
      <c r="E45" s="17" t="n">
        <v>107249</v>
      </c>
      <c r="F45" s="17" t="n">
        <v>95477</v>
      </c>
    </row>
    <row r="46">
      <c r="A46" s="16" t="inlineStr">
        <is>
          <t>Leasingforpligtelser (kortfristet)</t>
        </is>
      </c>
      <c r="B46" s="17" t="n">
        <v>70</v>
      </c>
      <c r="C46" s="17" t="n">
        <v>254</v>
      </c>
      <c r="D46" s="17" t="n">
        <v>0</v>
      </c>
      <c r="E46" s="17" t="n"/>
      <c r="F46" s="17" t="n"/>
    </row>
    <row r="47">
      <c r="A47" s="16" t="inlineStr">
        <is>
          <t>Leverandører af varer og tjenesteydelser</t>
        </is>
      </c>
      <c r="B47" s="17" t="n">
        <v>15235</v>
      </c>
      <c r="C47" s="17" t="n">
        <v>9769</v>
      </c>
      <c r="D47" s="17" t="n">
        <v>4395</v>
      </c>
      <c r="E47" s="17" t="n">
        <v>19607</v>
      </c>
      <c r="F47" s="17" t="n">
        <v>9872</v>
      </c>
    </row>
    <row r="48">
      <c r="A48" s="16" t="inlineStr">
        <is>
          <t>Gæld til tilknyttede virksomheder</t>
        </is>
      </c>
      <c r="B48" s="17" t="n">
        <v>0</v>
      </c>
      <c r="C48" s="17" t="n">
        <v>0</v>
      </c>
      <c r="D48" s="17" t="n">
        <v>0</v>
      </c>
      <c r="E48" s="17" t="n">
        <v>0</v>
      </c>
      <c r="F48" s="17" t="n">
        <v>0</v>
      </c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15627</v>
      </c>
      <c r="C52" s="17" t="n"/>
      <c r="D52" s="17" t="n"/>
      <c r="E52" s="17" t="n"/>
      <c r="F52" s="17" t="n"/>
    </row>
    <row r="53">
      <c r="A53" s="16" t="inlineStr">
        <is>
          <t>Periodeafgrænsningsposter (passiver)</t>
        </is>
      </c>
      <c r="B53" s="17" t="n"/>
      <c r="C53" s="17" t="n"/>
      <c r="D53" s="17" t="n">
        <v>115</v>
      </c>
      <c r="E53" s="17" t="n">
        <v>136</v>
      </c>
      <c r="F53" s="17" t="n"/>
    </row>
    <row r="54">
      <c r="A54" s="15" t="inlineStr">
        <is>
          <t>Kortfristede gældsforpligtelser</t>
        </is>
      </c>
      <c r="B54" s="17" t="n">
        <v>74493</v>
      </c>
      <c r="C54" s="17" t="n">
        <v>57754</v>
      </c>
      <c r="D54" s="17" t="n">
        <v>78425</v>
      </c>
      <c r="E54" s="17" t="n">
        <v>145785</v>
      </c>
      <c r="F54" s="17" t="n">
        <v>123119</v>
      </c>
    </row>
    <row r="55">
      <c r="A55" s="15" t="inlineStr">
        <is>
          <t>Gældsforpligtelser</t>
        </is>
      </c>
      <c r="B55" s="17" t="n">
        <v>95073</v>
      </c>
      <c r="C55" s="17" t="n">
        <v>70478</v>
      </c>
      <c r="D55" s="17" t="n">
        <v>107739</v>
      </c>
      <c r="E55" s="17" t="n">
        <v>169971</v>
      </c>
      <c r="F55" s="17" t="n">
        <v>142127</v>
      </c>
    </row>
    <row r="56">
      <c r="A56" s="15" t="inlineStr">
        <is>
          <t>Passiver</t>
        </is>
      </c>
      <c r="B56" s="17" t="n">
        <v>147393</v>
      </c>
      <c r="C56" s="17" t="n">
        <v>130703</v>
      </c>
      <c r="D56" s="17" t="n">
        <v>161080</v>
      </c>
      <c r="E56" s="17" t="n">
        <v>208675</v>
      </c>
      <c r="F56" s="17" t="n">
        <v>165818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A/S Læsø Fiskeindustri (CVR 45937712)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10886</v>
      </c>
      <c r="C2" s="17" t="n">
        <v>24491</v>
      </c>
      <c r="D2" s="17" t="n">
        <v>-36104</v>
      </c>
      <c r="E2" s="17" t="n">
        <v>-40770</v>
      </c>
      <c r="F2" s="17" t="n">
        <v>-2548</v>
      </c>
    </row>
    <row r="3">
      <c r="A3" s="16" t="inlineStr">
        <is>
          <t>Pengestrømme fra investeringsaktivitet</t>
        </is>
      </c>
      <c r="B3" s="17" t="n">
        <v>-864</v>
      </c>
      <c r="C3" s="17" t="n">
        <v>-4133</v>
      </c>
      <c r="D3" s="17" t="n">
        <v>-6255</v>
      </c>
      <c r="E3" s="17" t="n">
        <v>-210</v>
      </c>
      <c r="F3" s="17" t="n">
        <v>5409</v>
      </c>
    </row>
    <row r="4">
      <c r="A4" s="16" t="inlineStr">
        <is>
          <t>Pengestrømme fra finansieringsaktivitet</t>
        </is>
      </c>
      <c r="B4" s="17" t="n">
        <v>-2963</v>
      </c>
      <c r="C4" s="17" t="n">
        <v>-17396</v>
      </c>
      <c r="D4" s="17" t="n">
        <v>38325</v>
      </c>
      <c r="E4" s="17" t="n">
        <v>40826</v>
      </c>
      <c r="F4" s="17" t="n">
        <v>-2863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A/S Læsø Fiskeindustri (CVR 45937712) — Regnskabs- og nøgletal (CVR: 45937712)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'res_raw_45937712'!$F$2</f>
        <v/>
      </c>
      <c r="C5" s="24">
        <f>'res_raw_45937712'!$E$2</f>
        <v/>
      </c>
      <c r="D5" s="24">
        <f>'res_raw_45937712'!$D$2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'res_raw_45937712'!$F$3</f>
        <v/>
      </c>
      <c r="C6" s="24">
        <f>'res_raw_45937712'!$E$3</f>
        <v/>
      </c>
      <c r="D6" s="24">
        <f>'res_raw_45937712'!$D$3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-'res_raw_45937712'!$F$4</f>
        <v/>
      </c>
      <c r="C7" s="24">
        <f>-'res_raw_45937712'!$E$4</f>
        <v/>
      </c>
      <c r="D7" s="24">
        <f>-'res_raw_45937712'!$D$4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-'res_raw_45937712'!$F$5</f>
        <v/>
      </c>
      <c r="C8" s="24">
        <f>-'res_raw_45937712'!$E$5</f>
        <v/>
      </c>
      <c r="D8" s="24">
        <f>-'res_raw_45937712'!$D$5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IF(ABS((SUM(B5:B8))-'res_raw_45937712'!$F$6)&lt;=2,SUM(B5:B8),'res_raw_45937712'!$F$6)</f>
        <v/>
      </c>
      <c r="C9" s="27">
        <f>IF(ABS((SUM(C5:C8))-'res_raw_45937712'!$E$6)&lt;=2,SUM(C5:C8),'res_raw_45937712'!$E$6)</f>
        <v/>
      </c>
      <c r="D9" s="27">
        <f>IF(ABS((SUM(D5:D8))-'res_raw_45937712'!$D$6)&lt;=2,SUM(D5:D8),'res_raw_45937712'!$D$6)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-'res_raw_45937712'!$F$7</f>
        <v/>
      </c>
      <c r="C10" s="24">
        <f>-'res_raw_45937712'!$E$7</f>
        <v/>
      </c>
      <c r="D10" s="24">
        <f>-'res_raw_45937712'!$D$7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-'res_raw_45937712'!$F$9</f>
        <v/>
      </c>
      <c r="C11" s="24">
        <f>-'res_raw_45937712'!$E$9</f>
        <v/>
      </c>
      <c r="D11" s="24">
        <f>-'res_raw_45937712'!$D$9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-'res_raw_45937712'!$F$10</f>
        <v/>
      </c>
      <c r="C12" s="24">
        <f>-'res_raw_45937712'!$E$10</f>
        <v/>
      </c>
      <c r="D12" s="24">
        <f>-'res_raw_45937712'!$D$10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IF(ABS((SUM(B9:B12))-'res_raw_45937712'!$F$11)&lt;=2,SUM(B9:B12),'res_raw_45937712'!$F$11)</f>
        <v/>
      </c>
      <c r="C13" s="27">
        <f>IF(ABS((SUM(C9:C12))-'res_raw_45937712'!$E$11)&lt;=2,SUM(C9:C12),'res_raw_45937712'!$E$11)</f>
        <v/>
      </c>
      <c r="D13" s="27">
        <f>IF(ABS((SUM(D9:D12))-'res_raw_45937712'!$D$11)&lt;=2,SUM(D9:D12),'res_raw_45937712'!$D$11)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N('res_raw_45937712'!$F$12)+N('res_raw_45937712'!$F$13)</f>
        <v/>
      </c>
      <c r="C14" s="24">
        <f>N('res_raw_45937712'!$E$12)+N('res_raw_45937712'!$E$13)</f>
        <v/>
      </c>
      <c r="D14" s="24">
        <f>N('res_raw_45937712'!$D$12)+N('res_raw_45937712'!$D$13)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-'res_raw_45937712'!$F$14</f>
        <v/>
      </c>
      <c r="C15" s="24">
        <f>-'res_raw_45937712'!$E$14</f>
        <v/>
      </c>
      <c r="D15" s="24">
        <f>-'res_raw_45937712'!$D$14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IF(ABS((SUM(B13:B15))-'res_raw_45937712'!$F$16)&lt;=2,SUM(B13:B15),'res_raw_45937712'!$F$16)</f>
        <v/>
      </c>
      <c r="C16" s="27">
        <f>IF(ABS((SUM(C13:C15))-'res_raw_45937712'!$E$16)&lt;=2,SUM(C13:C15),'res_raw_45937712'!$E$16)</f>
        <v/>
      </c>
      <c r="D16" s="27">
        <f>IF(ABS((SUM(D13:D15))-'res_raw_45937712'!$D$16)&lt;=2,SUM(D13:D15),'res_raw_45937712'!$D$16)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'balance_raw_45937712'!$F$12</f>
        <v/>
      </c>
      <c r="C19" s="24">
        <f>'balance_raw_45937712'!$E$12</f>
        <v/>
      </c>
      <c r="D19" s="24">
        <f>'balance_raw_45937712'!$D$12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'balance_raw_45937712'!$F$27</f>
        <v/>
      </c>
      <c r="C20" s="24">
        <f>'balance_raw_45937712'!$E$27</f>
        <v/>
      </c>
      <c r="D20" s="24">
        <f>'balance_raw_45937712'!$D$27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'balance_raw_45937712'!$F$35</f>
        <v/>
      </c>
      <c r="C23" s="24">
        <f>'balance_raw_45937712'!$E$35</f>
        <v/>
      </c>
      <c r="D23" s="24">
        <f>'balance_raw_45937712'!$D$35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'balance_raw_45937712'!$F$56-'balance_raw_45937712'!$F$35</f>
        <v/>
      </c>
      <c r="C24" s="24">
        <f>'balance_raw_45937712'!$E$56-'balance_raw_45937712'!$E$35</f>
        <v/>
      </c>
      <c r="D24" s="24">
        <f>'balance_raw_45937712'!$D$56-'balance_raw_45937712'!$D$35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'balance_raw_45937712'!$F$16</f>
        <v/>
      </c>
      <c r="C28" s="24">
        <f>'balance_raw_45937712'!$E$16</f>
        <v/>
      </c>
      <c r="D28" s="24">
        <f>'balance_raw_45937712'!$D$16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'balance_raw_45937712'!$F$17</f>
        <v/>
      </c>
      <c r="C29" s="24">
        <f>'balance_raw_45937712'!$E$17</f>
        <v/>
      </c>
      <c r="D29" s="24">
        <f>'balance_raw_45937712'!$D$17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'balance_raw_45937712'!$F$54</f>
        <v/>
      </c>
      <c r="C30" s="24">
        <f>'balance_raw_45937712'!$E$54</f>
        <v/>
      </c>
      <c r="D30" s="24">
        <f>'balance_raw_45937712'!$D$54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IF('balance_raw_45937712'!$F$28="","—",IF(ABS(B21-'balance_raw_45937712'!$F$28)&lt;=1,"✓ OK","❌ "&amp;TEXT(B21-'balance_raw_45937712'!$F$28,"+#,##0;-#,##0")&amp;" t.kr."))</f>
        <v/>
      </c>
      <c r="C61" s="29">
        <f>IF('balance_raw_45937712'!$E$28="","—",IF(ABS(C21-'balance_raw_45937712'!$E$28)&lt;=1,"✓ OK","❌ "&amp;TEXT(C21-'balance_raw_45937712'!$E$28,"+#,##0;-#,##0")&amp;" t.kr."))</f>
        <v/>
      </c>
      <c r="D61" s="29">
        <f>IF('balance_raw_45937712'!$D$28="","—",IF(ABS(D21-'balance_raw_45937712'!$D$28)&lt;=1,"✓ OK","❌ "&amp;TEXT(D21-'balance_raw_45937712'!$D$28,"+#,##0;-#,##0")&amp;"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IF('balance_raw_45937712'!$F$56="","—",IF(ABS(B25-'balance_raw_45937712'!$F$56)&lt;=1,"✓ OK","❌ "&amp;TEXT(B25-'balance_raw_45937712'!$F$56,"+#,##0;-#,##0")&amp;" t.kr."))</f>
        <v/>
      </c>
      <c r="C62" s="29">
        <f>IF('balance_raw_45937712'!$E$56="","—",IF(ABS(C25-'balance_raw_45937712'!$E$56)&lt;=1,"✓ OK","❌ "&amp;TEXT(C25-'balance_raw_45937712'!$E$56,"+#,##0;-#,##0")&amp;" t.kr."))</f>
        <v/>
      </c>
      <c r="D62" s="29">
        <f>IF('balance_raw_45937712'!$D$56="","—",IF(ABS(D25-'balance_raw_45937712'!$D$56)&lt;=1,"✓ OK","❌ "&amp;TEXT(D25-'balance_raw_45937712'!$D$56,"+#,##0;-#,##0")&amp;"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IF('res_raw_45937712'!$F$6="","—",IF(ABS(B9-'res_raw_45937712'!$F$6)&lt;=1,"✓ OK","❌ "&amp;TEXT(B9-'res_raw_45937712'!$F$6,"+#,##0;-#,##0")&amp;" t.kr."))</f>
        <v/>
      </c>
      <c r="C64" s="29">
        <f>IF('res_raw_45937712'!$E$6="","—",IF(ABS(C9-'res_raw_45937712'!$E$6)&lt;=1,"✓ OK","❌ "&amp;TEXT(C9-'res_raw_45937712'!$E$6,"+#,##0;-#,##0")&amp;" t.kr."))</f>
        <v/>
      </c>
      <c r="D64" s="29">
        <f>IF('res_raw_45937712'!$D$6="","—",IF(ABS(D9-'res_raw_45937712'!$D$6)&lt;=1,"✓ OK","❌ "&amp;TEXT(D9-'res_raw_45937712'!$D$6,"+#,##0;-#,##0")&amp;"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IF('res_raw_45937712'!$F$11="","—",IF(ABS(B13-'res_raw_45937712'!$F$11)&lt;=1,"✓ OK","❌ "&amp;TEXT(B13-'res_raw_45937712'!$F$11,"+#,##0;-#,##0")&amp;" t.kr."))</f>
        <v/>
      </c>
      <c r="C65" s="29">
        <f>IF('res_raw_45937712'!$E$11="","—",IF(ABS(C13-'res_raw_45937712'!$E$11)&lt;=1,"✓ OK","❌ "&amp;TEXT(C13-'res_raw_45937712'!$E$11,"+#,##0;-#,##0")&amp;" t.kr."))</f>
        <v/>
      </c>
      <c r="D65" s="29">
        <f>IF('res_raw_45937712'!$D$11="","—",IF(ABS(D13-'res_raw_45937712'!$D$11)&lt;=1,"✓ OK","❌ "&amp;TEXT(D13-'res_raw_45937712'!$D$11,"+#,##0;-#,##0")&amp;"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IF('res_raw_45937712'!$F$16="","—",IF(ABS(B16-'res_raw_45937712'!$F$16)&lt;=1,"✓ OK","❌ "&amp;TEXT(B16-'res_raw_45937712'!$F$16,"+#,##0;-#,##0")&amp;" t.kr."))</f>
        <v/>
      </c>
      <c r="C66" s="29">
        <f>IF('res_raw_45937712'!$E$16="","—",IF(ABS(C16-'res_raw_45937712'!$E$16)&lt;=1,"✓ OK","❌ "&amp;TEXT(C16-'res_raw_45937712'!$E$16,"+#,##0;-#,##0")&amp;" t.kr."))</f>
        <v/>
      </c>
      <c r="D66" s="29">
        <f>IF('res_raw_45937712'!$D$16="","—",IF(ABS(D16-'res_raw_45937712'!$D$16)&lt;=1,"✓ OK","❌ "&amp;TEXT(D16-'res_raw_45937712'!$D$16,"+#,##0;-#,##0")&amp;"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A/S Læsø Fiskeindustri (CVR 45937712)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fsa:HolidayAllowanceLiabilitiesLongterm</t>
        </is>
      </c>
      <c r="C3" s="34" t="inlineStr">
        <is>
          <t>fsa:HolidayAllowanceLiabilitiesLongterm</t>
        </is>
      </c>
      <c r="D3" s="35" t="n"/>
      <c r="E3" s="35" t="n"/>
      <c r="F3" s="35" t="n">
        <v>1300</v>
      </c>
      <c r="G3" s="35" t="n">
        <v>1314</v>
      </c>
      <c r="H3" s="35" t="n">
        <v>1362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fsa:IncomeFromOtherLongtermInvestmentsAndReceivables</t>
        </is>
      </c>
      <c r="C4" s="37" t="inlineStr">
        <is>
          <t>fsa:IncomeFromOtherLongtermInvestmentsAndReceivables</t>
        </is>
      </c>
      <c r="D4" s="38" t="n">
        <v>28</v>
      </c>
      <c r="E4" s="38" t="n">
        <v>14</v>
      </c>
      <c r="F4" s="38" t="n">
        <v>156</v>
      </c>
      <c r="G4" s="38" t="n">
        <v>170</v>
      </c>
      <c r="H4" s="38" t="n">
        <v>143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fsa:LongtermDeferredIncome</t>
        </is>
      </c>
      <c r="C5" s="34" t="inlineStr">
        <is>
          <t>fsa:LongtermDeferredIncome</t>
        </is>
      </c>
      <c r="D5" s="35" t="n"/>
      <c r="E5" s="35" t="n"/>
      <c r="F5" s="35" t="n">
        <v>1224</v>
      </c>
      <c r="G5" s="35" t="n">
        <v>1936</v>
      </c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fsa:NominalValueOfTreasurySharesHold</t>
        </is>
      </c>
      <c r="C6" s="37" t="inlineStr">
        <is>
          <t>fsa:NominalValueOfTreasurySharesHold</t>
        </is>
      </c>
      <c r="D6" s="38" t="n">
        <v>1030</v>
      </c>
      <c r="E6" s="38" t="n">
        <v>1130</v>
      </c>
      <c r="F6" s="38" t="n">
        <v>1096</v>
      </c>
      <c r="G6" s="38" t="n">
        <v>1315</v>
      </c>
      <c r="H6" s="38" t="n">
        <v>2080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fsa:PercentageOfContributedCapitalOfTreasurySharesHold</t>
        </is>
      </c>
      <c r="C7" s="34" t="inlineStr">
        <is>
          <t>fsa:PercentageOfContributedCapitalOfTreasurySharesHold</t>
        </is>
      </c>
      <c r="D7" s="35" t="n">
        <v>0</v>
      </c>
      <c r="E7" s="35" t="n">
        <v>0</v>
      </c>
      <c r="F7" s="35" t="n">
        <v>0</v>
      </c>
      <c r="G7" s="35" t="n">
        <v>0</v>
      </c>
      <c r="H7" s="35" t="n">
        <v>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fsa:ProvisionsForInvestmentsInGroupEnterprises</t>
        </is>
      </c>
      <c r="C8" s="37" t="inlineStr">
        <is>
          <t>fsa:ProvisionsForInvestmentsInGroupEnterprises</t>
        </is>
      </c>
      <c r="D8" s="38" t="n"/>
      <c r="E8" s="38" t="n"/>
      <c r="F8" s="38" t="n">
        <v>0</v>
      </c>
      <c r="G8" s="38" t="n">
        <v>0</v>
      </c>
      <c r="H8" s="38" t="n">
        <v>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fsa:SaleOfOtherCompany</t>
        </is>
      </c>
      <c r="C9" s="34" t="inlineStr">
        <is>
          <t>fsa:SaleOfOtherCompany</t>
        </is>
      </c>
      <c r="D9" s="35" t="n"/>
      <c r="E9" s="35" t="n"/>
      <c r="F9" s="35" t="n"/>
      <c r="G9" s="35" t="n"/>
      <c r="H9" s="35" t="n">
        <v>5999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fsa:ShorttermPayablesToAssociates</t>
        </is>
      </c>
      <c r="C10" s="37" t="inlineStr">
        <is>
          <t>fsa:ShorttermPayablesToAssociates</t>
        </is>
      </c>
      <c r="D10" s="38" t="n"/>
      <c r="E10" s="38" t="n"/>
      <c r="F10" s="38" t="n"/>
      <c r="G10" s="38" t="n"/>
      <c r="H10" s="38" t="n">
        <v>8796</v>
      </c>
      <c r="I10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2026-09-29T14:47:47Z</dcterms:created>
  <dcterms:modified xmlns:dcterms="http://purl.org/dc/terms/" xmlns:xsi="http://www.w3.org/2001/XMLSchema-instance" xsi:type="dcterms:W3CDTF">2026-09-29T14:47:47Z</dcterms:modified>
</cp:coreProperties>
</file>