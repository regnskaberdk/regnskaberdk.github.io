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041586" sheetId="1" state="visible" r:id="rId1"/>
    <sheet xmlns:r="http://schemas.openxmlformats.org/officeDocument/2006/relationships" name="res_raw_33041586" sheetId="2" state="visible" r:id="rId2"/>
    <sheet xmlns:r="http://schemas.openxmlformats.org/officeDocument/2006/relationships" name="balance_raw_33041586" sheetId="3" state="visible" r:id="rId3"/>
    <sheet xmlns:r="http://schemas.openxmlformats.org/officeDocument/2006/relationships" name="pengestrom_raw_33041586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LAKRIDS BY JOHAN BÜLOW A/S (CVR 33041586)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'res_raw_33041586'!$B$2</f>
        <v/>
      </c>
      <c r="C4" s="5">
        <f>'res_raw_33041586'!$C$2</f>
        <v/>
      </c>
      <c r="D4" s="5">
        <f>'res_raw_33041586'!$D$2</f>
        <v/>
      </c>
      <c r="E4" s="5">
        <f>'res_raw_33041586'!$E$2</f>
        <v/>
      </c>
      <c r="F4" s="5">
        <f>'res_raw_33041586'!$F$2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'res_raw_33041586'!$B$3</f>
        <v/>
      </c>
      <c r="C5" s="8">
        <f>'res_raw_33041586'!$C$3</f>
        <v/>
      </c>
      <c r="D5" s="8">
        <f>'res_raw_33041586'!$D$3</f>
        <v/>
      </c>
      <c r="E5" s="8">
        <f>'res_raw_33041586'!$E$3</f>
        <v/>
      </c>
      <c r="F5" s="8">
        <f>'res_raw_33041586'!$F$3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'res_raw_33041586'!$B$4</f>
        <v/>
      </c>
      <c r="C6" s="8">
        <f>'res_raw_33041586'!$C$4</f>
        <v/>
      </c>
      <c r="D6" s="8">
        <f>'res_raw_33041586'!$D$4</f>
        <v/>
      </c>
      <c r="E6" s="8">
        <f>'res_raw_33041586'!$E$4</f>
        <v/>
      </c>
      <c r="F6" s="8">
        <f>'res_raw_33041586'!$F$4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'res_raw_33041586'!$B$5</f>
        <v/>
      </c>
      <c r="C7" s="11">
        <f>'res_raw_33041586'!$C$5</f>
        <v/>
      </c>
      <c r="D7" s="11">
        <f>'res_raw_33041586'!$D$5</f>
        <v/>
      </c>
      <c r="E7" s="11">
        <f>'res_raw_33041586'!$E$5</f>
        <v/>
      </c>
      <c r="F7" s="11">
        <f>'res_raw_33041586'!$F$5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'res_raw_33041586'!$B$6</f>
        <v/>
      </c>
      <c r="C8" s="8">
        <f>'res_raw_33041586'!$C$6</f>
        <v/>
      </c>
      <c r="D8" s="8">
        <f>'res_raw_33041586'!$D$6</f>
        <v/>
      </c>
      <c r="E8" s="8">
        <f>'res_raw_33041586'!$E$6</f>
        <v/>
      </c>
      <c r="F8" s="8">
        <f>'res_raw_33041586'!$F$6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'res_raw_33041586'!$B$7</f>
        <v/>
      </c>
      <c r="C9" s="8">
        <f>'res_raw_33041586'!$C$7</f>
        <v/>
      </c>
      <c r="D9" s="8">
        <f>'res_raw_33041586'!$D$7</f>
        <v/>
      </c>
      <c r="E9" s="8">
        <f>'res_raw_33041586'!$E$7</f>
        <v/>
      </c>
      <c r="F9" s="8">
        <f>'res_raw_33041586'!$F$7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'res_raw_33041586'!$B$8</f>
        <v/>
      </c>
      <c r="C10" s="5">
        <f>'res_raw_33041586'!$C$8</f>
        <v/>
      </c>
      <c r="D10" s="5">
        <f>'res_raw_33041586'!$D$8</f>
        <v/>
      </c>
      <c r="E10" s="5">
        <f>'res_raw_33041586'!$E$8</f>
        <v/>
      </c>
      <c r="F10" s="5">
        <f>'res_raw_33041586'!$F$8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'res_raw_33041586'!$B$9</f>
        <v/>
      </c>
      <c r="C11" s="11">
        <f>'res_raw_33041586'!$C$9</f>
        <v/>
      </c>
      <c r="D11" s="11">
        <f>'res_raw_33041586'!$D$9</f>
        <v/>
      </c>
      <c r="E11" s="11">
        <f>'res_raw_33041586'!$E$9</f>
        <v/>
      </c>
      <c r="F11" s="11">
        <f>'res_raw_33041586'!$F$9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'res_raw_33041586'!$B$10</f>
        <v/>
      </c>
      <c r="C12" s="8">
        <f>'res_raw_33041586'!$C$10</f>
        <v/>
      </c>
      <c r="D12" s="8">
        <f>'res_raw_33041586'!$D$10</f>
        <v/>
      </c>
      <c r="E12" s="8">
        <f>'res_raw_33041586'!$E$10</f>
        <v/>
      </c>
      <c r="F12" s="8">
        <f>'res_raw_33041586'!$F$10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'res_raw_33041586'!$B$11</f>
        <v/>
      </c>
      <c r="C13" s="11">
        <f>'res_raw_33041586'!$C$11</f>
        <v/>
      </c>
      <c r="D13" s="11">
        <f>'res_raw_33041586'!$D$11</f>
        <v/>
      </c>
      <c r="E13" s="11">
        <f>'res_raw_33041586'!$E$11</f>
        <v/>
      </c>
      <c r="F13" s="11">
        <f>'res_raw_33041586'!$F$11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'res_raw_33041586'!$B$12</f>
        <v/>
      </c>
      <c r="C14" s="5">
        <f>'res_raw_33041586'!$C$12</f>
        <v/>
      </c>
      <c r="D14" s="5">
        <f>'res_raw_33041586'!$D$12</f>
        <v/>
      </c>
      <c r="E14" s="5">
        <f>'res_raw_33041586'!$E$12</f>
        <v/>
      </c>
      <c r="F14" s="5">
        <f>'res_raw_33041586'!$F$12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'res_raw_33041586'!$B$13</f>
        <v/>
      </c>
      <c r="C15" s="11">
        <f>'res_raw_33041586'!$C$13</f>
        <v/>
      </c>
      <c r="D15" s="11">
        <f>'res_raw_33041586'!$D$13</f>
        <v/>
      </c>
      <c r="E15" s="11">
        <f>'res_raw_33041586'!$E$13</f>
        <v/>
      </c>
      <c r="F15" s="11">
        <f>'res_raw_33041586'!$F$13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'res_raw_33041586'!$B$14</f>
        <v/>
      </c>
      <c r="C16" s="8">
        <f>'res_raw_33041586'!$C$14</f>
        <v/>
      </c>
      <c r="D16" s="8">
        <f>'res_raw_33041586'!$D$14</f>
        <v/>
      </c>
      <c r="E16" s="8">
        <f>'res_raw_33041586'!$E$14</f>
        <v/>
      </c>
      <c r="F16" s="8">
        <f>'res_raw_33041586'!$F$14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'res_raw_33041586'!$B$15</f>
        <v/>
      </c>
      <c r="C17" s="8">
        <f>'res_raw_33041586'!$C$15</f>
        <v/>
      </c>
      <c r="D17" s="8">
        <f>'res_raw_33041586'!$D$15</f>
        <v/>
      </c>
      <c r="E17" s="8">
        <f>'res_raw_33041586'!$E$15</f>
        <v/>
      </c>
      <c r="F17" s="8">
        <f>'res_raw_33041586'!$F$15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'res_raw_33041586'!$B$16</f>
        <v/>
      </c>
      <c r="C18" s="5">
        <f>'res_raw_33041586'!$C$16</f>
        <v/>
      </c>
      <c r="D18" s="5">
        <f>'res_raw_33041586'!$D$16</f>
        <v/>
      </c>
      <c r="E18" s="5">
        <f>'res_raw_33041586'!$E$16</f>
        <v/>
      </c>
      <c r="F18" s="5">
        <f>'res_raw_33041586'!$F$16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'res_raw_33041586'!$B$17</f>
        <v/>
      </c>
      <c r="C19" s="8">
        <f>'res_raw_33041586'!$C$17</f>
        <v/>
      </c>
      <c r="D19" s="8">
        <f>'res_raw_33041586'!$D$17</f>
        <v/>
      </c>
      <c r="E19" s="8">
        <f>'res_raw_33041586'!$E$17</f>
        <v/>
      </c>
      <c r="F19" s="8">
        <f>'res_raw_33041586'!$F$17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'balance_raw_33041586'!$B$2</f>
        <v/>
      </c>
      <c r="C22" s="5">
        <f>'balance_raw_33041586'!$C$2</f>
        <v/>
      </c>
      <c r="D22" s="5">
        <f>'balance_raw_33041586'!$D$2</f>
        <v/>
      </c>
      <c r="E22" s="5">
        <f>'balance_raw_33041586'!$E$2</f>
        <v/>
      </c>
      <c r="F22" s="5">
        <f>'balance_raw_33041586'!$F$2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'balance_raw_33041586'!$B$3</f>
        <v/>
      </c>
      <c r="C23" s="11">
        <f>'balance_raw_33041586'!$C$3</f>
        <v/>
      </c>
      <c r="D23" s="11">
        <f>'balance_raw_33041586'!$D$3</f>
        <v/>
      </c>
      <c r="E23" s="11">
        <f>'balance_raw_33041586'!$E$3</f>
        <v/>
      </c>
      <c r="F23" s="11">
        <f>'balance_raw_33041586'!$F$3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'balance_raw_33041586'!$B$4</f>
        <v/>
      </c>
      <c r="C24" s="5">
        <f>'balance_raw_33041586'!$C$4</f>
        <v/>
      </c>
      <c r="D24" s="5">
        <f>'balance_raw_33041586'!$D$4</f>
        <v/>
      </c>
      <c r="E24" s="5">
        <f>'balance_raw_33041586'!$E$4</f>
        <v/>
      </c>
      <c r="F24" s="5">
        <f>'balance_raw_33041586'!$F$4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'balance_raw_33041586'!$B$5</f>
        <v/>
      </c>
      <c r="C25" s="8">
        <f>'balance_raw_33041586'!$C$5</f>
        <v/>
      </c>
      <c r="D25" s="8">
        <f>'balance_raw_33041586'!$D$5</f>
        <v/>
      </c>
      <c r="E25" s="8">
        <f>'balance_raw_33041586'!$E$5</f>
        <v/>
      </c>
      <c r="F25" s="8">
        <f>'balance_raw_33041586'!$F$5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'balance_raw_33041586'!$B$6</f>
        <v/>
      </c>
      <c r="C26" s="5">
        <f>'balance_raw_33041586'!$C$6</f>
        <v/>
      </c>
      <c r="D26" s="5">
        <f>'balance_raw_33041586'!$D$6</f>
        <v/>
      </c>
      <c r="E26" s="5">
        <f>'balance_raw_33041586'!$E$6</f>
        <v/>
      </c>
      <c r="F26" s="5">
        <f>'balance_raw_33041586'!$F$6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'balance_raw_33041586'!$B$7</f>
        <v/>
      </c>
      <c r="C27" s="11">
        <f>'balance_raw_33041586'!$C$7</f>
        <v/>
      </c>
      <c r="D27" s="11">
        <f>'balance_raw_33041586'!$D$7</f>
        <v/>
      </c>
      <c r="E27" s="11">
        <f>'balance_raw_33041586'!$E$7</f>
        <v/>
      </c>
      <c r="F27" s="11">
        <f>'balance_raw_33041586'!$F$7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'balance_raw_33041586'!$B$8</f>
        <v/>
      </c>
      <c r="C28" s="5">
        <f>'balance_raw_33041586'!$C$8</f>
        <v/>
      </c>
      <c r="D28" s="5">
        <f>'balance_raw_33041586'!$D$8</f>
        <v/>
      </c>
      <c r="E28" s="5">
        <f>'balance_raw_33041586'!$E$8</f>
        <v/>
      </c>
      <c r="F28" s="5">
        <f>'balance_raw_33041586'!$F$8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'balance_raw_33041586'!$B$9</f>
        <v/>
      </c>
      <c r="C29" s="11">
        <f>'balance_raw_33041586'!$C$9</f>
        <v/>
      </c>
      <c r="D29" s="11">
        <f>'balance_raw_33041586'!$D$9</f>
        <v/>
      </c>
      <c r="E29" s="11">
        <f>'balance_raw_33041586'!$E$9</f>
        <v/>
      </c>
      <c r="F29" s="11">
        <f>'balance_raw_33041586'!$F$9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'balance_raw_33041586'!$B$10</f>
        <v/>
      </c>
      <c r="C30" s="5">
        <f>'balance_raw_33041586'!$C$10</f>
        <v/>
      </c>
      <c r="D30" s="5">
        <f>'balance_raw_33041586'!$D$10</f>
        <v/>
      </c>
      <c r="E30" s="5">
        <f>'balance_raw_33041586'!$E$10</f>
        <v/>
      </c>
      <c r="F30" s="5">
        <f>'balance_raw_33041586'!$F$10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'balance_raw_33041586'!$B$11</f>
        <v/>
      </c>
      <c r="C31" s="8">
        <f>'balance_raw_33041586'!$C$11</f>
        <v/>
      </c>
      <c r="D31" s="8">
        <f>'balance_raw_33041586'!$D$11</f>
        <v/>
      </c>
      <c r="E31" s="8">
        <f>'balance_raw_33041586'!$E$11</f>
        <v/>
      </c>
      <c r="F31" s="8">
        <f>'balance_raw_33041586'!$F$11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'balance_raw_33041586'!$B$12</f>
        <v/>
      </c>
      <c r="C32" s="5">
        <f>'balance_raw_33041586'!$C$12</f>
        <v/>
      </c>
      <c r="D32" s="5">
        <f>'balance_raw_33041586'!$D$12</f>
        <v/>
      </c>
      <c r="E32" s="5">
        <f>'balance_raw_33041586'!$E$12</f>
        <v/>
      </c>
      <c r="F32" s="5">
        <f>'balance_raw_33041586'!$F$12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'balance_raw_33041586'!$B$13</f>
        <v/>
      </c>
      <c r="C33" s="11">
        <f>'balance_raw_33041586'!$C$13</f>
        <v/>
      </c>
      <c r="D33" s="11">
        <f>'balance_raw_33041586'!$D$13</f>
        <v/>
      </c>
      <c r="E33" s="11">
        <f>'balance_raw_33041586'!$E$13</f>
        <v/>
      </c>
      <c r="F33" s="11">
        <f>'balance_raw_33041586'!$F$13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'balance_raw_33041586'!$B$14</f>
        <v/>
      </c>
      <c r="C34" s="8">
        <f>'balance_raw_33041586'!$C$14</f>
        <v/>
      </c>
      <c r="D34" s="8">
        <f>'balance_raw_33041586'!$D$14</f>
        <v/>
      </c>
      <c r="E34" s="8">
        <f>'balance_raw_33041586'!$E$14</f>
        <v/>
      </c>
      <c r="F34" s="8">
        <f>'balance_raw_33041586'!$F$14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'balance_raw_33041586'!$B$15</f>
        <v/>
      </c>
      <c r="C35" s="8">
        <f>'balance_raw_33041586'!$C$15</f>
        <v/>
      </c>
      <c r="D35" s="8">
        <f>'balance_raw_33041586'!$D$15</f>
        <v/>
      </c>
      <c r="E35" s="8">
        <f>'balance_raw_33041586'!$E$15</f>
        <v/>
      </c>
      <c r="F35" s="8">
        <f>'balance_raw_33041586'!$F$15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'balance_raw_33041586'!$B$16</f>
        <v/>
      </c>
      <c r="C36" s="5">
        <f>'balance_raw_33041586'!$C$16</f>
        <v/>
      </c>
      <c r="D36" s="5">
        <f>'balance_raw_33041586'!$D$16</f>
        <v/>
      </c>
      <c r="E36" s="5">
        <f>'balance_raw_33041586'!$E$16</f>
        <v/>
      </c>
      <c r="F36" s="5">
        <f>'balance_raw_33041586'!$F$16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'balance_raw_33041586'!$B$17</f>
        <v/>
      </c>
      <c r="C37" s="11">
        <f>'balance_raw_33041586'!$C$17</f>
        <v/>
      </c>
      <c r="D37" s="11">
        <f>'balance_raw_33041586'!$D$17</f>
        <v/>
      </c>
      <c r="E37" s="11">
        <f>'balance_raw_33041586'!$E$17</f>
        <v/>
      </c>
      <c r="F37" s="11">
        <f>'balance_raw_33041586'!$F$17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'balance_raw_33041586'!$B$18</f>
        <v/>
      </c>
      <c r="C38" s="5">
        <f>'balance_raw_33041586'!$C$18</f>
        <v/>
      </c>
      <c r="D38" s="5">
        <f>'balance_raw_33041586'!$D$18</f>
        <v/>
      </c>
      <c r="E38" s="5">
        <f>'balance_raw_33041586'!$E$18</f>
        <v/>
      </c>
      <c r="F38" s="5">
        <f>'balance_raw_33041586'!$F$18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'balance_raw_33041586'!$B$19</f>
        <v/>
      </c>
      <c r="C39" s="8">
        <f>'balance_raw_33041586'!$C$19</f>
        <v/>
      </c>
      <c r="D39" s="8">
        <f>'balance_raw_33041586'!$D$19</f>
        <v/>
      </c>
      <c r="E39" s="8">
        <f>'balance_raw_33041586'!$E$19</f>
        <v/>
      </c>
      <c r="F39" s="8">
        <f>'balance_raw_33041586'!$F$19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'balance_raw_33041586'!$B$20</f>
        <v/>
      </c>
      <c r="C40" s="5">
        <f>'balance_raw_33041586'!$C$20</f>
        <v/>
      </c>
      <c r="D40" s="5">
        <f>'balance_raw_33041586'!$D$20</f>
        <v/>
      </c>
      <c r="E40" s="5">
        <f>'balance_raw_33041586'!$E$20</f>
        <v/>
      </c>
      <c r="F40" s="5">
        <f>'balance_raw_33041586'!$F$20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'balance_raw_33041586'!$B$21</f>
        <v/>
      </c>
      <c r="C41" s="11">
        <f>'balance_raw_33041586'!$C$21</f>
        <v/>
      </c>
      <c r="D41" s="11">
        <f>'balance_raw_33041586'!$D$21</f>
        <v/>
      </c>
      <c r="E41" s="11">
        <f>'balance_raw_33041586'!$E$21</f>
        <v/>
      </c>
      <c r="F41" s="11">
        <f>'balance_raw_33041586'!$F$21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'balance_raw_33041586'!$B$22</f>
        <v/>
      </c>
      <c r="C42" s="5">
        <f>'balance_raw_33041586'!$C$22</f>
        <v/>
      </c>
      <c r="D42" s="5">
        <f>'balance_raw_33041586'!$D$22</f>
        <v/>
      </c>
      <c r="E42" s="5">
        <f>'balance_raw_33041586'!$E$22</f>
        <v/>
      </c>
      <c r="F42" s="5">
        <f>'balance_raw_33041586'!$F$22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'balance_raw_33041586'!$B$23</f>
        <v/>
      </c>
      <c r="C43" s="11">
        <f>'balance_raw_33041586'!$C$23</f>
        <v/>
      </c>
      <c r="D43" s="11">
        <f>'balance_raw_33041586'!$D$23</f>
        <v/>
      </c>
      <c r="E43" s="11">
        <f>'balance_raw_33041586'!$E$23</f>
        <v/>
      </c>
      <c r="F43" s="11">
        <f>'balance_raw_33041586'!$F$23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'balance_raw_33041586'!$B$24</f>
        <v/>
      </c>
      <c r="C44" s="5">
        <f>'balance_raw_33041586'!$C$24</f>
        <v/>
      </c>
      <c r="D44" s="5">
        <f>'balance_raw_33041586'!$D$24</f>
        <v/>
      </c>
      <c r="E44" s="5">
        <f>'balance_raw_33041586'!$E$24</f>
        <v/>
      </c>
      <c r="F44" s="5">
        <f>'balance_raw_33041586'!$F$24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'balance_raw_33041586'!$B$25</f>
        <v/>
      </c>
      <c r="C45" s="11">
        <f>'balance_raw_33041586'!$C$25</f>
        <v/>
      </c>
      <c r="D45" s="11">
        <f>'balance_raw_33041586'!$D$25</f>
        <v/>
      </c>
      <c r="E45" s="11">
        <f>'balance_raw_33041586'!$E$25</f>
        <v/>
      </c>
      <c r="F45" s="11">
        <f>'balance_raw_33041586'!$F$25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'balance_raw_33041586'!$B$26</f>
        <v/>
      </c>
      <c r="C46" s="5">
        <f>'balance_raw_33041586'!$C$26</f>
        <v/>
      </c>
      <c r="D46" s="5">
        <f>'balance_raw_33041586'!$D$26</f>
        <v/>
      </c>
      <c r="E46" s="5">
        <f>'balance_raw_33041586'!$E$26</f>
        <v/>
      </c>
      <c r="F46" s="5">
        <f>'balance_raw_33041586'!$F$26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'balance_raw_33041586'!$B$27</f>
        <v/>
      </c>
      <c r="C47" s="8">
        <f>'balance_raw_33041586'!$C$27</f>
        <v/>
      </c>
      <c r="D47" s="8">
        <f>'balance_raw_33041586'!$D$27</f>
        <v/>
      </c>
      <c r="E47" s="8">
        <f>'balance_raw_33041586'!$E$27</f>
        <v/>
      </c>
      <c r="F47" s="8">
        <f>'balance_raw_33041586'!$F$27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'balance_raw_33041586'!$B$28</f>
        <v/>
      </c>
      <c r="C48" s="5">
        <f>'balance_raw_33041586'!$C$28</f>
        <v/>
      </c>
      <c r="D48" s="5">
        <f>'balance_raw_33041586'!$D$28</f>
        <v/>
      </c>
      <c r="E48" s="5">
        <f>'balance_raw_33041586'!$E$28</f>
        <v/>
      </c>
      <c r="F48" s="5">
        <f>'balance_raw_33041586'!$F$28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'balance_raw_33041586'!$B$29</f>
        <v/>
      </c>
      <c r="C49" s="11">
        <f>'balance_raw_33041586'!$C$29</f>
        <v/>
      </c>
      <c r="D49" s="11">
        <f>'balance_raw_33041586'!$D$29</f>
        <v/>
      </c>
      <c r="E49" s="11">
        <f>'balance_raw_33041586'!$E$29</f>
        <v/>
      </c>
      <c r="F49" s="11">
        <f>'balance_raw_33041586'!$F$29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'balance_raw_33041586'!$B$30</f>
        <v/>
      </c>
      <c r="C50" s="8">
        <f>'balance_raw_33041586'!$C$30</f>
        <v/>
      </c>
      <c r="D50" s="8">
        <f>'balance_raw_33041586'!$D$30</f>
        <v/>
      </c>
      <c r="E50" s="8">
        <f>'balance_raw_33041586'!$E$30</f>
        <v/>
      </c>
      <c r="F50" s="8">
        <f>'balance_raw_33041586'!$F$30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'balance_raw_33041586'!$B$31</f>
        <v/>
      </c>
      <c r="C51" s="8">
        <f>'balance_raw_33041586'!$C$31</f>
        <v/>
      </c>
      <c r="D51" s="8">
        <f>'balance_raw_33041586'!$D$31</f>
        <v/>
      </c>
      <c r="E51" s="8">
        <f>'balance_raw_33041586'!$E$31</f>
        <v/>
      </c>
      <c r="F51" s="8">
        <f>'balance_raw_33041586'!$F$31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'balance_raw_33041586'!$B$32</f>
        <v/>
      </c>
      <c r="C54" s="5">
        <f>'balance_raw_33041586'!$C$32</f>
        <v/>
      </c>
      <c r="D54" s="5">
        <f>'balance_raw_33041586'!$D$32</f>
        <v/>
      </c>
      <c r="E54" s="5">
        <f>'balance_raw_33041586'!$E$32</f>
        <v/>
      </c>
      <c r="F54" s="5">
        <f>'balance_raw_33041586'!$F$32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'balance_raw_33041586'!$B$33</f>
        <v/>
      </c>
      <c r="C55" s="11">
        <f>'balance_raw_33041586'!$C$33</f>
        <v/>
      </c>
      <c r="D55" s="11">
        <f>'balance_raw_33041586'!$D$33</f>
        <v/>
      </c>
      <c r="E55" s="11">
        <f>'balance_raw_33041586'!$E$33</f>
        <v/>
      </c>
      <c r="F55" s="11">
        <f>'balance_raw_33041586'!$F$33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'balance_raw_33041586'!$B$34</f>
        <v/>
      </c>
      <c r="C56" s="5">
        <f>'balance_raw_33041586'!$C$34</f>
        <v/>
      </c>
      <c r="D56" s="5">
        <f>'balance_raw_33041586'!$D$34</f>
        <v/>
      </c>
      <c r="E56" s="5">
        <f>'balance_raw_33041586'!$E$34</f>
        <v/>
      </c>
      <c r="F56" s="5">
        <f>'balance_raw_33041586'!$F$34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'balance_raw_33041586'!$B$35</f>
        <v/>
      </c>
      <c r="C57" s="11">
        <f>'balance_raw_33041586'!$C$35</f>
        <v/>
      </c>
      <c r="D57" s="11">
        <f>'balance_raw_33041586'!$D$35</f>
        <v/>
      </c>
      <c r="E57" s="11">
        <f>'balance_raw_33041586'!$E$35</f>
        <v/>
      </c>
      <c r="F57" s="11">
        <f>'balance_raw_33041586'!$F$35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'balance_raw_33041586'!$B$36</f>
        <v/>
      </c>
      <c r="C58" s="5">
        <f>'balance_raw_33041586'!$C$36</f>
        <v/>
      </c>
      <c r="D58" s="5">
        <f>'balance_raw_33041586'!$D$36</f>
        <v/>
      </c>
      <c r="E58" s="5">
        <f>'balance_raw_33041586'!$E$36</f>
        <v/>
      </c>
      <c r="F58" s="5">
        <f>'balance_raw_33041586'!$F$36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'balance_raw_33041586'!$B$37</f>
        <v/>
      </c>
      <c r="C59" s="11">
        <f>'balance_raw_33041586'!$C$37</f>
        <v/>
      </c>
      <c r="D59" s="11">
        <f>'balance_raw_33041586'!$D$37</f>
        <v/>
      </c>
      <c r="E59" s="11">
        <f>'balance_raw_33041586'!$E$37</f>
        <v/>
      </c>
      <c r="F59" s="11">
        <f>'balance_raw_33041586'!$F$37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'balance_raw_33041586'!$B$38</f>
        <v/>
      </c>
      <c r="C60" s="8">
        <f>'balance_raw_33041586'!$C$38</f>
        <v/>
      </c>
      <c r="D60" s="8">
        <f>'balance_raw_33041586'!$D$38</f>
        <v/>
      </c>
      <c r="E60" s="8">
        <f>'balance_raw_33041586'!$E$38</f>
        <v/>
      </c>
      <c r="F60" s="8">
        <f>'balance_raw_33041586'!$F$38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'balance_raw_33041586'!$B$39</f>
        <v/>
      </c>
      <c r="C61" s="11">
        <f>'balance_raw_33041586'!$C$39</f>
        <v/>
      </c>
      <c r="D61" s="11">
        <f>'balance_raw_33041586'!$D$39</f>
        <v/>
      </c>
      <c r="E61" s="11">
        <f>'balance_raw_33041586'!$E$39</f>
        <v/>
      </c>
      <c r="F61" s="11">
        <f>'balance_raw_33041586'!$F$39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'balance_raw_33041586'!$B$40</f>
        <v/>
      </c>
      <c r="C62" s="8">
        <f>'balance_raw_33041586'!$C$40</f>
        <v/>
      </c>
      <c r="D62" s="8">
        <f>'balance_raw_33041586'!$D$40</f>
        <v/>
      </c>
      <c r="E62" s="8">
        <f>'balance_raw_33041586'!$E$40</f>
        <v/>
      </c>
      <c r="F62" s="8">
        <f>'balance_raw_33041586'!$F$40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'balance_raw_33041586'!$B$41</f>
        <v/>
      </c>
      <c r="C63" s="11">
        <f>'balance_raw_33041586'!$C$41</f>
        <v/>
      </c>
      <c r="D63" s="11">
        <f>'balance_raw_33041586'!$D$41</f>
        <v/>
      </c>
      <c r="E63" s="11">
        <f>'balance_raw_33041586'!$E$41</f>
        <v/>
      </c>
      <c r="F63" s="11">
        <f>'balance_raw_33041586'!$F$41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'balance_raw_33041586'!$B$42</f>
        <v/>
      </c>
      <c r="C64" s="5">
        <f>'balance_raw_33041586'!$C$42</f>
        <v/>
      </c>
      <c r="D64" s="5">
        <f>'balance_raw_33041586'!$D$42</f>
        <v/>
      </c>
      <c r="E64" s="5">
        <f>'balance_raw_33041586'!$E$42</f>
        <v/>
      </c>
      <c r="F64" s="5">
        <f>'balance_raw_33041586'!$F$42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'balance_raw_33041586'!$B$43</f>
        <v/>
      </c>
      <c r="C65" s="11">
        <f>'balance_raw_33041586'!$C$43</f>
        <v/>
      </c>
      <c r="D65" s="11">
        <f>'balance_raw_33041586'!$D$43</f>
        <v/>
      </c>
      <c r="E65" s="11">
        <f>'balance_raw_33041586'!$E$43</f>
        <v/>
      </c>
      <c r="F65" s="11">
        <f>'balance_raw_33041586'!$F$43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'balance_raw_33041586'!$B$44</f>
        <v/>
      </c>
      <c r="C66" s="5">
        <f>'balance_raw_33041586'!$C$44</f>
        <v/>
      </c>
      <c r="D66" s="5">
        <f>'balance_raw_33041586'!$D$44</f>
        <v/>
      </c>
      <c r="E66" s="5">
        <f>'balance_raw_33041586'!$E$44</f>
        <v/>
      </c>
      <c r="F66" s="5">
        <f>'balance_raw_33041586'!$F$44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'balance_raw_33041586'!$B$45</f>
        <v/>
      </c>
      <c r="C67" s="8">
        <f>'balance_raw_33041586'!$C$45</f>
        <v/>
      </c>
      <c r="D67" s="8">
        <f>'balance_raw_33041586'!$D$45</f>
        <v/>
      </c>
      <c r="E67" s="8">
        <f>'balance_raw_33041586'!$E$45</f>
        <v/>
      </c>
      <c r="F67" s="8">
        <f>'balance_raw_33041586'!$F$45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'balance_raw_33041586'!$B$46</f>
        <v/>
      </c>
      <c r="C68" s="5">
        <f>'balance_raw_33041586'!$C$46</f>
        <v/>
      </c>
      <c r="D68" s="5">
        <f>'balance_raw_33041586'!$D$46</f>
        <v/>
      </c>
      <c r="E68" s="5">
        <f>'balance_raw_33041586'!$E$46</f>
        <v/>
      </c>
      <c r="F68" s="5">
        <f>'balance_raw_33041586'!$F$46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'balance_raw_33041586'!$B$47</f>
        <v/>
      </c>
      <c r="C69" s="11">
        <f>'balance_raw_33041586'!$C$47</f>
        <v/>
      </c>
      <c r="D69" s="11">
        <f>'balance_raw_33041586'!$D$47</f>
        <v/>
      </c>
      <c r="E69" s="11">
        <f>'balance_raw_33041586'!$E$47</f>
        <v/>
      </c>
      <c r="F69" s="11">
        <f>'balance_raw_33041586'!$F$47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'balance_raw_33041586'!$B$48</f>
        <v/>
      </c>
      <c r="C70" s="5">
        <f>'balance_raw_33041586'!$C$48</f>
        <v/>
      </c>
      <c r="D70" s="5">
        <f>'balance_raw_33041586'!$D$48</f>
        <v/>
      </c>
      <c r="E70" s="5">
        <f>'balance_raw_33041586'!$E$48</f>
        <v/>
      </c>
      <c r="F70" s="5">
        <f>'balance_raw_33041586'!$F$48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'balance_raw_33041586'!$B$49</f>
        <v/>
      </c>
      <c r="C71" s="11">
        <f>'balance_raw_33041586'!$C$49</f>
        <v/>
      </c>
      <c r="D71" s="11">
        <f>'balance_raw_33041586'!$D$49</f>
        <v/>
      </c>
      <c r="E71" s="11">
        <f>'balance_raw_33041586'!$E$49</f>
        <v/>
      </c>
      <c r="F71" s="11">
        <f>'balance_raw_33041586'!$F$49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'balance_raw_33041586'!$B$50</f>
        <v/>
      </c>
      <c r="C72" s="5">
        <f>'balance_raw_33041586'!$C$50</f>
        <v/>
      </c>
      <c r="D72" s="5">
        <f>'balance_raw_33041586'!$D$50</f>
        <v/>
      </c>
      <c r="E72" s="5">
        <f>'balance_raw_33041586'!$E$50</f>
        <v/>
      </c>
      <c r="F72" s="5">
        <f>'balance_raw_33041586'!$F$50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'balance_raw_33041586'!$B$51</f>
        <v/>
      </c>
      <c r="C73" s="11">
        <f>'balance_raw_33041586'!$C$51</f>
        <v/>
      </c>
      <c r="D73" s="11">
        <f>'balance_raw_33041586'!$D$51</f>
        <v/>
      </c>
      <c r="E73" s="11">
        <f>'balance_raw_33041586'!$E$51</f>
        <v/>
      </c>
      <c r="F73" s="11">
        <f>'balance_raw_33041586'!$F$51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'balance_raw_33041586'!$B$52</f>
        <v/>
      </c>
      <c r="C74" s="5">
        <f>'balance_raw_33041586'!$C$52</f>
        <v/>
      </c>
      <c r="D74" s="5">
        <f>'balance_raw_33041586'!$D$52</f>
        <v/>
      </c>
      <c r="E74" s="5">
        <f>'balance_raw_33041586'!$E$52</f>
        <v/>
      </c>
      <c r="F74" s="5">
        <f>'balance_raw_33041586'!$F$52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'balance_raw_33041586'!$B$53</f>
        <v/>
      </c>
      <c r="C75" s="11">
        <f>'balance_raw_33041586'!$C$53</f>
        <v/>
      </c>
      <c r="D75" s="11">
        <f>'balance_raw_33041586'!$D$53</f>
        <v/>
      </c>
      <c r="E75" s="11">
        <f>'balance_raw_33041586'!$E$53</f>
        <v/>
      </c>
      <c r="F75" s="11">
        <f>'balance_raw_33041586'!$F$53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'balance_raw_33041586'!$B$54</f>
        <v/>
      </c>
      <c r="C76" s="5">
        <f>'balance_raw_33041586'!$C$54</f>
        <v/>
      </c>
      <c r="D76" s="5">
        <f>'balance_raw_33041586'!$D$54</f>
        <v/>
      </c>
      <c r="E76" s="5">
        <f>'balance_raw_33041586'!$E$54</f>
        <v/>
      </c>
      <c r="F76" s="5">
        <f>'balance_raw_33041586'!$F$54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'balance_raw_33041586'!$B$55</f>
        <v/>
      </c>
      <c r="C77" s="11">
        <f>'balance_raw_33041586'!$C$55</f>
        <v/>
      </c>
      <c r="D77" s="11">
        <f>'balance_raw_33041586'!$D$55</f>
        <v/>
      </c>
      <c r="E77" s="11">
        <f>'balance_raw_33041586'!$E$55</f>
        <v/>
      </c>
      <c r="F77" s="11">
        <f>'balance_raw_33041586'!$F$55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'balance_raw_33041586'!$B$56</f>
        <v/>
      </c>
      <c r="C78" s="5">
        <f>'balance_raw_33041586'!$C$56</f>
        <v/>
      </c>
      <c r="D78" s="5">
        <f>'balance_raw_33041586'!$D$56</f>
        <v/>
      </c>
      <c r="E78" s="5">
        <f>'balance_raw_33041586'!$E$56</f>
        <v/>
      </c>
      <c r="F78" s="5">
        <f>'balance_raw_33041586'!$F$56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'balance_raw_33041586'!$B$57</f>
        <v/>
      </c>
      <c r="C79" s="8">
        <f>'balance_raw_33041586'!$C$57</f>
        <v/>
      </c>
      <c r="D79" s="8">
        <f>'balance_raw_33041586'!$D$57</f>
        <v/>
      </c>
      <c r="E79" s="8">
        <f>'balance_raw_33041586'!$E$57</f>
        <v/>
      </c>
      <c r="F79" s="8">
        <f>'balance_raw_33041586'!$F$57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'balance_raw_33041586'!$B$58</f>
        <v/>
      </c>
      <c r="C80" s="8">
        <f>'balance_raw_33041586'!$C$58</f>
        <v/>
      </c>
      <c r="D80" s="8">
        <f>'balance_raw_33041586'!$D$58</f>
        <v/>
      </c>
      <c r="E80" s="8">
        <f>'balance_raw_33041586'!$E$58</f>
        <v/>
      </c>
      <c r="F80" s="8">
        <f>'balance_raw_33041586'!$F$58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'balance_raw_33041586'!$B$59</f>
        <v/>
      </c>
      <c r="C81" s="8">
        <f>'balance_raw_33041586'!$C$59</f>
        <v/>
      </c>
      <c r="D81" s="8">
        <f>'balance_raw_33041586'!$D$59</f>
        <v/>
      </c>
      <c r="E81" s="8">
        <f>'balance_raw_33041586'!$E$59</f>
        <v/>
      </c>
      <c r="F81" s="8">
        <f>'balance_raw_33041586'!$F$59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'res_raw_33041586'!$B$18</f>
        <v/>
      </c>
      <c r="C84" s="5">
        <f>'res_raw_33041586'!$C$18</f>
        <v/>
      </c>
      <c r="D84" s="5">
        <f>'res_raw_33041586'!$D$18</f>
        <v/>
      </c>
      <c r="E84" s="5">
        <f>'res_raw_33041586'!$E$18</f>
        <v/>
      </c>
      <c r="F84" s="5">
        <f>'res_raw_33041586'!$F$18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'res_raw_33041586'!$B$19</f>
        <v/>
      </c>
      <c r="C85" s="11">
        <f>'res_raw_33041586'!$C$19</f>
        <v/>
      </c>
      <c r="D85" s="11">
        <f>'res_raw_33041586'!$D$19</f>
        <v/>
      </c>
      <c r="E85" s="11">
        <f>'res_raw_33041586'!$E$19</f>
        <v/>
      </c>
      <c r="F85" s="11">
        <f>'res_raw_33041586'!$F$19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IFERROR(($B$12+$B$14+$B$13)/$B$51*100,"")</f>
        <v/>
      </c>
      <c r="C88" s="13">
        <f>IFERROR(($C$12+$C$14+$C$13)/$C$51*100,"")</f>
        <v/>
      </c>
      <c r="D88" s="13">
        <f>IFERROR(($D$12+$D$14+$D$13)/$D$51*100,"")</f>
        <v/>
      </c>
      <c r="E88" s="13">
        <f>IFERROR(($E$12+$E$14+$E$13)/$E$51*100,"")</f>
        <v/>
      </c>
      <c r="F88" s="13">
        <f>IFERROR(($F$12+$F$14+$F$13)/$F$51*100,"")</f>
        <v/>
      </c>
    </row>
    <row r="89" ht="16" customHeight="1">
      <c r="A89" s="10" t="inlineStr">
        <is>
          <t>Overskudsgrad, %</t>
        </is>
      </c>
      <c r="B89" s="14">
        <f>IFERROR(($B$12+$B$14+$B$13)/$B$4*100,"")</f>
        <v/>
      </c>
      <c r="C89" s="14">
        <f>IFERROR(($C$12+$C$14+$C$13)/$C$4*100,"")</f>
        <v/>
      </c>
      <c r="D89" s="14">
        <f>IFERROR(($D$12+$D$14+$D$13)/$D$4*100,"")</f>
        <v/>
      </c>
      <c r="E89" s="14">
        <f>IFERROR(($E$12+$E$14+$E$13)/$E$4*100,"")</f>
        <v/>
      </c>
      <c r="F89" s="14">
        <f>IFERROR(($F$12+$F$14+$F$13)/$F$4*100,"")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IFERROR($B$17/$B$60*100,"")</f>
        <v/>
      </c>
      <c r="C91" s="14">
        <f>IFERROR($C$17/$C$60*100,"")</f>
        <v/>
      </c>
      <c r="D91" s="14">
        <f>IFERROR($D$17/$D$60*100,"")</f>
        <v/>
      </c>
      <c r="E91" s="14">
        <f>IFERROR($E$17/$E$60*100,"")</f>
        <v/>
      </c>
      <c r="F91" s="14">
        <f>IFERROR($F$17/$F$60*100,"")</f>
        <v/>
      </c>
    </row>
    <row r="92" ht="16" customHeight="1">
      <c r="A92" s="4" t="inlineStr">
        <is>
          <t>Gældsrente, %</t>
        </is>
      </c>
      <c r="B92" s="13">
        <f>IFERROR($B$15/($B$81-$B$60)*100,"")</f>
        <v/>
      </c>
      <c r="C92" s="13">
        <f>IFERROR($C$15/($C$81-$C$60)*100,"")</f>
        <v/>
      </c>
      <c r="D92" s="13">
        <f>IFERROR($D$15/($D$81-$D$60)*100,"")</f>
        <v/>
      </c>
      <c r="E92" s="13">
        <f>IFERROR($E$15/($E$81-$E$60)*100,"")</f>
        <v/>
      </c>
      <c r="F92" s="13">
        <f>IFERROR($F$15/($F$81-$F$60)*100,"")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t.kr.</t>
        </is>
      </c>
    </row>
    <row r="101">
      <c r="A101" s="16" t="inlineStr">
        <is>
          <t>Pengestrømme fra driftsaktivitet</t>
        </is>
      </c>
      <c r="B101" s="17">
        <f>'pengestrom_raw_33041586'!$B$2</f>
        <v/>
      </c>
      <c r="C101" s="17">
        <f>'pengestrom_raw_33041586'!$C$2</f>
        <v/>
      </c>
      <c r="D101" s="17">
        <f>'pengestrom_raw_33041586'!$D$2</f>
        <v/>
      </c>
      <c r="E101" s="17">
        <f>'pengestrom_raw_33041586'!$E$2</f>
        <v/>
      </c>
      <c r="F101" s="17">
        <f>'pengestrom_raw_33041586'!$F$2</f>
        <v/>
      </c>
    </row>
    <row r="102">
      <c r="A102" s="16" t="inlineStr">
        <is>
          <t>Pengestrømme fra investeringsaktivitet</t>
        </is>
      </c>
      <c r="B102" s="17">
        <f>'pengestrom_raw_33041586'!$B$3</f>
        <v/>
      </c>
      <c r="C102" s="17">
        <f>'pengestrom_raw_33041586'!$C$3</f>
        <v/>
      </c>
      <c r="D102" s="17">
        <f>'pengestrom_raw_33041586'!$D$3</f>
        <v/>
      </c>
      <c r="E102" s="17">
        <f>'pengestrom_raw_33041586'!$E$3</f>
        <v/>
      </c>
      <c r="F102" s="17">
        <f>'pengestrom_raw_33041586'!$F$3</f>
        <v/>
      </c>
    </row>
    <row r="103">
      <c r="A103" s="16" t="inlineStr">
        <is>
          <t>Pengestrømme fra finansieringsaktivitet</t>
        </is>
      </c>
      <c r="B103" s="17">
        <f>'pengestrom_raw_33041586'!$B$4</f>
        <v/>
      </c>
      <c r="C103" s="17">
        <f>'pengestrom_raw_33041586'!$C$4</f>
        <v/>
      </c>
      <c r="D103" s="17">
        <f>'pengestrom_raw_33041586'!$D$4</f>
        <v/>
      </c>
      <c r="E103" s="17">
        <f>'pengestrom_raw_33041586'!$E$4</f>
        <v/>
      </c>
      <c r="F103" s="17">
        <f>'pengestrom_raw_33041586'!$F$4</f>
        <v/>
      </c>
    </row>
    <row r="104">
      <c r="A104" s="16" t="inlineStr">
        <is>
          <t>Årets pengestrøm (rapporteret)</t>
        </is>
      </c>
      <c r="B104" s="17">
        <f>'pengestrom_raw_33041586'!$B$5</f>
        <v/>
      </c>
      <c r="C104" s="17">
        <f>'pengestrom_raw_33041586'!$C$5</f>
        <v/>
      </c>
      <c r="D104" s="17">
        <f>'pengestrom_raw_33041586'!$D$5</f>
        <v/>
      </c>
      <c r="E104" s="17">
        <f>'pengestrom_raw_33041586'!$E$5</f>
        <v/>
      </c>
      <c r="F104" s="17">
        <f>'pengestrom_raw_33041586'!$F$5</f>
        <v/>
      </c>
    </row>
    <row r="105">
      <c r="A105" s="16" t="inlineStr">
        <is>
          <t>Krydstjek: drift + inv. + fin. = årets pengestrøm</t>
        </is>
      </c>
      <c r="B105">
        <f>IF(ABS(('pengestrom_raw_33041586'!$B$2+'pengestrom_raw_33041586'!$B$3+'pengestrom_raw_33041586'!$B$4)-'pengestrom_raw_33041586'!$B$5)&lt;=2,"✓","⚠ "&amp;TEXT(('pengestrom_raw_33041586'!$B$2+'pengestrom_raw_33041586'!$B$3+'pengestrom_raw_33041586'!$B$4)-'pengestrom_raw_33041586'!$B$5,"+#,##0;-#,##0"))</f>
        <v/>
      </c>
      <c r="C105">
        <f>IF(ABS(('pengestrom_raw_33041586'!$C$2+'pengestrom_raw_33041586'!$C$3+'pengestrom_raw_33041586'!$C$4)-'pengestrom_raw_33041586'!$C$5)&lt;=2,"✓","⚠ "&amp;TEXT(('pengestrom_raw_33041586'!$C$2+'pengestrom_raw_33041586'!$C$3+'pengestrom_raw_33041586'!$C$4)-'pengestrom_raw_33041586'!$C$5,"+#,##0;-#,##0"))</f>
        <v/>
      </c>
      <c r="D105">
        <f>IF(ABS(('pengestrom_raw_33041586'!$D$2+'pengestrom_raw_33041586'!$D$3+'pengestrom_raw_33041586'!$D$4)-'pengestrom_raw_33041586'!$D$5)&lt;=2,"✓","⚠ "&amp;TEXT(('pengestrom_raw_33041586'!$D$2+'pengestrom_raw_33041586'!$D$3+'pengestrom_raw_33041586'!$D$4)-'pengestrom_raw_33041586'!$D$5,"+#,##0;-#,##0"))</f>
        <v/>
      </c>
      <c r="E105">
        <f>IF(ABS(('pengestrom_raw_33041586'!$E$2+'pengestrom_raw_33041586'!$E$3+'pengestrom_raw_33041586'!$E$4)-'pengestrom_raw_33041586'!$E$5)&lt;=2,"✓","⚠ "&amp;TEXT(('pengestrom_raw_33041586'!$E$2+'pengestrom_raw_33041586'!$E$3+'pengestrom_raw_33041586'!$E$4)-'pengestrom_raw_33041586'!$E$5,"+#,##0;-#,##0"))</f>
        <v/>
      </c>
      <c r="F105">
        <f>IF(ABS(('pengestrom_raw_33041586'!$F$2+'pengestrom_raw_33041586'!$F$3+'pengestrom_raw_33041586'!$F$4)-'pengestrom_raw_33041586'!$F$5)&lt;=2,"✓","⚠ "&amp;TEXT(('pengestrom_raw_33041586'!$F$2+'pengestrom_raw_33041586'!$F$3+'pengestrom_raw_33041586'!$F$4)-'pengestrom_raw_33041586'!$F$5,"+#,##0;-#,##0"))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LAKRIDS BY JOHAN BÜLOW A/S (CVR 33041586)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293054</v>
      </c>
      <c r="C2" s="17" t="n">
        <v>317027</v>
      </c>
      <c r="D2" s="17" t="n">
        <v>319288</v>
      </c>
      <c r="E2" s="17" t="n">
        <v>376004</v>
      </c>
      <c r="F2" s="17" t="n">
        <v>448509</v>
      </c>
    </row>
    <row r="3">
      <c r="A3" s="16" t="inlineStr">
        <is>
          <t>Produktionsomkostninger</t>
        </is>
      </c>
      <c r="B3" s="17" t="n">
        <v>136703</v>
      </c>
      <c r="C3" s="17" t="n">
        <v>152335</v>
      </c>
      <c r="D3" s="17" t="n">
        <v>155733</v>
      </c>
      <c r="E3" s="17" t="n">
        <v>113208</v>
      </c>
      <c r="F3" s="17" t="n">
        <v>153385</v>
      </c>
    </row>
    <row r="4">
      <c r="A4" s="15" t="inlineStr">
        <is>
          <t>Bruttoresultat</t>
        </is>
      </c>
      <c r="B4" s="17" t="n">
        <v>156351</v>
      </c>
      <c r="C4" s="17" t="n">
        <v>164692</v>
      </c>
      <c r="D4" s="17" t="n">
        <v>163555</v>
      </c>
      <c r="E4" s="17" t="n">
        <v>262796</v>
      </c>
      <c r="F4" s="17" t="n">
        <v>295124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72153</v>
      </c>
      <c r="C6" s="17" t="n">
        <v>89453</v>
      </c>
      <c r="D6" s="17" t="n">
        <v>81574</v>
      </c>
      <c r="E6" s="17" t="n">
        <v>155030</v>
      </c>
      <c r="F6" s="17" t="n">
        <v>174086</v>
      </c>
    </row>
    <row r="7">
      <c r="A7" s="16" t="inlineStr">
        <is>
          <t>Administrationsomkostninger</t>
        </is>
      </c>
      <c r="B7" s="17" t="n">
        <v>55683</v>
      </c>
      <c r="C7" s="17" t="n">
        <v>69949</v>
      </c>
      <c r="D7" s="17" t="n">
        <v>65191</v>
      </c>
      <c r="E7" s="17" t="n">
        <v>111374</v>
      </c>
      <c r="F7" s="17" t="n">
        <v>125976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>
        <v>0</v>
      </c>
      <c r="F8" s="17" t="n">
        <v>77688</v>
      </c>
    </row>
    <row r="9">
      <c r="A9" s="16" t="inlineStr">
        <is>
          <t>Andre driftsomkostninger</t>
        </is>
      </c>
      <c r="B9" s="17" t="n"/>
      <c r="C9" s="17" t="n">
        <v>55</v>
      </c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28515</v>
      </c>
      <c r="C10" s="17" t="n">
        <v>5290</v>
      </c>
      <c r="D10" s="17" t="n">
        <v>16790</v>
      </c>
      <c r="E10" s="17" t="n">
        <v>-3608</v>
      </c>
      <c r="F10" s="17" t="n">
        <v>72750</v>
      </c>
    </row>
    <row r="11">
      <c r="A11" s="16" t="inlineStr">
        <is>
          <t>Indtægter af kapitalandele, dattervirksomheder</t>
        </is>
      </c>
      <c r="B11" s="17" t="n">
        <v>3197</v>
      </c>
      <c r="C11" s="17" t="n">
        <v>3736</v>
      </c>
      <c r="D11" s="17" t="n">
        <v>2924</v>
      </c>
      <c r="E11" s="17" t="n">
        <v>0</v>
      </c>
      <c r="F11" s="17" t="n">
        <v>0</v>
      </c>
    </row>
    <row r="12">
      <c r="A12" s="16" t="inlineStr">
        <is>
          <t>Finansielle indtægter</t>
        </is>
      </c>
      <c r="B12" s="17" t="n">
        <v>1229</v>
      </c>
      <c r="C12" s="17" t="n">
        <v>1235</v>
      </c>
      <c r="D12" s="17" t="n">
        <v>601</v>
      </c>
      <c r="E12" s="17" t="n">
        <v>1549</v>
      </c>
      <c r="F12" s="17" t="n">
        <v>524</v>
      </c>
    </row>
    <row r="13">
      <c r="A13" s="16" t="inlineStr">
        <is>
          <t>Finansielle omkostninger</t>
        </is>
      </c>
      <c r="B13" s="17" t="n">
        <v>1733</v>
      </c>
      <c r="C13" s="17" t="n">
        <v>2004</v>
      </c>
      <c r="D13" s="17" t="n">
        <v>3846</v>
      </c>
      <c r="E13" s="17" t="n">
        <v>20811</v>
      </c>
      <c r="F13" s="17" t="n">
        <v>18005</v>
      </c>
    </row>
    <row r="14">
      <c r="A14" s="15" t="inlineStr">
        <is>
          <t>Finansielle poster, netto</t>
        </is>
      </c>
      <c r="B14" s="17" t="n">
        <v>2693</v>
      </c>
      <c r="C14" s="17" t="n">
        <v>2967</v>
      </c>
      <c r="D14" s="17" t="n">
        <v>-3245</v>
      </c>
      <c r="E14" s="17" t="n">
        <v>-19262</v>
      </c>
      <c r="F14" s="17" t="n">
        <v>-17481</v>
      </c>
    </row>
    <row r="15">
      <c r="A15" s="15" t="inlineStr">
        <is>
          <t>Resultat før skat</t>
        </is>
      </c>
      <c r="B15" s="17" t="n">
        <v>31208</v>
      </c>
      <c r="C15" s="17" t="n">
        <v>8202</v>
      </c>
      <c r="D15" s="17" t="n">
        <v>16469</v>
      </c>
      <c r="E15" s="17" t="n">
        <v>-22870</v>
      </c>
      <c r="F15" s="17" t="n">
        <v>55269</v>
      </c>
    </row>
    <row r="16">
      <c r="A16" s="16" t="inlineStr">
        <is>
          <t>Skat af årets resultat</t>
        </is>
      </c>
      <c r="B16" s="17" t="n">
        <v>6920</v>
      </c>
      <c r="C16" s="17" t="n">
        <v>982</v>
      </c>
      <c r="D16" s="17" t="n">
        <v>2915</v>
      </c>
      <c r="E16" s="17" t="n">
        <v>4616</v>
      </c>
      <c r="F16" s="17" t="n">
        <v>-725</v>
      </c>
    </row>
    <row r="17">
      <c r="A17" s="15" t="inlineStr">
        <is>
          <t>Årets resultat</t>
        </is>
      </c>
      <c r="B17" s="17" t="n">
        <v>24288</v>
      </c>
      <c r="C17" s="17" t="n">
        <v>7220</v>
      </c>
      <c r="D17" s="17" t="n">
        <v>13554</v>
      </c>
      <c r="E17" s="17" t="n">
        <v>-27486</v>
      </c>
      <c r="F17" s="17" t="n">
        <v>55994</v>
      </c>
    </row>
    <row r="18">
      <c r="A18" s="16" t="inlineStr">
        <is>
          <t>Gns. antal medarbejdere</t>
        </is>
      </c>
      <c r="B18" s="17" t="n">
        <v>105</v>
      </c>
      <c r="C18" s="17" t="n">
        <v>119</v>
      </c>
      <c r="D18" s="17" t="n">
        <v>115</v>
      </c>
      <c r="E18" s="17" t="n">
        <v>244</v>
      </c>
      <c r="F18" s="17" t="n">
        <v>275</v>
      </c>
    </row>
    <row r="19">
      <c r="A19" s="16" t="inlineStr">
        <is>
          <t>Investering i materielle anlægsaktiver</t>
        </is>
      </c>
      <c r="B19" s="17" t="n">
        <v>16833</v>
      </c>
      <c r="C19" s="17" t="n">
        <v>9370</v>
      </c>
      <c r="D19" s="17" t="n">
        <v>974</v>
      </c>
      <c r="E19" s="17" t="n">
        <v>14922</v>
      </c>
      <c r="F19" s="17" t="n">
        <v>11047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LAKRIDS BY JOHAN BÜLOW A/S (CVR 33041586)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6636</v>
      </c>
      <c r="C2" s="17" t="n">
        <v>6600</v>
      </c>
      <c r="D2" s="17" t="n">
        <v>8703</v>
      </c>
      <c r="E2" s="17" t="n">
        <v>10148</v>
      </c>
      <c r="F2" s="17" t="n">
        <v>6824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>
        <v>280009</v>
      </c>
      <c r="F4" s="17" t="n">
        <v>256001</v>
      </c>
    </row>
    <row r="5">
      <c r="A5" s="15" t="inlineStr">
        <is>
          <t>Immaterielle anlægsaktiver</t>
        </is>
      </c>
      <c r="B5" s="17" t="n">
        <v>9723</v>
      </c>
      <c r="C5" s="17" t="n">
        <v>10904</v>
      </c>
      <c r="D5" s="17" t="n">
        <v>10818</v>
      </c>
      <c r="E5" s="17" t="n">
        <v>290217</v>
      </c>
      <c r="F5" s="17" t="n">
        <v>262825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23059</v>
      </c>
      <c r="C8" s="17" t="n">
        <v>30134</v>
      </c>
      <c r="D8" s="17" t="n">
        <v>25037</v>
      </c>
      <c r="E8" s="17" t="n">
        <v>22151</v>
      </c>
      <c r="F8" s="17" t="n">
        <v>19221</v>
      </c>
    </row>
    <row r="9">
      <c r="A9" s="16" t="inlineStr">
        <is>
          <t>Indretning af lejede lokaler</t>
        </is>
      </c>
      <c r="B9" s="17" t="n">
        <v>10675</v>
      </c>
      <c r="C9" s="17" t="n">
        <v>9747</v>
      </c>
      <c r="D9" s="17" t="n">
        <v>7329</v>
      </c>
      <c r="E9" s="17" t="n">
        <v>23845</v>
      </c>
      <c r="F9" s="17" t="n">
        <v>23336</v>
      </c>
    </row>
    <row r="10">
      <c r="A10" s="16" t="inlineStr">
        <is>
          <t>Forudbetaling og anlægsaktiver under opførelse</t>
        </is>
      </c>
      <c r="B10" s="17" t="n">
        <v>5671</v>
      </c>
      <c r="C10" s="17" t="n">
        <v>0</v>
      </c>
      <c r="D10" s="17" t="n">
        <v>0</v>
      </c>
      <c r="E10" s="17" t="n">
        <v>1392</v>
      </c>
      <c r="F10" s="17" t="n">
        <v>0</v>
      </c>
    </row>
    <row r="11">
      <c r="A11" s="15" t="inlineStr">
        <is>
          <t>Materielle anlægsaktiver</t>
        </is>
      </c>
      <c r="B11" s="17" t="n">
        <v>39405</v>
      </c>
      <c r="C11" s="17" t="n">
        <v>39881</v>
      </c>
      <c r="D11" s="17" t="n">
        <v>32366</v>
      </c>
      <c r="E11" s="17" t="n">
        <v>47388</v>
      </c>
      <c r="F11" s="17" t="n">
        <v>42557</v>
      </c>
    </row>
    <row r="12">
      <c r="A12" s="16" t="inlineStr">
        <is>
          <t>Kapitalandele, dattervirksomheder</t>
        </is>
      </c>
      <c r="B12" s="17" t="n">
        <v>19614</v>
      </c>
      <c r="C12" s="17" t="n">
        <v>22400</v>
      </c>
      <c r="D12" s="17" t="n">
        <v>24810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1684</v>
      </c>
      <c r="C13" s="17" t="n">
        <v>1750</v>
      </c>
      <c r="D13" s="17" t="n">
        <v>1835</v>
      </c>
      <c r="E13" s="17" t="n">
        <v>8834</v>
      </c>
      <c r="F13" s="17" t="n">
        <v>5386</v>
      </c>
    </row>
    <row r="14">
      <c r="A14" s="15" t="inlineStr">
        <is>
          <t>Finansielle anlægsaktiver</t>
        </is>
      </c>
      <c r="B14" s="17" t="n">
        <v>21298</v>
      </c>
      <c r="C14" s="17" t="n">
        <v>24150</v>
      </c>
      <c r="D14" s="17" t="n">
        <v>26645</v>
      </c>
      <c r="E14" s="17" t="n">
        <v>8834</v>
      </c>
      <c r="F14" s="17" t="n">
        <v>5386</v>
      </c>
    </row>
    <row r="15">
      <c r="A15" s="15" t="inlineStr">
        <is>
          <t>Anlægsaktiver</t>
        </is>
      </c>
      <c r="B15" s="17" t="n">
        <v>70426</v>
      </c>
      <c r="C15" s="17" t="n">
        <v>74935</v>
      </c>
      <c r="D15" s="17" t="n">
        <v>69829</v>
      </c>
      <c r="E15" s="17" t="n">
        <v>346439</v>
      </c>
      <c r="F15" s="17" t="n">
        <v>310768</v>
      </c>
    </row>
    <row r="16">
      <c r="A16" s="16" t="inlineStr">
        <is>
          <t>Råvarer og hjælpematerialer</t>
        </is>
      </c>
      <c r="B16" s="17" t="n">
        <v>15229</v>
      </c>
      <c r="C16" s="17" t="n">
        <v>24241</v>
      </c>
      <c r="D16" s="17" t="n">
        <v>13545</v>
      </c>
      <c r="E16" s="17" t="n">
        <v>17610</v>
      </c>
      <c r="F16" s="17" t="n">
        <v>15940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9799</v>
      </c>
      <c r="C18" s="17" t="n">
        <v>15357</v>
      </c>
      <c r="D18" s="17" t="n">
        <v>16044</v>
      </c>
      <c r="E18" s="17" t="n">
        <v>30828</v>
      </c>
      <c r="F18" s="17" t="n">
        <v>24977</v>
      </c>
    </row>
    <row r="19">
      <c r="A19" s="15" t="inlineStr">
        <is>
          <t>Varebeholdninger</t>
        </is>
      </c>
      <c r="B19" s="17" t="n">
        <v>25028</v>
      </c>
      <c r="C19" s="17" t="n">
        <v>39598</v>
      </c>
      <c r="D19" s="17" t="n">
        <v>29589</v>
      </c>
      <c r="E19" s="17" t="n">
        <v>48438</v>
      </c>
      <c r="F19" s="17" t="n">
        <v>40917</v>
      </c>
    </row>
    <row r="20">
      <c r="A20" s="16" t="inlineStr">
        <is>
          <t>Tilgodehavender fra salg og tjenesteydelser</t>
        </is>
      </c>
      <c r="B20" s="17" t="n">
        <v>12407</v>
      </c>
      <c r="C20" s="17" t="n">
        <v>14341</v>
      </c>
      <c r="D20" s="17" t="n">
        <v>12728</v>
      </c>
      <c r="E20" s="17" t="n">
        <v>29651</v>
      </c>
      <c r="F20" s="17" t="n">
        <v>32412</v>
      </c>
    </row>
    <row r="21">
      <c r="A21" s="16" t="inlineStr">
        <is>
          <t>Tilgodehavender hos tilknyttede virksomheder</t>
        </is>
      </c>
      <c r="B21" s="17" t="n">
        <v>32551</v>
      </c>
      <c r="C21" s="17" t="n">
        <v>20978</v>
      </c>
      <c r="D21" s="17" t="n">
        <v>21439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445</v>
      </c>
      <c r="C22" s="17" t="n">
        <v>215</v>
      </c>
      <c r="D22" s="17" t="n">
        <v>0</v>
      </c>
      <c r="E22" s="17" t="n">
        <v>1091</v>
      </c>
      <c r="F22" s="17" t="n">
        <v>0</v>
      </c>
    </row>
    <row r="23">
      <c r="A23" s="16" t="inlineStr">
        <is>
          <t>Periodeafgrænsningsposter (aktiver)</t>
        </is>
      </c>
      <c r="B23" s="17" t="n">
        <v>1809</v>
      </c>
      <c r="C23" s="17" t="n">
        <v>1965</v>
      </c>
      <c r="D23" s="17" t="n">
        <v>2207</v>
      </c>
      <c r="E23" s="17" t="n">
        <v>4461</v>
      </c>
      <c r="F23" s="17" t="n">
        <v>7067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>
        <v>5852</v>
      </c>
      <c r="F24" s="17" t="n">
        <v>5619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47212</v>
      </c>
      <c r="C27" s="17" t="n">
        <v>37499</v>
      </c>
      <c r="D27" s="17" t="n">
        <v>36374</v>
      </c>
      <c r="E27" s="17" t="n">
        <v>41055</v>
      </c>
      <c r="F27" s="17" t="n">
        <v>45098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234</v>
      </c>
      <c r="C29" s="17" t="n">
        <v>772</v>
      </c>
      <c r="D29" s="17" t="n">
        <v>12383</v>
      </c>
      <c r="E29" s="17" t="n">
        <v>29868</v>
      </c>
      <c r="F29" s="17" t="n">
        <v>59826</v>
      </c>
    </row>
    <row r="30">
      <c r="A30" s="15" t="inlineStr">
        <is>
          <t>Omsætningsaktiver</t>
        </is>
      </c>
      <c r="B30" s="17" t="n">
        <v>72474</v>
      </c>
      <c r="C30" s="17" t="n">
        <v>77869</v>
      </c>
      <c r="D30" s="17" t="n">
        <v>78346</v>
      </c>
      <c r="E30" s="17" t="n">
        <v>119361</v>
      </c>
      <c r="F30" s="17" t="n">
        <v>145841</v>
      </c>
    </row>
    <row r="31">
      <c r="A31" s="15" t="inlineStr">
        <is>
          <t>Aktiver</t>
        </is>
      </c>
      <c r="B31" s="17" t="n">
        <v>142900</v>
      </c>
      <c r="C31" s="17" t="n">
        <v>152804</v>
      </c>
      <c r="D31" s="17" t="n">
        <v>148175</v>
      </c>
      <c r="E31" s="17" t="n">
        <v>465800</v>
      </c>
      <c r="F31" s="17" t="n">
        <v>456609</v>
      </c>
    </row>
    <row r="32">
      <c r="A32" s="16" t="inlineStr">
        <is>
          <t>Selskabskapital</t>
        </is>
      </c>
      <c r="B32" s="17" t="n">
        <v>500</v>
      </c>
      <c r="C32" s="17" t="n">
        <v>500</v>
      </c>
      <c r="D32" s="17" t="n">
        <v>500</v>
      </c>
      <c r="E32" s="17" t="n">
        <v>500</v>
      </c>
      <c r="F32" s="17" t="n">
        <v>500</v>
      </c>
    </row>
    <row r="33">
      <c r="A33" s="16" t="inlineStr">
        <is>
          <t>Reserve for nettoopskrivning (indre værdis metode)</t>
        </is>
      </c>
      <c r="B33" s="17" t="n">
        <v>4237</v>
      </c>
      <c r="C33" s="17" t="n">
        <v>6937</v>
      </c>
      <c r="D33" s="17" t="n">
        <v>9347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>
        <v>7584</v>
      </c>
      <c r="C34" s="17" t="n">
        <v>8505</v>
      </c>
      <c r="D34" s="17" t="n">
        <v>8438</v>
      </c>
      <c r="E34" s="17" t="n">
        <v>0</v>
      </c>
      <c r="F34" s="17" t="n">
        <v>0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51922</v>
      </c>
      <c r="C37" s="17" t="n">
        <v>49485</v>
      </c>
      <c r="D37" s="17" t="n">
        <v>55182</v>
      </c>
      <c r="E37" s="17" t="n">
        <v>123741</v>
      </c>
      <c r="F37" s="17" t="n">
        <v>310080</v>
      </c>
    </row>
    <row r="38">
      <c r="A38" s="15" t="inlineStr">
        <is>
          <t>Egenkapital i alt</t>
        </is>
      </c>
      <c r="B38" s="17" t="n">
        <v>69243</v>
      </c>
      <c r="C38" s="17" t="n">
        <v>70427</v>
      </c>
      <c r="D38" s="17" t="n">
        <v>78467</v>
      </c>
      <c r="E38" s="17" t="n">
        <v>124241</v>
      </c>
      <c r="F38" s="17" t="n">
        <v>310580</v>
      </c>
    </row>
    <row r="39">
      <c r="A39" s="16" t="inlineStr">
        <is>
          <t>Hensættelse til udskudt skat</t>
        </is>
      </c>
      <c r="B39" s="17" t="n">
        <v>2941</v>
      </c>
      <c r="C39" s="17" t="n">
        <v>4100</v>
      </c>
      <c r="D39" s="17" t="n">
        <v>4286</v>
      </c>
      <c r="E39" s="17" t="n"/>
      <c r="F39" s="17" t="n"/>
    </row>
    <row r="40">
      <c r="A40" s="15" t="inlineStr">
        <is>
          <t>Hensatte forpligtelser</t>
        </is>
      </c>
      <c r="B40" s="17" t="n">
        <v>5600</v>
      </c>
      <c r="C40" s="17" t="n">
        <v>6759</v>
      </c>
      <c r="D40" s="17" t="n">
        <v>6945</v>
      </c>
      <c r="E40" s="17" t="n">
        <v>2878</v>
      </c>
      <c r="F40" s="17" t="n">
        <v>2878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3140</v>
      </c>
      <c r="C44" s="17" t="n">
        <v>3218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3140</v>
      </c>
      <c r="C45" s="17" t="n">
        <v>3218</v>
      </c>
      <c r="D45" s="17" t="n">
        <v>3359</v>
      </c>
      <c r="E45" s="17" t="n">
        <v>3623</v>
      </c>
      <c r="F45" s="17" t="n">
        <v>3593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1472</v>
      </c>
      <c r="C48" s="17" t="n">
        <v>23038</v>
      </c>
      <c r="D48" s="17" t="n">
        <v>1375</v>
      </c>
      <c r="E48" s="17" t="n">
        <v>164416</v>
      </c>
      <c r="F48" s="17" t="n">
        <v>66312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26090</v>
      </c>
      <c r="C50" s="17" t="n">
        <v>29395</v>
      </c>
      <c r="D50" s="17" t="n">
        <v>32075</v>
      </c>
      <c r="E50" s="17" t="n">
        <v>51485</v>
      </c>
      <c r="F50" s="17" t="n">
        <v>44096</v>
      </c>
    </row>
    <row r="51">
      <c r="A51" s="16" t="inlineStr">
        <is>
          <t>Gæld til tilknyttede virksomheder</t>
        </is>
      </c>
      <c r="B51" s="17" t="n">
        <v>21894</v>
      </c>
      <c r="C51" s="17" t="n">
        <v>11133</v>
      </c>
      <c r="D51" s="17" t="n">
        <v>10320</v>
      </c>
      <c r="E51" s="17" t="n">
        <v>0</v>
      </c>
      <c r="F51" s="17" t="n">
        <v>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>
        <v>91166</v>
      </c>
      <c r="F52" s="17" t="n">
        <v>0</v>
      </c>
    </row>
    <row r="53">
      <c r="A53" s="16" t="inlineStr">
        <is>
          <t>Selskabsskat</t>
        </is>
      </c>
      <c r="B53" s="17" t="n">
        <v>4894</v>
      </c>
      <c r="C53" s="17" t="n">
        <v>0</v>
      </c>
      <c r="D53" s="17" t="n"/>
      <c r="E53" s="17" t="n">
        <v>3678</v>
      </c>
      <c r="F53" s="17" t="n">
        <v>1846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>
        <v>2604</v>
      </c>
      <c r="E54" s="17" t="n"/>
      <c r="F54" s="17" t="n"/>
    </row>
    <row r="55">
      <c r="A55" s="16" t="inlineStr">
        <is>
          <t>Anden gæld (kortfristet)</t>
        </is>
      </c>
      <c r="B55" s="17" t="n">
        <v>10567</v>
      </c>
      <c r="C55" s="17" t="n">
        <v>8834</v>
      </c>
      <c r="D55" s="17" t="n">
        <v>13030</v>
      </c>
      <c r="E55" s="17" t="n">
        <v>24313</v>
      </c>
      <c r="F55" s="17" t="n">
        <v>27304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64917</v>
      </c>
      <c r="C57" s="17" t="n">
        <v>72400</v>
      </c>
      <c r="D57" s="17" t="n">
        <v>59404</v>
      </c>
      <c r="E57" s="17" t="n">
        <v>335058</v>
      </c>
      <c r="F57" s="17" t="n">
        <v>139558</v>
      </c>
    </row>
    <row r="58">
      <c r="A58" s="15" t="inlineStr">
        <is>
          <t>Gældsforpligtelser</t>
        </is>
      </c>
      <c r="B58" s="17" t="n">
        <v>68057</v>
      </c>
      <c r="C58" s="17" t="n">
        <v>75618</v>
      </c>
      <c r="D58" s="17" t="n">
        <v>62763</v>
      </c>
      <c r="E58" s="17" t="n">
        <v>338681</v>
      </c>
      <c r="F58" s="17" t="n">
        <v>143151</v>
      </c>
    </row>
    <row r="59">
      <c r="A59" s="15" t="inlineStr">
        <is>
          <t>Passiver</t>
        </is>
      </c>
      <c r="B59" s="17" t="n">
        <v>142900</v>
      </c>
      <c r="C59" s="17" t="n">
        <v>152804</v>
      </c>
      <c r="D59" s="17" t="n">
        <v>148175</v>
      </c>
      <c r="E59" s="17" t="n">
        <v>465800</v>
      </c>
      <c r="F59" s="17" t="n">
        <v>456609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LAKRIDS BY JOHAN BÜLOW A/S (CVR 33041586)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/>
      <c r="D2" s="17" t="n"/>
      <c r="E2" s="17" t="n">
        <v>16166</v>
      </c>
      <c r="F2" s="17" t="n">
        <v>20879</v>
      </c>
    </row>
    <row r="3">
      <c r="A3" s="16" t="inlineStr">
        <is>
          <t>Pengestrømme fra investeringsaktivitet</t>
        </is>
      </c>
      <c r="B3" s="17" t="n"/>
      <c r="C3" s="17" t="n"/>
      <c r="D3" s="17" t="n"/>
      <c r="E3" s="17" t="n">
        <v>-20986</v>
      </c>
      <c r="F3" s="17" t="n">
        <v>-8195</v>
      </c>
    </row>
    <row r="4">
      <c r="A4" s="16" t="inlineStr">
        <is>
          <t>Pengestrømme fra finansieringsaktivitet</t>
        </is>
      </c>
      <c r="B4" s="17" t="n"/>
      <c r="C4" s="17" t="n"/>
      <c r="D4" s="17" t="n"/>
      <c r="E4" s="17" t="n">
        <v>14803</v>
      </c>
      <c r="F4" s="17" t="n">
        <v>18148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LAKRIDS BY JOHAN BÜLOW A/S (CVR 33041586) — Regnskabs- og nøgletal (CVR: 33041586)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'res_raw_33041586'!$F$2</f>
        <v/>
      </c>
      <c r="C5" s="24">
        <f>'res_raw_33041586'!$E$2</f>
        <v/>
      </c>
      <c r="D5" s="24">
        <f>'res_raw_33041586'!$D$2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-'res_raw_33041586'!$F$3</f>
        <v/>
      </c>
      <c r="C6" s="24">
        <f>-'res_raw_33041586'!$E$3</f>
        <v/>
      </c>
      <c r="D6" s="24">
        <f>-'res_raw_33041586'!$D$3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IF(ABS((SUM(B5:B6))-'res_raw_33041586'!$F$4)&lt;=2,SUM(B5:B6),'res_raw_33041586'!$F$4)</f>
        <v/>
      </c>
      <c r="C7" s="27">
        <f>IF(ABS((SUM(C5:C6))-'res_raw_33041586'!$E$4)&lt;=2,SUM(C5:C6),'res_raw_33041586'!$E$4)</f>
        <v/>
      </c>
      <c r="D7" s="27">
        <f>IF(ABS((SUM(D5:D6))-'res_raw_33041586'!$D$4)&lt;=2,SUM(D5:D6),'res_raw_33041586'!$D$4)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-'res_raw_33041586'!$F$5</f>
        <v/>
      </c>
      <c r="C8" s="24">
        <f>-'res_raw_33041586'!$E$5</f>
        <v/>
      </c>
      <c r="D8" s="24">
        <f>-'res_raw_33041586'!$D$5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-'res_raw_33041586'!$F$6</f>
        <v/>
      </c>
      <c r="C9" s="24">
        <f>-'res_raw_33041586'!$E$6</f>
        <v/>
      </c>
      <c r="D9" s="24">
        <f>-'res_raw_33041586'!$D$6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-'res_raw_33041586'!$F$7</f>
        <v/>
      </c>
      <c r="C10" s="24">
        <f>-'res_raw_33041586'!$E$7</f>
        <v/>
      </c>
      <c r="D10" s="24">
        <f>-'res_raw_33041586'!$D$7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'res_raw_33041586'!$F$8</f>
        <v/>
      </c>
      <c r="C11" s="24">
        <f>'res_raw_33041586'!$E$8</f>
        <v/>
      </c>
      <c r="D11" s="24">
        <f>'res_raw_33041586'!$D$8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-'res_raw_33041586'!$F$9</f>
        <v/>
      </c>
      <c r="C12" s="27">
        <f>-'res_raw_33041586'!$E$9</f>
        <v/>
      </c>
      <c r="D12" s="27">
        <f>-'res_raw_33041586'!$D$9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IF(ABS((SUM(B7:B12))-'res_raw_33041586'!$F$10)&lt;=2,SUM(B7:B12),'res_raw_33041586'!$F$10)</f>
        <v/>
      </c>
      <c r="C13" s="30">
        <f>IF(ABS((SUM(C7:C12))-'res_raw_33041586'!$E$10)&lt;=2,SUM(C7:C12),'res_raw_33041586'!$E$10)</f>
        <v/>
      </c>
      <c r="D13" s="30">
        <f>IF(ABS((SUM(D7:D12))-'res_raw_33041586'!$D$10)&lt;=2,SUM(D7:D12),'res_raw_33041586'!$D$10)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N('res_raw_33041586'!$F$11)+N('res_raw_33041586'!$F$12)</f>
        <v/>
      </c>
      <c r="C14" s="24">
        <f>N('res_raw_33041586'!$E$11)+N('res_raw_33041586'!$E$12)</f>
        <v/>
      </c>
      <c r="D14" s="24">
        <f>N('res_raw_33041586'!$D$11)+N('res_raw_33041586'!$D$12)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-'res_raw_33041586'!$F$13</f>
        <v/>
      </c>
      <c r="C15" s="27">
        <f>-'res_raw_33041586'!$E$13</f>
        <v/>
      </c>
      <c r="D15" s="27">
        <f>-'res_raw_33041586'!$D$13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IF(ABS((SUM(B13:B15))-'res_raw_33041586'!$F$15)&lt;=2,SUM(B13:B15),'res_raw_33041586'!$F$15)</f>
        <v/>
      </c>
      <c r="C16" s="30">
        <f>IF(ABS((SUM(C13:C15))-'res_raw_33041586'!$E$15)&lt;=2,SUM(C13:C15),'res_raw_33041586'!$E$15)</f>
        <v/>
      </c>
      <c r="D16" s="30">
        <f>IF(ABS((SUM(D13:D15))-'res_raw_33041586'!$D$15)&lt;=2,SUM(D13:D15),'res_raw_33041586'!$D$15)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'balance_raw_33041586'!$F$15</f>
        <v/>
      </c>
      <c r="C19" s="24">
        <f>'balance_raw_33041586'!$E$15</f>
        <v/>
      </c>
      <c r="D19" s="24">
        <f>'balance_raw_33041586'!$D$15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'balance_raw_33041586'!$F$30</f>
        <v/>
      </c>
      <c r="C20" s="24">
        <f>'balance_raw_33041586'!$E$30</f>
        <v/>
      </c>
      <c r="D20" s="24">
        <f>'balance_raw_33041586'!$D$30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'balance_raw_33041586'!$F$38</f>
        <v/>
      </c>
      <c r="C23" s="24">
        <f>'balance_raw_33041586'!$E$38</f>
        <v/>
      </c>
      <c r="D23" s="24">
        <f>'balance_raw_33041586'!$D$38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'balance_raw_33041586'!$F$59-'balance_raw_33041586'!$F$38</f>
        <v/>
      </c>
      <c r="C24" s="24">
        <f>'balance_raw_33041586'!$E$59-'balance_raw_33041586'!$E$38</f>
        <v/>
      </c>
      <c r="D24" s="24">
        <f>'balance_raw_33041586'!$D$59-'balance_raw_33041586'!$D$38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'balance_raw_33041586'!$F$19</f>
        <v/>
      </c>
      <c r="C28" s="24">
        <f>'balance_raw_33041586'!$E$19</f>
        <v/>
      </c>
      <c r="D28" s="24">
        <f>'balance_raw_33041586'!$D$19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'balance_raw_33041586'!$F$20</f>
        <v/>
      </c>
      <c r="C29" s="24">
        <f>'balance_raw_33041586'!$E$20</f>
        <v/>
      </c>
      <c r="D29" s="24">
        <f>'balance_raw_33041586'!$D$20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'balance_raw_33041586'!$F$57</f>
        <v/>
      </c>
      <c r="C30" s="24">
        <f>'balance_raw_33041586'!$E$57</f>
        <v/>
      </c>
      <c r="D30" s="24">
        <f>'balance_raw_33041586'!$D$57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IF('balance_raw_33041586'!$F$31="","—",IF(ABS(B21-'balance_raw_33041586'!$F$31)&lt;=1,"✓ OK","❌ "&amp;TEXT(B21-'balance_raw_33041586'!$F$31,"+#,##0;-#,##0")&amp;" t.kr."))</f>
        <v/>
      </c>
      <c r="C62" s="31">
        <f>IF('balance_raw_33041586'!$E$31="","—",IF(ABS(C21-'balance_raw_33041586'!$E$31)&lt;=1,"✓ OK","❌ "&amp;TEXT(C21-'balance_raw_33041586'!$E$31,"+#,##0;-#,##0")&amp;" t.kr."))</f>
        <v/>
      </c>
      <c r="D62" s="31">
        <f>IF('balance_raw_33041586'!$D$31="","—",IF(ABS(D21-'balance_raw_33041586'!$D$31)&lt;=1,"✓ OK","❌ "&amp;TEXT(D21-'balance_raw_33041586'!$D$31,"+#,##0;-#,##0")&amp;"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IF('balance_raw_33041586'!$F$59="","—",IF(ABS(B25-'balance_raw_33041586'!$F$59)&lt;=1,"✓ OK","❌ "&amp;TEXT(B25-'balance_raw_33041586'!$F$59,"+#,##0;-#,##0")&amp;" t.kr."))</f>
        <v/>
      </c>
      <c r="C63" s="31">
        <f>IF('balance_raw_33041586'!$E$59="","—",IF(ABS(C25-'balance_raw_33041586'!$E$59)&lt;=1,"✓ OK","❌ "&amp;TEXT(C25-'balance_raw_33041586'!$E$59,"+#,##0;-#,##0")&amp;" t.kr."))</f>
        <v/>
      </c>
      <c r="D63" s="31">
        <f>IF('balance_raw_33041586'!$D$59="","—",IF(ABS(D25-'balance_raw_33041586'!$D$59)&lt;=1,"✓ OK","❌ "&amp;TEXT(D25-'balance_raw_33041586'!$D$59,"+#,##0;-#,##0")&amp;"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IF('res_raw_33041586'!$F$4="","—",IF(ABS(B7-'res_raw_33041586'!$F$4)&lt;=1,"✓ OK","❌ "&amp;TEXT(B7-'res_raw_33041586'!$F$4,"+#,##0;-#,##0")&amp;" t.kr."))</f>
        <v/>
      </c>
      <c r="C65" s="31">
        <f>IF('res_raw_33041586'!$E$4="","—",IF(ABS(C7-'res_raw_33041586'!$E$4)&lt;=1,"✓ OK","❌ "&amp;TEXT(C7-'res_raw_33041586'!$E$4,"+#,##0;-#,##0")&amp;" t.kr."))</f>
        <v/>
      </c>
      <c r="D65" s="31">
        <f>IF('res_raw_33041586'!$D$4="","—",IF(ABS(D7-'res_raw_33041586'!$D$4)&lt;=1,"✓ OK","❌ "&amp;TEXT(D7-'res_raw_33041586'!$D$4,"+#,##0;-#,##0")&amp;"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IF('res_raw_33041586'!$F$10="","—",IF(ABS(B13-'res_raw_33041586'!$F$10)&lt;=1,"✓ OK","❌ "&amp;TEXT(B13-'res_raw_33041586'!$F$10,"+#,##0;-#,##0")&amp;" t.kr."))</f>
        <v/>
      </c>
      <c r="C66" s="31">
        <f>IF('res_raw_33041586'!$E$10="","—",IF(ABS(C13-'res_raw_33041586'!$E$10)&lt;=1,"✓ OK","❌ "&amp;TEXT(C13-'res_raw_33041586'!$E$10,"+#,##0;-#,##0")&amp;" t.kr."))</f>
        <v/>
      </c>
      <c r="D66" s="31">
        <f>IF('res_raw_33041586'!$D$10="","—",IF(ABS(D13-'res_raw_33041586'!$D$10)&lt;=1,"✓ OK","❌ "&amp;TEXT(D13-'res_raw_33041586'!$D$10,"+#,##0;-#,##0")&amp;"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IF('res_raw_33041586'!$F$15="","—",IF(ABS(B16-'res_raw_33041586'!$F$15)&lt;=1,"✓ OK","❌ "&amp;TEXT(B16-'res_raw_33041586'!$F$15,"+#,##0;-#,##0")&amp;" t.kr."))</f>
        <v/>
      </c>
      <c r="C67" s="31">
        <f>IF('res_raw_33041586'!$E$15="","—",IF(ABS(C16-'res_raw_33041586'!$E$15)&lt;=1,"✓ OK","❌ "&amp;TEXT(C16-'res_raw_33041586'!$E$15,"+#,##0;-#,##0")&amp;" t.kr."))</f>
        <v/>
      </c>
      <c r="D67" s="31">
        <f>IF('res_raw_33041586'!$D$15="","—",IF(ABS(D16-'res_raw_33041586'!$D$15)&lt;=1,"✓ OK","❌ "&amp;TEXT(D16-'res_raw_33041586'!$D$15,"+#,##0;-#,##0")&amp;"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LAKRIDS BY JOHAN BÜLOW A/S (CVR 33041586)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fsa:ContributionFromGroup</t>
        </is>
      </c>
      <c r="C3" s="36" t="inlineStr">
        <is>
          <t>fsa:ContributionFromGroup</t>
        </is>
      </c>
      <c r="D3" s="37" t="n"/>
      <c r="E3" s="37" t="n"/>
      <c r="F3" s="37" t="n"/>
      <c r="G3" s="37" t="n"/>
      <c r="H3" s="37" t="n">
        <v>129760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fsa:DepreciationOfEquity</t>
        </is>
      </c>
      <c r="C4" s="39" t="inlineStr">
        <is>
          <t>fsa:DepreciationOfEquity</t>
        </is>
      </c>
      <c r="D4" s="40" t="n"/>
      <c r="E4" s="40" t="n"/>
      <c r="F4" s="40" t="n"/>
      <c r="G4" s="40" t="n"/>
      <c r="H4" s="40" t="n">
        <v>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fsa:ExchangeRateAdjustmentsOtherFinanceExpenses</t>
        </is>
      </c>
      <c r="C5" s="36" t="inlineStr">
        <is>
          <t>fsa:ExchangeRateAdjustmentsOtherFinanceExpenses</t>
        </is>
      </c>
      <c r="D5" s="37" t="n">
        <v>0</v>
      </c>
      <c r="E5" s="37" t="n"/>
      <c r="F5" s="37" t="n">
        <v>836</v>
      </c>
      <c r="G5" s="37" t="n">
        <v>738</v>
      </c>
      <c r="H5" s="37" t="n">
        <v>3110</v>
      </c>
      <c r="I5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2026-10-02T21:57:16Z</dcterms:created>
  <dcterms:modified xmlns:dcterms="http://purl.org/dc/terms/" xmlns:xsi="http://www.w3.org/2001/XMLSchema-instance" xsi:type="dcterms:W3CDTF">2026-10-02T21:57:16Z</dcterms:modified>
</cp:coreProperties>
</file>