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118311" sheetId="1" state="visible" r:id="rId1"/>
    <sheet xmlns:r="http://schemas.openxmlformats.org/officeDocument/2006/relationships" name="res_raw_37118311" sheetId="2" state="visible" r:id="rId2"/>
    <sheet xmlns:r="http://schemas.openxmlformats.org/officeDocument/2006/relationships" name="balance_raw_37118311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A/S Bryggeriet Vestfyen (CVR 37118311)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'res_raw_37118311'!$B$2</f>
        <v/>
      </c>
      <c r="C4" s="5">
        <f>'res_raw_37118311'!$C$2</f>
        <v/>
      </c>
      <c r="D4" s="5">
        <f>'res_raw_37118311'!$D$2</f>
        <v/>
      </c>
      <c r="E4" s="5">
        <f>'res_raw_37118311'!$E$2</f>
        <v/>
      </c>
      <c r="F4" s="5">
        <f>'res_raw_37118311'!$F$2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'res_raw_37118311'!$B$3</f>
        <v/>
      </c>
      <c r="C5" s="8">
        <f>'res_raw_37118311'!$C$3</f>
        <v/>
      </c>
      <c r="D5" s="8">
        <f>'res_raw_37118311'!$D$3</f>
        <v/>
      </c>
      <c r="E5" s="8">
        <f>'res_raw_37118311'!$E$3</f>
        <v/>
      </c>
      <c r="F5" s="8">
        <f>'res_raw_37118311'!$F$3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'res_raw_37118311'!$B$4</f>
        <v/>
      </c>
      <c r="C6" s="8">
        <f>'res_raw_37118311'!$C$4</f>
        <v/>
      </c>
      <c r="D6" s="8">
        <f>'res_raw_37118311'!$D$4</f>
        <v/>
      </c>
      <c r="E6" s="8">
        <f>'res_raw_37118311'!$E$4</f>
        <v/>
      </c>
      <c r="F6" s="8">
        <f>'res_raw_37118311'!$F$4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'res_raw_37118311'!$B$5</f>
        <v/>
      </c>
      <c r="C7" s="11">
        <f>'res_raw_37118311'!$C$5</f>
        <v/>
      </c>
      <c r="D7" s="11">
        <f>'res_raw_37118311'!$D$5</f>
        <v/>
      </c>
      <c r="E7" s="11">
        <f>'res_raw_37118311'!$E$5</f>
        <v/>
      </c>
      <c r="F7" s="11">
        <f>'res_raw_37118311'!$F$5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'res_raw_37118311'!$B$6</f>
        <v/>
      </c>
      <c r="C8" s="8">
        <f>'res_raw_37118311'!$C$6</f>
        <v/>
      </c>
      <c r="D8" s="8">
        <f>'res_raw_37118311'!$D$6</f>
        <v/>
      </c>
      <c r="E8" s="8">
        <f>'res_raw_37118311'!$E$6</f>
        <v/>
      </c>
      <c r="F8" s="8">
        <f>'res_raw_37118311'!$F$6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'res_raw_37118311'!$B$7</f>
        <v/>
      </c>
      <c r="C9" s="8">
        <f>'res_raw_37118311'!$C$7</f>
        <v/>
      </c>
      <c r="D9" s="8">
        <f>'res_raw_37118311'!$D$7</f>
        <v/>
      </c>
      <c r="E9" s="8">
        <f>'res_raw_37118311'!$E$7</f>
        <v/>
      </c>
      <c r="F9" s="8">
        <f>'res_raw_37118311'!$F$7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'res_raw_37118311'!$B$8</f>
        <v/>
      </c>
      <c r="C10" s="5">
        <f>'res_raw_37118311'!$C$8</f>
        <v/>
      </c>
      <c r="D10" s="5">
        <f>'res_raw_37118311'!$D$8</f>
        <v/>
      </c>
      <c r="E10" s="5">
        <f>'res_raw_37118311'!$E$8</f>
        <v/>
      </c>
      <c r="F10" s="5">
        <f>'res_raw_37118311'!$F$8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'res_raw_37118311'!$B$9</f>
        <v/>
      </c>
      <c r="C11" s="11">
        <f>'res_raw_37118311'!$C$9</f>
        <v/>
      </c>
      <c r="D11" s="11">
        <f>'res_raw_37118311'!$D$9</f>
        <v/>
      </c>
      <c r="E11" s="11">
        <f>'res_raw_37118311'!$E$9</f>
        <v/>
      </c>
      <c r="F11" s="11">
        <f>'res_raw_37118311'!$F$9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'res_raw_37118311'!$B$10</f>
        <v/>
      </c>
      <c r="C12" s="8">
        <f>'res_raw_37118311'!$C$10</f>
        <v/>
      </c>
      <c r="D12" s="8">
        <f>'res_raw_37118311'!$D$10</f>
        <v/>
      </c>
      <c r="E12" s="8">
        <f>'res_raw_37118311'!$E$10</f>
        <v/>
      </c>
      <c r="F12" s="8">
        <f>'res_raw_37118311'!$F$10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'res_raw_37118311'!$B$11</f>
        <v/>
      </c>
      <c r="C13" s="11">
        <f>'res_raw_37118311'!$C$11</f>
        <v/>
      </c>
      <c r="D13" s="11">
        <f>'res_raw_37118311'!$D$11</f>
        <v/>
      </c>
      <c r="E13" s="11">
        <f>'res_raw_37118311'!$E$11</f>
        <v/>
      </c>
      <c r="F13" s="11">
        <f>'res_raw_37118311'!$F$11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'res_raw_37118311'!$B$12</f>
        <v/>
      </c>
      <c r="C14" s="5">
        <f>'res_raw_37118311'!$C$12</f>
        <v/>
      </c>
      <c r="D14" s="5">
        <f>'res_raw_37118311'!$D$12</f>
        <v/>
      </c>
      <c r="E14" s="5">
        <f>'res_raw_37118311'!$E$12</f>
        <v/>
      </c>
      <c r="F14" s="5">
        <f>'res_raw_37118311'!$F$12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'res_raw_37118311'!$B$13</f>
        <v/>
      </c>
      <c r="C15" s="11">
        <f>'res_raw_37118311'!$C$13</f>
        <v/>
      </c>
      <c r="D15" s="11">
        <f>'res_raw_37118311'!$D$13</f>
        <v/>
      </c>
      <c r="E15" s="11">
        <f>'res_raw_37118311'!$E$13</f>
        <v/>
      </c>
      <c r="F15" s="11">
        <f>'res_raw_37118311'!$F$13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'res_raw_37118311'!$B$14</f>
        <v/>
      </c>
      <c r="C16" s="8">
        <f>'res_raw_37118311'!$C$14</f>
        <v/>
      </c>
      <c r="D16" s="8">
        <f>'res_raw_37118311'!$D$14</f>
        <v/>
      </c>
      <c r="E16" s="8">
        <f>'res_raw_37118311'!$E$14</f>
        <v/>
      </c>
      <c r="F16" s="8">
        <f>'res_raw_37118311'!$F$14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'res_raw_37118311'!$B$15</f>
        <v/>
      </c>
      <c r="C17" s="8">
        <f>'res_raw_37118311'!$C$15</f>
        <v/>
      </c>
      <c r="D17" s="8">
        <f>'res_raw_37118311'!$D$15</f>
        <v/>
      </c>
      <c r="E17" s="8">
        <f>'res_raw_37118311'!$E$15</f>
        <v/>
      </c>
      <c r="F17" s="8">
        <f>'res_raw_37118311'!$F$15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'res_raw_37118311'!$B$16</f>
        <v/>
      </c>
      <c r="C18" s="5">
        <f>'res_raw_37118311'!$C$16</f>
        <v/>
      </c>
      <c r="D18" s="5">
        <f>'res_raw_37118311'!$D$16</f>
        <v/>
      </c>
      <c r="E18" s="5">
        <f>'res_raw_37118311'!$E$16</f>
        <v/>
      </c>
      <c r="F18" s="5">
        <f>'res_raw_37118311'!$F$16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'res_raw_37118311'!$B$17</f>
        <v/>
      </c>
      <c r="C19" s="8">
        <f>'res_raw_37118311'!$C$17</f>
        <v/>
      </c>
      <c r="D19" s="8">
        <f>'res_raw_37118311'!$D$17</f>
        <v/>
      </c>
      <c r="E19" s="8">
        <f>'res_raw_37118311'!$E$17</f>
        <v/>
      </c>
      <c r="F19" s="8">
        <f>'res_raw_37118311'!$F$17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Grunde og bygninger</t>
        </is>
      </c>
      <c r="B22" s="5">
        <f>'balance_raw_37118311'!$B$2</f>
        <v/>
      </c>
      <c r="C22" s="5">
        <f>'balance_raw_37118311'!$C$2</f>
        <v/>
      </c>
      <c r="D22" s="5">
        <f>'balance_raw_37118311'!$D$2</f>
        <v/>
      </c>
      <c r="E22" s="5">
        <f>'balance_raw_37118311'!$E$2</f>
        <v/>
      </c>
      <c r="F22" s="5">
        <f>'balance_raw_37118311'!$F$2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'balance_raw_37118311'!$B$3</f>
        <v/>
      </c>
      <c r="C23" s="11">
        <f>'balance_raw_37118311'!$C$3</f>
        <v/>
      </c>
      <c r="D23" s="11">
        <f>'balance_raw_37118311'!$D$3</f>
        <v/>
      </c>
      <c r="E23" s="11">
        <f>'balance_raw_37118311'!$E$3</f>
        <v/>
      </c>
      <c r="F23" s="11">
        <f>'balance_raw_37118311'!$F$3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'balance_raw_37118311'!$B$4</f>
        <v/>
      </c>
      <c r="C24" s="5">
        <f>'balance_raw_37118311'!$C$4</f>
        <v/>
      </c>
      <c r="D24" s="5">
        <f>'balance_raw_37118311'!$D$4</f>
        <v/>
      </c>
      <c r="E24" s="5">
        <f>'balance_raw_37118311'!$E$4</f>
        <v/>
      </c>
      <c r="F24" s="5">
        <f>'balance_raw_37118311'!$F$4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'balance_raw_37118311'!$B$5</f>
        <v/>
      </c>
      <c r="C25" s="11">
        <f>'balance_raw_37118311'!$C$5</f>
        <v/>
      </c>
      <c r="D25" s="11">
        <f>'balance_raw_37118311'!$D$5</f>
        <v/>
      </c>
      <c r="E25" s="11">
        <f>'balance_raw_37118311'!$E$5</f>
        <v/>
      </c>
      <c r="F25" s="11">
        <f>'balance_raw_37118311'!$F$5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'balance_raw_37118311'!$B$6</f>
        <v/>
      </c>
      <c r="C26" s="5">
        <f>'balance_raw_37118311'!$C$6</f>
        <v/>
      </c>
      <c r="D26" s="5">
        <f>'balance_raw_37118311'!$D$6</f>
        <v/>
      </c>
      <c r="E26" s="5">
        <f>'balance_raw_37118311'!$E$6</f>
        <v/>
      </c>
      <c r="F26" s="5">
        <f>'balance_raw_37118311'!$F$6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'balance_raw_37118311'!$B$7</f>
        <v/>
      </c>
      <c r="C27" s="8">
        <f>'balance_raw_37118311'!$C$7</f>
        <v/>
      </c>
      <c r="D27" s="8">
        <f>'balance_raw_37118311'!$D$7</f>
        <v/>
      </c>
      <c r="E27" s="8">
        <f>'balance_raw_37118311'!$E$7</f>
        <v/>
      </c>
      <c r="F27" s="8">
        <f>'balance_raw_37118311'!$F$7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'balance_raw_37118311'!$B$8</f>
        <v/>
      </c>
      <c r="C28" s="5">
        <f>'balance_raw_37118311'!$C$8</f>
        <v/>
      </c>
      <c r="D28" s="5">
        <f>'balance_raw_37118311'!$D$8</f>
        <v/>
      </c>
      <c r="E28" s="5">
        <f>'balance_raw_37118311'!$E$8</f>
        <v/>
      </c>
      <c r="F28" s="5">
        <f>'balance_raw_37118311'!$F$8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'balance_raw_37118311'!$B$9</f>
        <v/>
      </c>
      <c r="C29" s="11">
        <f>'balance_raw_37118311'!$C$9</f>
        <v/>
      </c>
      <c r="D29" s="11">
        <f>'balance_raw_37118311'!$D$9</f>
        <v/>
      </c>
      <c r="E29" s="11">
        <f>'balance_raw_37118311'!$E$9</f>
        <v/>
      </c>
      <c r="F29" s="11">
        <f>'balance_raw_37118311'!$F$9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'balance_raw_37118311'!$B$10</f>
        <v/>
      </c>
      <c r="C30" s="8">
        <f>'balance_raw_37118311'!$C$10</f>
        <v/>
      </c>
      <c r="D30" s="8">
        <f>'balance_raw_37118311'!$D$10</f>
        <v/>
      </c>
      <c r="E30" s="8">
        <f>'balance_raw_37118311'!$E$10</f>
        <v/>
      </c>
      <c r="F30" s="8">
        <f>'balance_raw_37118311'!$F$10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'balance_raw_37118311'!$B$11</f>
        <v/>
      </c>
      <c r="C31" s="8">
        <f>'balance_raw_37118311'!$C$11</f>
        <v/>
      </c>
      <c r="D31" s="8">
        <f>'balance_raw_37118311'!$D$11</f>
        <v/>
      </c>
      <c r="E31" s="8">
        <f>'balance_raw_37118311'!$E$11</f>
        <v/>
      </c>
      <c r="F31" s="8">
        <f>'balance_raw_37118311'!$F$11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Råvarer og hjælpematerialer</t>
        </is>
      </c>
      <c r="B32" s="5">
        <f>'balance_raw_37118311'!$B$12</f>
        <v/>
      </c>
      <c r="C32" s="5">
        <f>'balance_raw_37118311'!$C$12</f>
        <v/>
      </c>
      <c r="D32" s="5">
        <f>'balance_raw_37118311'!$D$12</f>
        <v/>
      </c>
      <c r="E32" s="5">
        <f>'balance_raw_37118311'!$E$12</f>
        <v/>
      </c>
      <c r="F32" s="5">
        <f>'balance_raw_37118311'!$F$12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Varer under fremstilling</t>
        </is>
      </c>
      <c r="B33" s="11">
        <f>'balance_raw_37118311'!$B$13</f>
        <v/>
      </c>
      <c r="C33" s="11">
        <f>'balance_raw_37118311'!$C$13</f>
        <v/>
      </c>
      <c r="D33" s="11">
        <f>'balance_raw_37118311'!$D$13</f>
        <v/>
      </c>
      <c r="E33" s="11">
        <f>'balance_raw_37118311'!$E$13</f>
        <v/>
      </c>
      <c r="F33" s="11">
        <f>'balance_raw_37118311'!$F$13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Færdigvarer og handelsvarer</t>
        </is>
      </c>
      <c r="B34" s="5">
        <f>'balance_raw_37118311'!$B$14</f>
        <v/>
      </c>
      <c r="C34" s="5">
        <f>'balance_raw_37118311'!$C$14</f>
        <v/>
      </c>
      <c r="D34" s="5">
        <f>'balance_raw_37118311'!$D$14</f>
        <v/>
      </c>
      <c r="E34" s="5">
        <f>'balance_raw_37118311'!$E$14</f>
        <v/>
      </c>
      <c r="F34" s="5">
        <f>'balance_raw_37118311'!$F$14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Varebeholdninger</t>
        </is>
      </c>
      <c r="B35" s="8">
        <f>'balance_raw_37118311'!$B$15</f>
        <v/>
      </c>
      <c r="C35" s="8">
        <f>'balance_raw_37118311'!$C$15</f>
        <v/>
      </c>
      <c r="D35" s="8">
        <f>'balance_raw_37118311'!$D$15</f>
        <v/>
      </c>
      <c r="E35" s="8">
        <f>'balance_raw_37118311'!$E$15</f>
        <v/>
      </c>
      <c r="F35" s="8">
        <f>'balance_raw_37118311'!$F$15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'balance_raw_37118311'!$B$16</f>
        <v/>
      </c>
      <c r="C36" s="5">
        <f>'balance_raw_37118311'!$C$16</f>
        <v/>
      </c>
      <c r="D36" s="5">
        <f>'balance_raw_37118311'!$D$16</f>
        <v/>
      </c>
      <c r="E36" s="5">
        <f>'balance_raw_37118311'!$E$16</f>
        <v/>
      </c>
      <c r="F36" s="5">
        <f>'balance_raw_37118311'!$F$16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'balance_raw_37118311'!$B$17</f>
        <v/>
      </c>
      <c r="C37" s="11">
        <f>'balance_raw_37118311'!$C$17</f>
        <v/>
      </c>
      <c r="D37" s="11">
        <f>'balance_raw_37118311'!$D$17</f>
        <v/>
      </c>
      <c r="E37" s="11">
        <f>'balance_raw_37118311'!$E$17</f>
        <v/>
      </c>
      <c r="F37" s="11">
        <f>'balance_raw_37118311'!$F$17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'balance_raw_37118311'!$B$18</f>
        <v/>
      </c>
      <c r="C38" s="5">
        <f>'balance_raw_37118311'!$C$18</f>
        <v/>
      </c>
      <c r="D38" s="5">
        <f>'balance_raw_37118311'!$D$18</f>
        <v/>
      </c>
      <c r="E38" s="5">
        <f>'balance_raw_37118311'!$E$18</f>
        <v/>
      </c>
      <c r="F38" s="5">
        <f>'balance_raw_37118311'!$F$18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'balance_raw_37118311'!$B$19</f>
        <v/>
      </c>
      <c r="C39" s="11">
        <f>'balance_raw_37118311'!$C$19</f>
        <v/>
      </c>
      <c r="D39" s="11">
        <f>'balance_raw_37118311'!$D$19</f>
        <v/>
      </c>
      <c r="E39" s="11">
        <f>'balance_raw_37118311'!$E$19</f>
        <v/>
      </c>
      <c r="F39" s="11">
        <f>'balance_raw_37118311'!$F$19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'balance_raw_37118311'!$B$20</f>
        <v/>
      </c>
      <c r="C40" s="5">
        <f>'balance_raw_37118311'!$C$20</f>
        <v/>
      </c>
      <c r="D40" s="5">
        <f>'balance_raw_37118311'!$D$20</f>
        <v/>
      </c>
      <c r="E40" s="5">
        <f>'balance_raw_37118311'!$E$20</f>
        <v/>
      </c>
      <c r="F40" s="5">
        <f>'balance_raw_37118311'!$F$20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'balance_raw_37118311'!$B$21</f>
        <v/>
      </c>
      <c r="C41" s="11">
        <f>'balance_raw_37118311'!$C$21</f>
        <v/>
      </c>
      <c r="D41" s="11">
        <f>'balance_raw_37118311'!$D$21</f>
        <v/>
      </c>
      <c r="E41" s="11">
        <f>'balance_raw_37118311'!$E$21</f>
        <v/>
      </c>
      <c r="F41" s="11">
        <f>'balance_raw_37118311'!$F$21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'balance_raw_37118311'!$B$22</f>
        <v/>
      </c>
      <c r="C42" s="5">
        <f>'balance_raw_37118311'!$C$22</f>
        <v/>
      </c>
      <c r="D42" s="5">
        <f>'balance_raw_37118311'!$D$22</f>
        <v/>
      </c>
      <c r="E42" s="5">
        <f>'balance_raw_37118311'!$E$22</f>
        <v/>
      </c>
      <c r="F42" s="5">
        <f>'balance_raw_37118311'!$F$22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'balance_raw_37118311'!$B$23</f>
        <v/>
      </c>
      <c r="C43" s="8">
        <f>'balance_raw_37118311'!$C$23</f>
        <v/>
      </c>
      <c r="D43" s="8">
        <f>'balance_raw_37118311'!$D$23</f>
        <v/>
      </c>
      <c r="E43" s="8">
        <f>'balance_raw_37118311'!$E$23</f>
        <v/>
      </c>
      <c r="F43" s="8">
        <f>'balance_raw_37118311'!$F$23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'balance_raw_37118311'!$B$24</f>
        <v/>
      </c>
      <c r="C44" s="5">
        <f>'balance_raw_37118311'!$C$24</f>
        <v/>
      </c>
      <c r="D44" s="5">
        <f>'balance_raw_37118311'!$D$24</f>
        <v/>
      </c>
      <c r="E44" s="5">
        <f>'balance_raw_37118311'!$E$24</f>
        <v/>
      </c>
      <c r="F44" s="5">
        <f>'balance_raw_37118311'!$F$24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'balance_raw_37118311'!$B$25</f>
        <v/>
      </c>
      <c r="C45" s="11">
        <f>'balance_raw_37118311'!$C$25</f>
        <v/>
      </c>
      <c r="D45" s="11">
        <f>'balance_raw_37118311'!$D$25</f>
        <v/>
      </c>
      <c r="E45" s="11">
        <f>'balance_raw_37118311'!$E$25</f>
        <v/>
      </c>
      <c r="F45" s="11">
        <f>'balance_raw_37118311'!$F$25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'balance_raw_37118311'!$B$26</f>
        <v/>
      </c>
      <c r="C46" s="8">
        <f>'balance_raw_37118311'!$C$26</f>
        <v/>
      </c>
      <c r="D46" s="8">
        <f>'balance_raw_37118311'!$D$26</f>
        <v/>
      </c>
      <c r="E46" s="8">
        <f>'balance_raw_37118311'!$E$26</f>
        <v/>
      </c>
      <c r="F46" s="8">
        <f>'balance_raw_37118311'!$F$26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'balance_raw_37118311'!$B$27</f>
        <v/>
      </c>
      <c r="C47" s="8">
        <f>'balance_raw_37118311'!$C$27</f>
        <v/>
      </c>
      <c r="D47" s="8">
        <f>'balance_raw_37118311'!$D$27</f>
        <v/>
      </c>
      <c r="E47" s="8">
        <f>'balance_raw_37118311'!$E$27</f>
        <v/>
      </c>
      <c r="F47" s="8">
        <f>'balance_raw_37118311'!$F$27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'balance_raw_37118311'!$B$28</f>
        <v/>
      </c>
      <c r="C50" s="5">
        <f>'balance_raw_37118311'!$C$28</f>
        <v/>
      </c>
      <c r="D50" s="5">
        <f>'balance_raw_37118311'!$D$28</f>
        <v/>
      </c>
      <c r="E50" s="5">
        <f>'balance_raw_37118311'!$E$28</f>
        <v/>
      </c>
      <c r="F50" s="5">
        <f>'balance_raw_37118311'!$F$28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'balance_raw_37118311'!$B$29</f>
        <v/>
      </c>
      <c r="C51" s="11">
        <f>'balance_raw_37118311'!$C$29</f>
        <v/>
      </c>
      <c r="D51" s="11">
        <f>'balance_raw_37118311'!$D$29</f>
        <v/>
      </c>
      <c r="E51" s="11">
        <f>'balance_raw_37118311'!$E$29</f>
        <v/>
      </c>
      <c r="F51" s="11">
        <f>'balance_raw_37118311'!$F$29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'balance_raw_37118311'!$B$30</f>
        <v/>
      </c>
      <c r="C52" s="5">
        <f>'balance_raw_37118311'!$C$30</f>
        <v/>
      </c>
      <c r="D52" s="5">
        <f>'balance_raw_37118311'!$D$30</f>
        <v/>
      </c>
      <c r="E52" s="5">
        <f>'balance_raw_37118311'!$E$30</f>
        <v/>
      </c>
      <c r="F52" s="5">
        <f>'balance_raw_37118311'!$F$30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'balance_raw_37118311'!$B$31</f>
        <v/>
      </c>
      <c r="C53" s="11">
        <f>'balance_raw_37118311'!$C$31</f>
        <v/>
      </c>
      <c r="D53" s="11">
        <f>'balance_raw_37118311'!$D$31</f>
        <v/>
      </c>
      <c r="E53" s="11">
        <f>'balance_raw_37118311'!$E$31</f>
        <v/>
      </c>
      <c r="F53" s="11">
        <f>'balance_raw_37118311'!$F$31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'balance_raw_37118311'!$B$32</f>
        <v/>
      </c>
      <c r="C54" s="5">
        <f>'balance_raw_37118311'!$C$32</f>
        <v/>
      </c>
      <c r="D54" s="5">
        <f>'balance_raw_37118311'!$D$32</f>
        <v/>
      </c>
      <c r="E54" s="5">
        <f>'balance_raw_37118311'!$E$32</f>
        <v/>
      </c>
      <c r="F54" s="5">
        <f>'balance_raw_37118311'!$F$32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'balance_raw_37118311'!$B$33</f>
        <v/>
      </c>
      <c r="C55" s="11">
        <f>'balance_raw_37118311'!$C$33</f>
        <v/>
      </c>
      <c r="D55" s="11">
        <f>'balance_raw_37118311'!$D$33</f>
        <v/>
      </c>
      <c r="E55" s="11">
        <f>'balance_raw_37118311'!$E$33</f>
        <v/>
      </c>
      <c r="F55" s="11">
        <f>'balance_raw_37118311'!$F$33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'balance_raw_37118311'!$B$34</f>
        <v/>
      </c>
      <c r="C56" s="8">
        <f>'balance_raw_37118311'!$C$34</f>
        <v/>
      </c>
      <c r="D56" s="8">
        <f>'balance_raw_37118311'!$D$34</f>
        <v/>
      </c>
      <c r="E56" s="8">
        <f>'balance_raw_37118311'!$E$34</f>
        <v/>
      </c>
      <c r="F56" s="8">
        <f>'balance_raw_37118311'!$F$34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'balance_raw_37118311'!$B$35</f>
        <v/>
      </c>
      <c r="C57" s="11">
        <f>'balance_raw_37118311'!$C$35</f>
        <v/>
      </c>
      <c r="D57" s="11">
        <f>'balance_raw_37118311'!$D$35</f>
        <v/>
      </c>
      <c r="E57" s="11">
        <f>'balance_raw_37118311'!$E$35</f>
        <v/>
      </c>
      <c r="F57" s="11">
        <f>'balance_raw_37118311'!$F$35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'balance_raw_37118311'!$B$36</f>
        <v/>
      </c>
      <c r="C58" s="8">
        <f>'balance_raw_37118311'!$C$36</f>
        <v/>
      </c>
      <c r="D58" s="8">
        <f>'balance_raw_37118311'!$D$36</f>
        <v/>
      </c>
      <c r="E58" s="8">
        <f>'balance_raw_37118311'!$E$36</f>
        <v/>
      </c>
      <c r="F58" s="8">
        <f>'balance_raw_37118311'!$F$36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'balance_raw_37118311'!$B$37</f>
        <v/>
      </c>
      <c r="C59" s="11">
        <f>'balance_raw_37118311'!$C$37</f>
        <v/>
      </c>
      <c r="D59" s="11">
        <f>'balance_raw_37118311'!$D$37</f>
        <v/>
      </c>
      <c r="E59" s="11">
        <f>'balance_raw_37118311'!$E$37</f>
        <v/>
      </c>
      <c r="F59" s="11">
        <f>'balance_raw_37118311'!$F$37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'balance_raw_37118311'!$B$38</f>
        <v/>
      </c>
      <c r="C60" s="5">
        <f>'balance_raw_37118311'!$C$38</f>
        <v/>
      </c>
      <c r="D60" s="5">
        <f>'balance_raw_37118311'!$D$38</f>
        <v/>
      </c>
      <c r="E60" s="5">
        <f>'balance_raw_37118311'!$E$38</f>
        <v/>
      </c>
      <c r="F60" s="5">
        <f>'balance_raw_37118311'!$F$38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'balance_raw_37118311'!$B$39</f>
        <v/>
      </c>
      <c r="C61" s="11">
        <f>'balance_raw_37118311'!$C$39</f>
        <v/>
      </c>
      <c r="D61" s="11">
        <f>'balance_raw_37118311'!$D$39</f>
        <v/>
      </c>
      <c r="E61" s="11">
        <f>'balance_raw_37118311'!$E$39</f>
        <v/>
      </c>
      <c r="F61" s="11">
        <f>'balance_raw_37118311'!$F$39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'balance_raw_37118311'!$B$40</f>
        <v/>
      </c>
      <c r="C62" s="5">
        <f>'balance_raw_37118311'!$C$40</f>
        <v/>
      </c>
      <c r="D62" s="5">
        <f>'balance_raw_37118311'!$D$40</f>
        <v/>
      </c>
      <c r="E62" s="5">
        <f>'balance_raw_37118311'!$E$40</f>
        <v/>
      </c>
      <c r="F62" s="5">
        <f>'balance_raw_37118311'!$F$40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'balance_raw_37118311'!$B$41</f>
        <v/>
      </c>
      <c r="C63" s="8">
        <f>'balance_raw_37118311'!$C$41</f>
        <v/>
      </c>
      <c r="D63" s="8">
        <f>'balance_raw_37118311'!$D$41</f>
        <v/>
      </c>
      <c r="E63" s="8">
        <f>'balance_raw_37118311'!$E$41</f>
        <v/>
      </c>
      <c r="F63" s="8">
        <f>'balance_raw_37118311'!$F$41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'balance_raw_37118311'!$B$42</f>
        <v/>
      </c>
      <c r="C64" s="5">
        <f>'balance_raw_37118311'!$C$42</f>
        <v/>
      </c>
      <c r="D64" s="5">
        <f>'balance_raw_37118311'!$D$42</f>
        <v/>
      </c>
      <c r="E64" s="5">
        <f>'balance_raw_37118311'!$E$42</f>
        <v/>
      </c>
      <c r="F64" s="5">
        <f>'balance_raw_37118311'!$F$42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'balance_raw_37118311'!$B$43</f>
        <v/>
      </c>
      <c r="C65" s="11">
        <f>'balance_raw_37118311'!$C$43</f>
        <v/>
      </c>
      <c r="D65" s="11">
        <f>'balance_raw_37118311'!$D$43</f>
        <v/>
      </c>
      <c r="E65" s="11">
        <f>'balance_raw_37118311'!$E$43</f>
        <v/>
      </c>
      <c r="F65" s="11">
        <f>'balance_raw_37118311'!$F$43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'balance_raw_37118311'!$B$44</f>
        <v/>
      </c>
      <c r="C66" s="5">
        <f>'balance_raw_37118311'!$C$44</f>
        <v/>
      </c>
      <c r="D66" s="5">
        <f>'balance_raw_37118311'!$D$44</f>
        <v/>
      </c>
      <c r="E66" s="5">
        <f>'balance_raw_37118311'!$E$44</f>
        <v/>
      </c>
      <c r="F66" s="5">
        <f>'balance_raw_37118311'!$F$44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'balance_raw_37118311'!$B$45</f>
        <v/>
      </c>
      <c r="C67" s="11">
        <f>'balance_raw_37118311'!$C$45</f>
        <v/>
      </c>
      <c r="D67" s="11">
        <f>'balance_raw_37118311'!$D$45</f>
        <v/>
      </c>
      <c r="E67" s="11">
        <f>'balance_raw_37118311'!$E$45</f>
        <v/>
      </c>
      <c r="F67" s="11">
        <f>'balance_raw_37118311'!$F$45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'balance_raw_37118311'!$B$46</f>
        <v/>
      </c>
      <c r="C68" s="5">
        <f>'balance_raw_37118311'!$C$46</f>
        <v/>
      </c>
      <c r="D68" s="5">
        <f>'balance_raw_37118311'!$D$46</f>
        <v/>
      </c>
      <c r="E68" s="5">
        <f>'balance_raw_37118311'!$E$46</f>
        <v/>
      </c>
      <c r="F68" s="5">
        <f>'balance_raw_37118311'!$F$46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'balance_raw_37118311'!$B$47</f>
        <v/>
      </c>
      <c r="C69" s="11">
        <f>'balance_raw_37118311'!$C$47</f>
        <v/>
      </c>
      <c r="D69" s="11">
        <f>'balance_raw_37118311'!$D$47</f>
        <v/>
      </c>
      <c r="E69" s="11">
        <f>'balance_raw_37118311'!$E$47</f>
        <v/>
      </c>
      <c r="F69" s="11">
        <f>'balance_raw_37118311'!$F$47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'balance_raw_37118311'!$B$48</f>
        <v/>
      </c>
      <c r="C70" s="5">
        <f>'balance_raw_37118311'!$C$48</f>
        <v/>
      </c>
      <c r="D70" s="5">
        <f>'balance_raw_37118311'!$D$48</f>
        <v/>
      </c>
      <c r="E70" s="5">
        <f>'balance_raw_37118311'!$E$48</f>
        <v/>
      </c>
      <c r="F70" s="5">
        <f>'balance_raw_37118311'!$F$48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'balance_raw_37118311'!$B$49</f>
        <v/>
      </c>
      <c r="C71" s="11">
        <f>'balance_raw_37118311'!$C$49</f>
        <v/>
      </c>
      <c r="D71" s="11">
        <f>'balance_raw_37118311'!$D$49</f>
        <v/>
      </c>
      <c r="E71" s="11">
        <f>'balance_raw_37118311'!$E$49</f>
        <v/>
      </c>
      <c r="F71" s="11">
        <f>'balance_raw_37118311'!$F$49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'balance_raw_37118311'!$B$50</f>
        <v/>
      </c>
      <c r="C72" s="5">
        <f>'balance_raw_37118311'!$C$50</f>
        <v/>
      </c>
      <c r="D72" s="5">
        <f>'balance_raw_37118311'!$D$50</f>
        <v/>
      </c>
      <c r="E72" s="5">
        <f>'balance_raw_37118311'!$E$50</f>
        <v/>
      </c>
      <c r="F72" s="5">
        <f>'balance_raw_37118311'!$F$50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'balance_raw_37118311'!$B$51</f>
        <v/>
      </c>
      <c r="C73" s="11">
        <f>'balance_raw_37118311'!$C$51</f>
        <v/>
      </c>
      <c r="D73" s="11">
        <f>'balance_raw_37118311'!$D$51</f>
        <v/>
      </c>
      <c r="E73" s="11">
        <f>'balance_raw_37118311'!$E$51</f>
        <v/>
      </c>
      <c r="F73" s="11">
        <f>'balance_raw_37118311'!$F$51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'balance_raw_37118311'!$B$52</f>
        <v/>
      </c>
      <c r="C74" s="5">
        <f>'balance_raw_37118311'!$C$52</f>
        <v/>
      </c>
      <c r="D74" s="5">
        <f>'balance_raw_37118311'!$D$52</f>
        <v/>
      </c>
      <c r="E74" s="5">
        <f>'balance_raw_37118311'!$E$52</f>
        <v/>
      </c>
      <c r="F74" s="5">
        <f>'balance_raw_37118311'!$F$52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'balance_raw_37118311'!$B$53</f>
        <v/>
      </c>
      <c r="C75" s="8">
        <f>'balance_raw_37118311'!$C$53</f>
        <v/>
      </c>
      <c r="D75" s="8">
        <f>'balance_raw_37118311'!$D$53</f>
        <v/>
      </c>
      <c r="E75" s="8">
        <f>'balance_raw_37118311'!$E$53</f>
        <v/>
      </c>
      <c r="F75" s="8">
        <f>'balance_raw_37118311'!$F$53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'balance_raw_37118311'!$B$54</f>
        <v/>
      </c>
      <c r="C76" s="8">
        <f>'balance_raw_37118311'!$C$54</f>
        <v/>
      </c>
      <c r="D76" s="8">
        <f>'balance_raw_37118311'!$D$54</f>
        <v/>
      </c>
      <c r="E76" s="8">
        <f>'balance_raw_37118311'!$E$54</f>
        <v/>
      </c>
      <c r="F76" s="8">
        <f>'balance_raw_37118311'!$F$54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'balance_raw_37118311'!$B$55</f>
        <v/>
      </c>
      <c r="C77" s="8">
        <f>'balance_raw_37118311'!$C$55</f>
        <v/>
      </c>
      <c r="D77" s="8">
        <f>'balance_raw_37118311'!$D$55</f>
        <v/>
      </c>
      <c r="E77" s="8">
        <f>'balance_raw_37118311'!$E$55</f>
        <v/>
      </c>
      <c r="F77" s="8">
        <f>'balance_raw_37118311'!$F$55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'res_raw_37118311'!$B$18</f>
        <v/>
      </c>
      <c r="C80" s="5">
        <f>'res_raw_37118311'!$C$18</f>
        <v/>
      </c>
      <c r="D80" s="5">
        <f>'res_raw_37118311'!$D$18</f>
        <v/>
      </c>
      <c r="E80" s="5">
        <f>'res_raw_37118311'!$E$18</f>
        <v/>
      </c>
      <c r="F80" s="5">
        <f>'res_raw_37118311'!$F$18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'res_raw_37118311'!$B$19</f>
        <v/>
      </c>
      <c r="C81" s="11">
        <f>'res_raw_37118311'!$C$19</f>
        <v/>
      </c>
      <c r="D81" s="11">
        <f>'res_raw_37118311'!$D$19</f>
        <v/>
      </c>
      <c r="E81" s="11">
        <f>'res_raw_37118311'!$E$19</f>
        <v/>
      </c>
      <c r="F81" s="11">
        <f>'res_raw_37118311'!$F$19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IFERROR(($B$12+$B$14+$B$13)/$B$47*100,"")</f>
        <v/>
      </c>
      <c r="C84" s="13">
        <f>IFERROR(($C$12+$C$14+$C$13)/$C$47*100,"")</f>
        <v/>
      </c>
      <c r="D84" s="13">
        <f>IFERROR(($D$12+$D$14+$D$13)/$D$47*100,"")</f>
        <v/>
      </c>
      <c r="E84" s="13">
        <f>IFERROR(($E$12+$E$14+$E$13)/$E$47*100,"")</f>
        <v/>
      </c>
      <c r="F84" s="13">
        <f>IFERROR(($F$12+$F$14+$F$13)/$F$47*100,"")</f>
        <v/>
      </c>
    </row>
    <row r="85" ht="16" customHeight="1">
      <c r="A85" s="10" t="inlineStr">
        <is>
          <t>Overskudsgrad, %</t>
        </is>
      </c>
      <c r="B85" s="14">
        <f>IFERROR(($B$12+$B$14+$B$13)/$B$4*100,"")</f>
        <v/>
      </c>
      <c r="C85" s="14">
        <f>IFERROR(($C$12+$C$14+$C$13)/$C$4*100,"")</f>
        <v/>
      </c>
      <c r="D85" s="14">
        <f>IFERROR(($D$12+$D$14+$D$13)/$D$4*100,"")</f>
        <v/>
      </c>
      <c r="E85" s="14">
        <f>IFERROR(($E$12+$E$14+$E$13)/$E$4*100,"")</f>
        <v/>
      </c>
      <c r="F85" s="14">
        <f>IFERROR(($F$12+$F$14+$F$13)/$F$4*100,"")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IFERROR($B$17/$B$56*100,"")</f>
        <v/>
      </c>
      <c r="C87" s="14">
        <f>IFERROR($C$17/$C$56*100,"")</f>
        <v/>
      </c>
      <c r="D87" s="14">
        <f>IFERROR($D$17/$D$56*100,"")</f>
        <v/>
      </c>
      <c r="E87" s="14">
        <f>IFERROR($E$17/$E$56*100,"")</f>
        <v/>
      </c>
      <c r="F87" s="14">
        <f>IFERROR($F$17/$F$56*100,"")</f>
        <v/>
      </c>
    </row>
    <row r="88" ht="16" customHeight="1">
      <c r="A88" s="4" t="inlineStr">
        <is>
          <t>Gældsrente, %</t>
        </is>
      </c>
      <c r="B88" s="13">
        <f>IFERROR($B$15/($B$77-$B$56)*100,"")</f>
        <v/>
      </c>
      <c r="C88" s="13">
        <f>IFERROR($C$15/($C$77-$C$56)*100,"")</f>
        <v/>
      </c>
      <c r="D88" s="13">
        <f>IFERROR($D$15/($D$77-$D$56)*100,"")</f>
        <v/>
      </c>
      <c r="E88" s="13">
        <f>IFERROR($E$15/($E$77-$E$56)*100,"")</f>
        <v/>
      </c>
      <c r="F88" s="13">
        <f>IFERROR($F$15/($F$77-$F$56)*100,"")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IFERROR($B$31/($B$56+$B$63)*100,"")</f>
        <v/>
      </c>
      <c r="C94" s="13">
        <f>IFERROR($C$31/($C$56+$C$63)*100,"")</f>
        <v/>
      </c>
      <c r="D94" s="13">
        <f>IFERROR($D$31/($D$56+$D$63)*100,"")</f>
        <v/>
      </c>
      <c r="E94" s="13">
        <f>IFERROR($E$31/($E$56+$E$63)*100,"")</f>
        <v/>
      </c>
      <c r="F94" s="13">
        <f>IFERROR($F$31/($F$56+$F$63)*100,"")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Bryggeriet Vestfyen (CVR 37118311)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238338</v>
      </c>
      <c r="C2" s="16" t="n">
        <v>182756</v>
      </c>
      <c r="D2" s="16" t="n">
        <v>190302</v>
      </c>
      <c r="E2" s="16" t="n">
        <v>163922</v>
      </c>
      <c r="F2" s="16" t="n">
        <v>129834</v>
      </c>
    </row>
    <row r="3">
      <c r="A3" s="15" t="inlineStr">
        <is>
          <t>Produktionsomkostninger</t>
        </is>
      </c>
      <c r="B3" s="16" t="n">
        <v>209902</v>
      </c>
      <c r="C3" s="16" t="n">
        <v>180826</v>
      </c>
      <c r="D3" s="16" t="n">
        <v>175855</v>
      </c>
      <c r="E3" s="16" t="n">
        <v>150316</v>
      </c>
      <c r="F3" s="16" t="n">
        <v>125386</v>
      </c>
    </row>
    <row r="4">
      <c r="A4" s="17" t="inlineStr">
        <is>
          <t>Bruttoresultat</t>
        </is>
      </c>
      <c r="B4" s="16" t="n">
        <v>28436</v>
      </c>
      <c r="C4" s="16" t="n">
        <v>1930</v>
      </c>
      <c r="D4" s="16" t="n">
        <v>14447</v>
      </c>
      <c r="E4" s="16" t="n">
        <v>13607</v>
      </c>
      <c r="F4" s="16" t="n">
        <v>4448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30165</v>
      </c>
      <c r="C6" s="16" t="n">
        <v>20424</v>
      </c>
      <c r="D6" s="16" t="n">
        <v>26816</v>
      </c>
      <c r="E6" s="16" t="n">
        <v>21280</v>
      </c>
      <c r="F6" s="16" t="n">
        <v>21442</v>
      </c>
    </row>
    <row r="7">
      <c r="A7" s="15" t="inlineStr">
        <is>
          <t>Administrationsomkostninger</t>
        </is>
      </c>
      <c r="B7" s="16" t="n">
        <v>8476</v>
      </c>
      <c r="C7" s="16" t="n">
        <v>18141</v>
      </c>
      <c r="D7" s="16" t="n">
        <v>18592</v>
      </c>
      <c r="E7" s="16" t="n">
        <v>17160</v>
      </c>
      <c r="F7" s="16" t="n">
        <v>20842</v>
      </c>
    </row>
    <row r="8">
      <c r="A8" s="15" t="inlineStr">
        <is>
          <t>Andre driftsindtægter</t>
        </is>
      </c>
      <c r="B8" s="16" t="n">
        <v>508</v>
      </c>
      <c r="C8" s="16" t="n">
        <v>850</v>
      </c>
      <c r="D8" s="16" t="n">
        <v>1668</v>
      </c>
      <c r="E8" s="16" t="n">
        <v>0</v>
      </c>
      <c r="F8" s="16" t="n"/>
    </row>
    <row r="9">
      <c r="A9" s="15" t="inlineStr">
        <is>
          <t>Andre driftsomkostninger</t>
        </is>
      </c>
      <c r="B9" s="16" t="n">
        <v>932</v>
      </c>
      <c r="C9" s="16" t="n">
        <v>0</v>
      </c>
      <c r="D9" s="16" t="n"/>
      <c r="E9" s="16" t="n"/>
      <c r="F9" s="16" t="n"/>
    </row>
    <row r="10">
      <c r="A10" s="17" t="inlineStr">
        <is>
          <t>Resultat af primær drift</t>
        </is>
      </c>
      <c r="B10" s="16" t="n">
        <v>-10629</v>
      </c>
      <c r="C10" s="16" t="n">
        <v>-35785</v>
      </c>
      <c r="D10" s="16" t="n">
        <v>-29293</v>
      </c>
      <c r="E10" s="16" t="n">
        <v>-24833</v>
      </c>
      <c r="F10" s="16" t="n">
        <v>-37837</v>
      </c>
    </row>
    <row r="11">
      <c r="A11" s="15" t="inlineStr">
        <is>
          <t>Indtægter af kapitalandele, dattervirksomheder</t>
        </is>
      </c>
      <c r="B11" s="16" t="n">
        <v>-47</v>
      </c>
      <c r="C11" s="16" t="n">
        <v>41</v>
      </c>
      <c r="D11" s="16" t="n">
        <v>177</v>
      </c>
      <c r="E11" s="16" t="n">
        <v>0</v>
      </c>
      <c r="F11" s="16" t="n"/>
    </row>
    <row r="12">
      <c r="A12" s="15" t="inlineStr">
        <is>
          <t>Finansielle indtægter</t>
        </is>
      </c>
      <c r="B12" s="16" t="n">
        <v>25</v>
      </c>
      <c r="C12" s="16" t="n">
        <v>15</v>
      </c>
      <c r="D12" s="16" t="n">
        <v>9</v>
      </c>
      <c r="E12" s="16" t="n">
        <v>30</v>
      </c>
      <c r="F12" s="16" t="n">
        <v>31</v>
      </c>
    </row>
    <row r="13">
      <c r="A13" s="15" t="inlineStr">
        <is>
          <t>Finansielle omkostninger</t>
        </is>
      </c>
      <c r="B13" s="16" t="n">
        <v>5776</v>
      </c>
      <c r="C13" s="16" t="n">
        <v>5838</v>
      </c>
      <c r="D13" s="16" t="n">
        <v>14089</v>
      </c>
      <c r="E13" s="16" t="n">
        <v>13242</v>
      </c>
      <c r="F13" s="16" t="n">
        <v>7068</v>
      </c>
    </row>
    <row r="14">
      <c r="A14" s="17" t="inlineStr">
        <is>
          <t>Finansielle poster, netto</t>
        </is>
      </c>
      <c r="B14" s="16" t="n">
        <v>-5751</v>
      </c>
      <c r="C14" s="16" t="n">
        <v>-5824</v>
      </c>
      <c r="D14" s="16" t="n"/>
      <c r="E14" s="16" t="n"/>
      <c r="F14" s="16" t="n"/>
    </row>
    <row r="15">
      <c r="A15" s="17" t="inlineStr">
        <is>
          <t>Resultat før skat</t>
        </is>
      </c>
      <c r="B15" s="16" t="n">
        <v>-16427</v>
      </c>
      <c r="C15" s="16" t="n">
        <v>-41568</v>
      </c>
      <c r="D15" s="16" t="n">
        <v>-43196</v>
      </c>
      <c r="E15" s="16" t="n">
        <v>-38045</v>
      </c>
      <c r="F15" s="16" t="n">
        <v>-44874</v>
      </c>
    </row>
    <row r="16">
      <c r="A16" s="15" t="inlineStr">
        <is>
          <t>Skat af årets resultat</t>
        </is>
      </c>
      <c r="B16" s="16" t="n">
        <v>-3565</v>
      </c>
      <c r="C16" s="16" t="n">
        <v>-9109</v>
      </c>
      <c r="D16" s="16" t="n">
        <v>3018</v>
      </c>
      <c r="E16" s="16" t="n">
        <v>0</v>
      </c>
      <c r="F16" s="16" t="n">
        <v>0</v>
      </c>
    </row>
    <row r="17">
      <c r="A17" s="17" t="inlineStr">
        <is>
          <t>Årets resultat</t>
        </is>
      </c>
      <c r="B17" s="16" t="n">
        <v>-12862</v>
      </c>
      <c r="C17" s="16" t="n">
        <v>-32459</v>
      </c>
      <c r="D17" s="16" t="n">
        <v>-46214</v>
      </c>
      <c r="E17" s="16" t="n">
        <v>-38045</v>
      </c>
      <c r="F17" s="16" t="n">
        <v>-44874</v>
      </c>
    </row>
    <row r="18">
      <c r="A18" s="15" t="inlineStr">
        <is>
          <t>Gns. antal medarbejdere</t>
        </is>
      </c>
      <c r="B18" s="16" t="n">
        <v>101</v>
      </c>
      <c r="C18" s="16" t="n">
        <v>109</v>
      </c>
      <c r="D18" s="16" t="n">
        <v>102</v>
      </c>
      <c r="E18" s="16" t="n">
        <v>96</v>
      </c>
      <c r="F18" s="16" t="n">
        <v>83</v>
      </c>
    </row>
    <row r="19">
      <c r="A19" s="15" t="inlineStr">
        <is>
          <t>Investering i materielle anlægsaktiver</t>
        </is>
      </c>
      <c r="B19" s="16" t="n">
        <v>4557</v>
      </c>
      <c r="C19" s="16" t="n">
        <v>18071</v>
      </c>
      <c r="D19" s="16" t="n"/>
      <c r="E19" s="16" t="n"/>
      <c r="F19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Bryggeriet Vestfyen (CVR 37118311)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56379</v>
      </c>
      <c r="C2" s="16" t="n">
        <v>54228</v>
      </c>
      <c r="D2" s="16" t="n">
        <v>53778</v>
      </c>
      <c r="E2" s="16" t="n">
        <v>51508</v>
      </c>
      <c r="F2" s="16" t="n">
        <v>49135</v>
      </c>
    </row>
    <row r="3">
      <c r="A3" s="15" t="inlineStr">
        <is>
          <t>Produktionsanlæg og maskiner</t>
        </is>
      </c>
      <c r="B3" s="16" t="n">
        <v>57314</v>
      </c>
      <c r="C3" s="16" t="n">
        <v>53850</v>
      </c>
      <c r="D3" s="16" t="n">
        <v>64917</v>
      </c>
      <c r="E3" s="16" t="n">
        <v>59779</v>
      </c>
      <c r="F3" s="16" t="n">
        <v>75285</v>
      </c>
    </row>
    <row r="4">
      <c r="A4" s="15" t="inlineStr">
        <is>
          <t>Driftsmateriel og inventar</t>
        </is>
      </c>
      <c r="B4" s="16" t="n">
        <v>467</v>
      </c>
      <c r="C4" s="16" t="n">
        <v>408</v>
      </c>
      <c r="D4" s="16" t="n">
        <v>308</v>
      </c>
      <c r="E4" s="16" t="n">
        <v>2202</v>
      </c>
      <c r="F4" s="16" t="n">
        <v>1197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888</v>
      </c>
      <c r="C6" s="16" t="n">
        <v>0</v>
      </c>
      <c r="D6" s="16" t="n">
        <v>6837</v>
      </c>
      <c r="E6" s="16" t="n">
        <v>23330</v>
      </c>
      <c r="F6" s="16" t="n">
        <v>218</v>
      </c>
    </row>
    <row r="7">
      <c r="A7" s="17" t="inlineStr">
        <is>
          <t>Materielle anlægsaktiver</t>
        </is>
      </c>
      <c r="B7" s="16" t="n">
        <v>116323</v>
      </c>
      <c r="C7" s="16" t="n">
        <v>125132</v>
      </c>
      <c r="D7" s="16" t="n">
        <v>125840</v>
      </c>
      <c r="E7" s="16" t="n">
        <v>136819</v>
      </c>
      <c r="F7" s="16" t="n">
        <v>125834</v>
      </c>
    </row>
    <row r="8">
      <c r="A8" s="15" t="inlineStr">
        <is>
          <t>Kapitalandele, dattervirksomheder</t>
        </is>
      </c>
      <c r="B8" s="16" t="n">
        <v>3612</v>
      </c>
      <c r="C8" s="16" t="n">
        <v>3653</v>
      </c>
      <c r="D8" s="16" t="n">
        <v>3836</v>
      </c>
      <c r="E8" s="16" t="n">
        <v>0</v>
      </c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/>
    </row>
    <row r="10">
      <c r="A10" s="17" t="inlineStr">
        <is>
          <t>Finansielle anlægsaktiver</t>
        </is>
      </c>
      <c r="B10" s="16" t="n">
        <v>3658</v>
      </c>
      <c r="C10" s="16" t="n">
        <v>3698</v>
      </c>
      <c r="D10" s="16" t="n">
        <v>3874</v>
      </c>
      <c r="E10" s="16" t="n">
        <v>47</v>
      </c>
      <c r="F10" s="16" t="n">
        <v>40</v>
      </c>
    </row>
    <row r="11">
      <c r="A11" s="17" t="inlineStr">
        <is>
          <t>Anlægsaktiver</t>
        </is>
      </c>
      <c r="B11" s="16" t="n">
        <v>119981</v>
      </c>
      <c r="C11" s="16" t="n">
        <v>128830</v>
      </c>
      <c r="D11" s="16" t="n">
        <v>129714</v>
      </c>
      <c r="E11" s="16" t="n">
        <v>136865</v>
      </c>
      <c r="F11" s="16" t="n">
        <v>125875</v>
      </c>
    </row>
    <row r="12">
      <c r="A12" s="15" t="inlineStr">
        <is>
          <t>Råvarer og hjælpematerialer</t>
        </is>
      </c>
      <c r="B12" s="16" t="n">
        <v>12037</v>
      </c>
      <c r="C12" s="16" t="n">
        <v>15830</v>
      </c>
      <c r="D12" s="16" t="n">
        <v>22819</v>
      </c>
      <c r="E12" s="16" t="n">
        <v>13798</v>
      </c>
      <c r="F12" s="16" t="n">
        <v>13534</v>
      </c>
    </row>
    <row r="13">
      <c r="A13" s="15" t="inlineStr">
        <is>
          <t>Varer under fremstilling</t>
        </is>
      </c>
      <c r="B13" s="16" t="n">
        <v>2682</v>
      </c>
      <c r="C13" s="16" t="n">
        <v>3230</v>
      </c>
      <c r="D13" s="16" t="n">
        <v>2975</v>
      </c>
      <c r="E13" s="16" t="n">
        <v>1701</v>
      </c>
      <c r="F13" s="16" t="n">
        <v>1590</v>
      </c>
    </row>
    <row r="14">
      <c r="A14" s="15" t="inlineStr">
        <is>
          <t>Færdigvarer og handelsvarer</t>
        </is>
      </c>
      <c r="B14" s="16" t="n">
        <v>25677</v>
      </c>
      <c r="C14" s="16" t="n">
        <v>29245</v>
      </c>
      <c r="D14" s="16" t="n">
        <v>14310</v>
      </c>
      <c r="E14" s="16" t="n">
        <v>8747</v>
      </c>
      <c r="F14" s="16" t="n">
        <v>4188</v>
      </c>
    </row>
    <row r="15">
      <c r="A15" s="17" t="inlineStr">
        <is>
          <t>Varebeholdninger</t>
        </is>
      </c>
      <c r="B15" s="16" t="n">
        <v>40396</v>
      </c>
      <c r="C15" s="16" t="n">
        <v>48306</v>
      </c>
      <c r="D15" s="16" t="n">
        <v>40104</v>
      </c>
      <c r="E15" s="16" t="n">
        <v>24246</v>
      </c>
      <c r="F15" s="16" t="n">
        <v>19312</v>
      </c>
    </row>
    <row r="16">
      <c r="A16" s="15" t="inlineStr">
        <is>
          <t>Tilgodehavender fra salg og tjenesteydelser</t>
        </is>
      </c>
      <c r="B16" s="16" t="n">
        <v>16141</v>
      </c>
      <c r="C16" s="16" t="n">
        <v>22336</v>
      </c>
      <c r="D16" s="16" t="n">
        <v>16655</v>
      </c>
      <c r="E16" s="16" t="n">
        <v>10787</v>
      </c>
      <c r="F16" s="16" t="n">
        <v>13474</v>
      </c>
    </row>
    <row r="17">
      <c r="A17" s="15" t="inlineStr">
        <is>
          <t>Tilgodehavender hos tilknyttede virksomheder</t>
        </is>
      </c>
      <c r="B17" s="16" t="n">
        <v>144</v>
      </c>
      <c r="C17" s="16" t="n">
        <v>1189</v>
      </c>
      <c r="D17" s="16" t="n">
        <v>0</v>
      </c>
      <c r="E17" s="16" t="n">
        <v>51</v>
      </c>
      <c r="F17" s="16" t="n">
        <v>453</v>
      </c>
    </row>
    <row r="18">
      <c r="A18" s="15" t="inlineStr">
        <is>
          <t>Andre tilgodehavender</t>
        </is>
      </c>
      <c r="B18" s="16" t="n">
        <v>4106</v>
      </c>
      <c r="C18" s="16" t="n">
        <v>1514</v>
      </c>
      <c r="D18" s="16" t="n">
        <v>584</v>
      </c>
      <c r="E18" s="16" t="n">
        <v>3271</v>
      </c>
      <c r="F18" s="16" t="n">
        <v>2224</v>
      </c>
    </row>
    <row r="19">
      <c r="A19" s="15" t="inlineStr">
        <is>
          <t>Periodeafgrænsningsposter (aktiver)</t>
        </is>
      </c>
      <c r="B19" s="16" t="n">
        <v>2507</v>
      </c>
      <c r="C19" s="16" t="n">
        <v>2651</v>
      </c>
      <c r="D19" s="16" t="n">
        <v>2062</v>
      </c>
      <c r="E19" s="16" t="n">
        <v>1549</v>
      </c>
      <c r="F19" s="16" t="n">
        <v>1804</v>
      </c>
    </row>
    <row r="20">
      <c r="A20" s="15" t="inlineStr">
        <is>
          <t>Udskudt skatteaktiv</t>
        </is>
      </c>
      <c r="B20" s="16" t="n">
        <v>0</v>
      </c>
      <c r="C20" s="16" t="n">
        <v>3048</v>
      </c>
      <c r="D20" s="16" t="n">
        <v>0</v>
      </c>
      <c r="E20" s="16" t="n">
        <v>0</v>
      </c>
      <c r="F20" s="16" t="n">
        <v>0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11</v>
      </c>
      <c r="C22" s="16" t="n">
        <v>10</v>
      </c>
      <c r="D22" s="16" t="n">
        <v>2</v>
      </c>
      <c r="E22" s="16" t="n">
        <v>5</v>
      </c>
      <c r="F22" s="16" t="n">
        <v>10</v>
      </c>
    </row>
    <row r="23">
      <c r="A23" s="17" t="inlineStr">
        <is>
          <t>Tilgodehavender</t>
        </is>
      </c>
      <c r="B23" s="16" t="n">
        <v>22909</v>
      </c>
      <c r="C23" s="16" t="n">
        <v>30748</v>
      </c>
      <c r="D23" s="16" t="n">
        <v>19303</v>
      </c>
      <c r="E23" s="16" t="n">
        <v>15662</v>
      </c>
      <c r="F23" s="16" t="n">
        <v>17964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1582</v>
      </c>
      <c r="C25" s="16" t="n">
        <v>1381</v>
      </c>
      <c r="D25" s="16" t="n">
        <v>1539</v>
      </c>
      <c r="E25" s="16" t="n">
        <v>1639</v>
      </c>
      <c r="F25" s="16" t="n">
        <v>5121</v>
      </c>
    </row>
    <row r="26">
      <c r="A26" s="17" t="inlineStr">
        <is>
          <t>Omsætningsaktiver</t>
        </is>
      </c>
      <c r="B26" s="16" t="n">
        <v>64887</v>
      </c>
      <c r="C26" s="16" t="n">
        <v>80434</v>
      </c>
      <c r="D26" s="16" t="n">
        <v>60945</v>
      </c>
      <c r="E26" s="16" t="n">
        <v>41547</v>
      </c>
      <c r="F26" s="16" t="n">
        <v>42398</v>
      </c>
    </row>
    <row r="27">
      <c r="A27" s="17" t="inlineStr">
        <is>
          <t>Aktiver</t>
        </is>
      </c>
      <c r="B27" s="16" t="n">
        <v>184868</v>
      </c>
      <c r="C27" s="16" t="n">
        <v>209264</v>
      </c>
      <c r="D27" s="16" t="n">
        <v>190659</v>
      </c>
      <c r="E27" s="16" t="n">
        <v>178412</v>
      </c>
      <c r="F27" s="16" t="n">
        <v>168272</v>
      </c>
    </row>
    <row r="28">
      <c r="A28" s="15" t="inlineStr">
        <is>
          <t>Selskabskapital</t>
        </is>
      </c>
      <c r="B28" s="16" t="n">
        <v>5760</v>
      </c>
      <c r="C28" s="16" t="n">
        <v>5760</v>
      </c>
      <c r="D28" s="16" t="n">
        <v>6000</v>
      </c>
      <c r="E28" s="16" t="n">
        <v>6000</v>
      </c>
      <c r="F28" s="16" t="n">
        <v>6000</v>
      </c>
    </row>
    <row r="29">
      <c r="A29" s="15" t="inlineStr">
        <is>
          <t>Reserve for nettoopskrivning (indre værdis metode)</t>
        </is>
      </c>
      <c r="B29" s="16" t="n">
        <v>423</v>
      </c>
      <c r="C29" s="16" t="n">
        <v>464</v>
      </c>
      <c r="D29" s="16" t="n">
        <v>647</v>
      </c>
      <c r="E29" s="16" t="n">
        <v>0</v>
      </c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1218</v>
      </c>
      <c r="C32" s="16" t="n">
        <v>1218</v>
      </c>
      <c r="D32" s="16" t="n">
        <v>1218</v>
      </c>
      <c r="E32" s="16" t="n">
        <v>1218</v>
      </c>
      <c r="F32" s="16" t="n">
        <v>1218</v>
      </c>
    </row>
    <row r="33">
      <c r="A33" s="15" t="inlineStr">
        <is>
          <t>Overført resultat</t>
        </is>
      </c>
      <c r="B33" s="16" t="n">
        <v>44123</v>
      </c>
      <c r="C33" s="16" t="n">
        <v>11623</v>
      </c>
      <c r="D33" s="16" t="n">
        <v>8679</v>
      </c>
      <c r="E33" s="16" t="n">
        <v>31433</v>
      </c>
      <c r="F33" s="16" t="n">
        <v>35107</v>
      </c>
    </row>
    <row r="34">
      <c r="A34" s="17" t="inlineStr">
        <is>
          <t>Egenkapital i alt</t>
        </is>
      </c>
      <c r="B34" s="16" t="n">
        <v>51524</v>
      </c>
      <c r="C34" s="16" t="n">
        <v>19065</v>
      </c>
      <c r="D34" s="16" t="n">
        <v>16544</v>
      </c>
      <c r="E34" s="16" t="n">
        <v>38651</v>
      </c>
      <c r="F34" s="16" t="n">
        <v>42325</v>
      </c>
    </row>
    <row r="35">
      <c r="A35" s="15" t="inlineStr">
        <is>
          <t>Hensættelse til udskudt skat</t>
        </is>
      </c>
      <c r="B35" s="16" t="n">
        <v>6061</v>
      </c>
      <c r="C35" s="16" t="n">
        <v>0</v>
      </c>
      <c r="D35" s="16" t="n"/>
      <c r="E35" s="16" t="n"/>
      <c r="F35" s="16" t="n"/>
    </row>
    <row r="36">
      <c r="A36" s="17" t="inlineStr">
        <is>
          <t>Hensatte forpligtelser</t>
        </is>
      </c>
      <c r="B36" s="16" t="n">
        <v>6061</v>
      </c>
      <c r="C36" s="16" t="n">
        <v>0</v>
      </c>
      <c r="D36" s="16" t="n">
        <v>4610</v>
      </c>
      <c r="E36" s="16" t="n">
        <v>4810</v>
      </c>
      <c r="F36" s="16" t="n">
        <v>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>
        <v>925</v>
      </c>
      <c r="F39" s="16" t="n">
        <v>150</v>
      </c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4775</v>
      </c>
      <c r="C41" s="16" t="n">
        <v>3731</v>
      </c>
      <c r="D41" s="16" t="n">
        <v>3720</v>
      </c>
      <c r="E41" s="16" t="n">
        <v>5098</v>
      </c>
      <c r="F41" s="16" t="n">
        <v>5018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11210</v>
      </c>
      <c r="C44" s="16" t="n">
        <v>4978</v>
      </c>
      <c r="D44" s="16" t="n">
        <v>9908</v>
      </c>
      <c r="E44" s="16" t="n">
        <v>9186</v>
      </c>
      <c r="F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>
        <v>1055</v>
      </c>
      <c r="F45" s="16" t="n">
        <v>906</v>
      </c>
    </row>
    <row r="46">
      <c r="A46" s="15" t="inlineStr">
        <is>
          <t>Leverandører af varer og tjenesteydelser</t>
        </is>
      </c>
      <c r="B46" s="16" t="n">
        <v>12863</v>
      </c>
      <c r="C46" s="16" t="n">
        <v>19864</v>
      </c>
      <c r="D46" s="16" t="n">
        <v>18659</v>
      </c>
      <c r="E46" s="16" t="n">
        <v>27960</v>
      </c>
      <c r="F46" s="16" t="n">
        <v>5732</v>
      </c>
    </row>
    <row r="47">
      <c r="A47" s="15" t="inlineStr">
        <is>
          <t>Gæld til tilknyttede virksomheder</t>
        </is>
      </c>
      <c r="B47" s="16" t="n">
        <v>77617</v>
      </c>
      <c r="C47" s="16" t="n">
        <v>142638</v>
      </c>
      <c r="D47" s="16" t="n">
        <v>115904</v>
      </c>
      <c r="E47" s="16" t="n">
        <v>84110</v>
      </c>
      <c r="F47" s="16" t="n">
        <v>103465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20818</v>
      </c>
      <c r="C51" s="16" t="n">
        <v>18989</v>
      </c>
      <c r="D51" s="16" t="n">
        <v>21314</v>
      </c>
      <c r="E51" s="16" t="n">
        <v>7541</v>
      </c>
      <c r="F51" s="16" t="n">
        <v>10827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122508</v>
      </c>
      <c r="C53" s="16" t="n">
        <v>186469</v>
      </c>
      <c r="D53" s="16" t="n">
        <v>165785</v>
      </c>
      <c r="E53" s="16" t="n">
        <v>129853</v>
      </c>
      <c r="F53" s="16" t="n">
        <v>120930</v>
      </c>
    </row>
    <row r="54">
      <c r="A54" s="17" t="inlineStr">
        <is>
          <t>Gældsforpligtelser</t>
        </is>
      </c>
      <c r="B54" s="16" t="n">
        <v>127283</v>
      </c>
      <c r="C54" s="16" t="n">
        <v>190200</v>
      </c>
      <c r="D54" s="16" t="n">
        <v>169505</v>
      </c>
      <c r="E54" s="16" t="n">
        <v>134951</v>
      </c>
      <c r="F54" s="16" t="n">
        <v>125948</v>
      </c>
    </row>
    <row r="55">
      <c r="A55" s="17" t="inlineStr">
        <is>
          <t>Passiver</t>
        </is>
      </c>
      <c r="B55" s="16" t="n">
        <v>184868</v>
      </c>
      <c r="C55" s="16" t="n">
        <v>209264</v>
      </c>
      <c r="D55" s="16" t="n">
        <v>190659</v>
      </c>
      <c r="E55" s="16" t="n">
        <v>178412</v>
      </c>
      <c r="F55" s="16" t="n">
        <v>168272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A/S Bryggeriet Vestfyen (CVR 37118311) — Regnskabs- og nøgletal (CVR: 37118311)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'res_raw_37118311'!$F$2</f>
        <v/>
      </c>
      <c r="C5" s="24">
        <f>'res_raw_37118311'!$E$2</f>
        <v/>
      </c>
      <c r="D5" s="24">
        <f>'res_raw_37118311'!$D$2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-'res_raw_37118311'!$F$3</f>
        <v/>
      </c>
      <c r="C6" s="24">
        <f>-'res_raw_37118311'!$E$3</f>
        <v/>
      </c>
      <c r="D6" s="24">
        <f>-'res_raw_37118311'!$D$3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IF(ABS((SUM(B5:B6))-'res_raw_37118311'!$F$4)&lt;=2,SUM(B5:B6),'res_raw_37118311'!$F$4)</f>
        <v/>
      </c>
      <c r="C7" s="27">
        <f>IF(ABS((SUM(C5:C6))-'res_raw_37118311'!$E$4)&lt;=2,SUM(C5:C6),'res_raw_37118311'!$E$4)</f>
        <v/>
      </c>
      <c r="D7" s="27">
        <f>IF(ABS((SUM(D5:D6))-'res_raw_37118311'!$D$4)&lt;=2,SUM(D5:D6),'res_raw_37118311'!$D$4)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-'res_raw_37118311'!$F$5</f>
        <v/>
      </c>
      <c r="C8" s="24">
        <f>-'res_raw_37118311'!$E$5</f>
        <v/>
      </c>
      <c r="D8" s="24">
        <f>-'res_raw_37118311'!$D$5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-'res_raw_37118311'!$F$6</f>
        <v/>
      </c>
      <c r="C9" s="24">
        <f>-'res_raw_37118311'!$E$6</f>
        <v/>
      </c>
      <c r="D9" s="24">
        <f>-'res_raw_37118311'!$D$6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-'res_raw_37118311'!$F$7</f>
        <v/>
      </c>
      <c r="C10" s="24">
        <f>-'res_raw_37118311'!$E$7</f>
        <v/>
      </c>
      <c r="D10" s="24">
        <f>-'res_raw_37118311'!$D$7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'res_raw_37118311'!$F$8</f>
        <v/>
      </c>
      <c r="C11" s="24">
        <f>'res_raw_37118311'!$E$8</f>
        <v/>
      </c>
      <c r="D11" s="24">
        <f>'res_raw_37118311'!$D$8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-'res_raw_37118311'!$F$9</f>
        <v/>
      </c>
      <c r="C12" s="27">
        <f>-'res_raw_37118311'!$E$9</f>
        <v/>
      </c>
      <c r="D12" s="27">
        <f>-'res_raw_37118311'!$D$9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IF(ABS((SUM(B7:B12))-'res_raw_37118311'!$F$10)&lt;=2,SUM(B7:B12),'res_raw_37118311'!$F$10)</f>
        <v/>
      </c>
      <c r="C13" s="30">
        <f>IF(ABS((SUM(C7:C12))-'res_raw_37118311'!$E$10)&lt;=2,SUM(C7:C12),'res_raw_37118311'!$E$10)</f>
        <v/>
      </c>
      <c r="D13" s="30">
        <f>IF(ABS((SUM(D7:D12))-'res_raw_37118311'!$D$10)&lt;=2,SUM(D7:D12),'res_raw_37118311'!$D$10)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N('res_raw_37118311'!$F$11)+N('res_raw_37118311'!$F$12)</f>
        <v/>
      </c>
      <c r="C14" s="24">
        <f>N('res_raw_37118311'!$E$11)+N('res_raw_37118311'!$E$12)</f>
        <v/>
      </c>
      <c r="D14" s="24">
        <f>N('res_raw_37118311'!$D$11)+N('res_raw_37118311'!$D$12)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-'res_raw_37118311'!$F$13</f>
        <v/>
      </c>
      <c r="C15" s="27">
        <f>-'res_raw_37118311'!$E$13</f>
        <v/>
      </c>
      <c r="D15" s="27">
        <f>-'res_raw_37118311'!$D$13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IF(ABS((SUM(B13:B15))-'res_raw_37118311'!$F$15)&lt;=2,SUM(B13:B15),'res_raw_37118311'!$F$15)</f>
        <v/>
      </c>
      <c r="C16" s="30">
        <f>IF(ABS((SUM(C13:C15))-'res_raw_37118311'!$E$15)&lt;=2,SUM(C13:C15),'res_raw_37118311'!$E$15)</f>
        <v/>
      </c>
      <c r="D16" s="30">
        <f>IF(ABS((SUM(D13:D15))-'res_raw_37118311'!$D$15)&lt;=2,SUM(D13:D15),'res_raw_37118311'!$D$15)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'balance_raw_37118311'!$F$11</f>
        <v/>
      </c>
      <c r="C19" s="24">
        <f>'balance_raw_37118311'!$E$11</f>
        <v/>
      </c>
      <c r="D19" s="24">
        <f>'balance_raw_37118311'!$D$11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'balance_raw_37118311'!$F$26</f>
        <v/>
      </c>
      <c r="C20" s="24">
        <f>'balance_raw_37118311'!$E$26</f>
        <v/>
      </c>
      <c r="D20" s="24">
        <f>'balance_raw_37118311'!$D$26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'balance_raw_37118311'!$F$34</f>
        <v/>
      </c>
      <c r="C23" s="24">
        <f>'balance_raw_37118311'!$E$34</f>
        <v/>
      </c>
      <c r="D23" s="24">
        <f>'balance_raw_37118311'!$D$34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'balance_raw_37118311'!$F$55-'balance_raw_37118311'!$F$34</f>
        <v/>
      </c>
      <c r="C24" s="24">
        <f>'balance_raw_37118311'!$E$55-'balance_raw_37118311'!$E$34</f>
        <v/>
      </c>
      <c r="D24" s="24">
        <f>'balance_raw_37118311'!$D$55-'balance_raw_37118311'!$D$34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'balance_raw_37118311'!$F$15</f>
        <v/>
      </c>
      <c r="C28" s="24">
        <f>'balance_raw_37118311'!$E$15</f>
        <v/>
      </c>
      <c r="D28" s="24">
        <f>'balance_raw_37118311'!$D$15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'balance_raw_37118311'!$F$16</f>
        <v/>
      </c>
      <c r="C29" s="24">
        <f>'balance_raw_37118311'!$E$16</f>
        <v/>
      </c>
      <c r="D29" s="24">
        <f>'balance_raw_37118311'!$D$16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'balance_raw_37118311'!$F$53</f>
        <v/>
      </c>
      <c r="C30" s="24">
        <f>'balance_raw_37118311'!$E$53</f>
        <v/>
      </c>
      <c r="D30" s="24">
        <f>'balance_raw_37118311'!$D$53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IF('balance_raw_37118311'!$F$27="","—",IF(ABS(B21-'balance_raw_37118311'!$F$27)&lt;=1,"✓ OK","❌ "&amp;TEXT(B21-'balance_raw_37118311'!$F$27,"+#,##0;-#,##0")&amp;" t.kr."))</f>
        <v/>
      </c>
      <c r="C62" s="31">
        <f>IF('balance_raw_37118311'!$E$27="","—",IF(ABS(C21-'balance_raw_37118311'!$E$27)&lt;=1,"✓ OK","❌ "&amp;TEXT(C21-'balance_raw_37118311'!$E$27,"+#,##0;-#,##0")&amp;" t.kr."))</f>
        <v/>
      </c>
      <c r="D62" s="31">
        <f>IF('balance_raw_37118311'!$D$27="","—",IF(ABS(D21-'balance_raw_37118311'!$D$27)&lt;=1,"✓ OK","❌ "&amp;TEXT(D21-'balance_raw_37118311'!$D$27,"+#,##0;-#,##0")&amp;"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IF('balance_raw_37118311'!$F$55="","—",IF(ABS(B25-'balance_raw_37118311'!$F$55)&lt;=1,"✓ OK","❌ "&amp;TEXT(B25-'balance_raw_37118311'!$F$55,"+#,##0;-#,##0")&amp;" t.kr."))</f>
        <v/>
      </c>
      <c r="C63" s="31">
        <f>IF('balance_raw_37118311'!$E$55="","—",IF(ABS(C25-'balance_raw_37118311'!$E$55)&lt;=1,"✓ OK","❌ "&amp;TEXT(C25-'balance_raw_37118311'!$E$55,"+#,##0;-#,##0")&amp;" t.kr."))</f>
        <v/>
      </c>
      <c r="D63" s="31">
        <f>IF('balance_raw_37118311'!$D$55="","—",IF(ABS(D25-'balance_raw_37118311'!$D$55)&lt;=1,"✓ OK","❌ "&amp;TEXT(D25-'balance_raw_37118311'!$D$55,"+#,##0;-#,##0")&amp;"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IF('res_raw_37118311'!$F$4="","—",IF(ABS(B7-'res_raw_37118311'!$F$4)&lt;=1,"✓ OK","❌ "&amp;TEXT(B7-'res_raw_37118311'!$F$4,"+#,##0;-#,##0")&amp;" t.kr."))</f>
        <v/>
      </c>
      <c r="C65" s="31">
        <f>IF('res_raw_37118311'!$E$4="","—",IF(ABS(C7-'res_raw_37118311'!$E$4)&lt;=1,"✓ OK","❌ "&amp;TEXT(C7-'res_raw_37118311'!$E$4,"+#,##0;-#,##0")&amp;" t.kr."))</f>
        <v/>
      </c>
      <c r="D65" s="31">
        <f>IF('res_raw_37118311'!$D$4="","—",IF(ABS(D7-'res_raw_37118311'!$D$4)&lt;=1,"✓ OK","❌ "&amp;TEXT(D7-'res_raw_37118311'!$D$4,"+#,##0;-#,##0")&amp;"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IF('res_raw_37118311'!$F$10="","—",IF(ABS(B13-'res_raw_37118311'!$F$10)&lt;=1,"✓ OK","❌ "&amp;TEXT(B13-'res_raw_37118311'!$F$10,"+#,##0;-#,##0")&amp;" t.kr."))</f>
        <v/>
      </c>
      <c r="C66" s="31">
        <f>IF('res_raw_37118311'!$E$10="","—",IF(ABS(C13-'res_raw_37118311'!$E$10)&lt;=1,"✓ OK","❌ "&amp;TEXT(C13-'res_raw_37118311'!$E$10,"+#,##0;-#,##0")&amp;" t.kr."))</f>
        <v/>
      </c>
      <c r="D66" s="31">
        <f>IF('res_raw_37118311'!$D$10="","—",IF(ABS(D13-'res_raw_37118311'!$D$10)&lt;=1,"✓ OK","❌ "&amp;TEXT(D13-'res_raw_37118311'!$D$10,"+#,##0;-#,##0")&amp;"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IF('res_raw_37118311'!$F$15="","—",IF(ABS(B16-'res_raw_37118311'!$F$15)&lt;=1,"✓ OK","❌ "&amp;TEXT(B16-'res_raw_37118311'!$F$15,"+#,##0;-#,##0")&amp;" t.kr."))</f>
        <v/>
      </c>
      <c r="C67" s="31">
        <f>IF('res_raw_37118311'!$E$15="","—",IF(ABS(C16-'res_raw_37118311'!$E$15)&lt;=1,"✓ OK","❌ "&amp;TEXT(C16-'res_raw_37118311'!$E$15,"+#,##0;-#,##0")&amp;" t.kr."))</f>
        <v/>
      </c>
      <c r="D67" s="31">
        <f>IF('res_raw_37118311'!$D$15="","—",IF(ABS(D16-'res_raw_37118311'!$D$15)&lt;=1,"✓ OK","❌ "&amp;TEXT(D16-'res_raw_37118311'!$D$15,"+#,##0;-#,##0")&amp;"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2026-09-29T14:49:01Z</dcterms:created>
  <dcterms:modified xmlns:dcterms="http://purl.org/dc/terms/" xmlns:xsi="http://www.w3.org/2001/XMLSchema-instance" xsi:type="dcterms:W3CDTF">2026-09-29T14:49:01Z</dcterms:modified>
</cp:coreProperties>
</file>