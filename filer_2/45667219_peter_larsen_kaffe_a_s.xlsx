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5667219" sheetId="1" state="visible" r:id="rId1"/>
    <sheet xmlns:r="http://schemas.openxmlformats.org/officeDocument/2006/relationships" name="res_raw_45667219" sheetId="2" state="visible" r:id="rId2"/>
    <sheet xmlns:r="http://schemas.openxmlformats.org/officeDocument/2006/relationships" name="balance_raw_45667219" sheetId="3" state="visible" r:id="rId3"/>
    <sheet xmlns:r="http://schemas.openxmlformats.org/officeDocument/2006/relationships" name="pengestrom_raw_45667219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PETER LARSEN KAFFE A/S (CVR 45667219)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'res_raw_45667219'!$B$2</f>
        <v/>
      </c>
      <c r="C4" s="5">
        <f>'res_raw_45667219'!$C$2</f>
        <v/>
      </c>
      <c r="D4" s="5">
        <f>'res_raw_45667219'!$D$2</f>
        <v/>
      </c>
      <c r="E4" s="5">
        <f>'res_raw_45667219'!$E$2</f>
        <v/>
      </c>
      <c r="F4" s="5">
        <f>'res_raw_45667219'!$F$2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'res_raw_45667219'!$B$3</f>
        <v/>
      </c>
      <c r="C5" s="8">
        <f>'res_raw_45667219'!$C$3</f>
        <v/>
      </c>
      <c r="D5" s="8">
        <f>'res_raw_45667219'!$D$3</f>
        <v/>
      </c>
      <c r="E5" s="8">
        <f>'res_raw_45667219'!$E$3</f>
        <v/>
      </c>
      <c r="F5" s="8">
        <f>'res_raw_45667219'!$F$3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'res_raw_45667219'!$B$4</f>
        <v/>
      </c>
      <c r="C6" s="5">
        <f>'res_raw_45667219'!$C$4</f>
        <v/>
      </c>
      <c r="D6" s="5">
        <f>'res_raw_45667219'!$D$4</f>
        <v/>
      </c>
      <c r="E6" s="5">
        <f>'res_raw_45667219'!$E$4</f>
        <v/>
      </c>
      <c r="F6" s="5">
        <f>'res_raw_45667219'!$F$4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'res_raw_45667219'!$B$5</f>
        <v/>
      </c>
      <c r="C7" s="8">
        <f>'res_raw_45667219'!$C$5</f>
        <v/>
      </c>
      <c r="D7" s="8">
        <f>'res_raw_45667219'!$D$5</f>
        <v/>
      </c>
      <c r="E7" s="8">
        <f>'res_raw_45667219'!$E$5</f>
        <v/>
      </c>
      <c r="F7" s="8">
        <f>'res_raw_45667219'!$F$5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'res_raw_45667219'!$B$6</f>
        <v/>
      </c>
      <c r="C8" s="11">
        <f>'res_raw_45667219'!$C$6</f>
        <v/>
      </c>
      <c r="D8" s="11">
        <f>'res_raw_45667219'!$D$6</f>
        <v/>
      </c>
      <c r="E8" s="11">
        <f>'res_raw_45667219'!$E$6</f>
        <v/>
      </c>
      <c r="F8" s="11">
        <f>'res_raw_45667219'!$F$6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'res_raw_45667219'!$B$7</f>
        <v/>
      </c>
      <c r="C9" s="8">
        <f>'res_raw_45667219'!$C$7</f>
        <v/>
      </c>
      <c r="D9" s="8">
        <f>'res_raw_45667219'!$D$7</f>
        <v/>
      </c>
      <c r="E9" s="8">
        <f>'res_raw_45667219'!$E$7</f>
        <v/>
      </c>
      <c r="F9" s="8">
        <f>'res_raw_45667219'!$F$7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'res_raw_45667219'!$B$9</f>
        <v/>
      </c>
      <c r="C11" s="8">
        <f>'res_raw_45667219'!$C$9</f>
        <v/>
      </c>
      <c r="D11" s="8">
        <f>'res_raw_45667219'!$D$9</f>
        <v/>
      </c>
      <c r="E11" s="8">
        <f>'res_raw_45667219'!$E$9</f>
        <v/>
      </c>
      <c r="F11" s="8">
        <f>'res_raw_45667219'!$F$9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'res_raw_45667219'!$B$10</f>
        <v/>
      </c>
      <c r="C12" s="5">
        <f>'res_raw_45667219'!$C$10</f>
        <v/>
      </c>
      <c r="D12" s="5">
        <f>'res_raw_45667219'!$D$10</f>
        <v/>
      </c>
      <c r="E12" s="5">
        <f>'res_raw_45667219'!$E$10</f>
        <v/>
      </c>
      <c r="F12" s="5">
        <f>'res_raw_45667219'!$F$10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'res_raw_45667219'!$B$11</f>
        <v/>
      </c>
      <c r="C13" s="11">
        <f>'res_raw_45667219'!$C$11</f>
        <v/>
      </c>
      <c r="D13" s="11">
        <f>'res_raw_45667219'!$D$11</f>
        <v/>
      </c>
      <c r="E13" s="11">
        <f>'res_raw_45667219'!$E$11</f>
        <v/>
      </c>
      <c r="F13" s="11">
        <f>'res_raw_45667219'!$F$11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'res_raw_45667219'!$B$12</f>
        <v/>
      </c>
      <c r="C14" s="5">
        <f>'res_raw_45667219'!$C$12</f>
        <v/>
      </c>
      <c r="D14" s="5">
        <f>'res_raw_45667219'!$D$12</f>
        <v/>
      </c>
      <c r="E14" s="5">
        <f>'res_raw_45667219'!$E$12</f>
        <v/>
      </c>
      <c r="F14" s="5">
        <f>'res_raw_45667219'!$F$12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'res_raw_45667219'!$B$13</f>
        <v/>
      </c>
      <c r="C15" s="8">
        <f>'res_raw_45667219'!$C$13</f>
        <v/>
      </c>
      <c r="D15" s="8">
        <f>'res_raw_45667219'!$D$13</f>
        <v/>
      </c>
      <c r="E15" s="8">
        <f>'res_raw_45667219'!$E$13</f>
        <v/>
      </c>
      <c r="F15" s="8">
        <f>'res_raw_45667219'!$F$13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'res_raw_45667219'!$B$14</f>
        <v/>
      </c>
      <c r="C16" s="5">
        <f>'res_raw_45667219'!$C$14</f>
        <v/>
      </c>
      <c r="D16" s="5">
        <f>'res_raw_45667219'!$D$14</f>
        <v/>
      </c>
      <c r="E16" s="5">
        <f>'res_raw_45667219'!$E$14</f>
        <v/>
      </c>
      <c r="F16" s="5">
        <f>'res_raw_45667219'!$F$14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'res_raw_45667219'!$B$15</f>
        <v/>
      </c>
      <c r="C17" s="11">
        <f>'res_raw_45667219'!$C$15</f>
        <v/>
      </c>
      <c r="D17" s="11">
        <f>'res_raw_45667219'!$D$15</f>
        <v/>
      </c>
      <c r="E17" s="11">
        <f>'res_raw_45667219'!$E$15</f>
        <v/>
      </c>
      <c r="F17" s="11">
        <f>'res_raw_45667219'!$F$15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'res_raw_45667219'!$B$16</f>
        <v/>
      </c>
      <c r="C18" s="11">
        <f>'res_raw_45667219'!$C$16</f>
        <v/>
      </c>
      <c r="D18" s="11">
        <f>'res_raw_45667219'!$D$16</f>
        <v/>
      </c>
      <c r="E18" s="11">
        <f>'res_raw_45667219'!$E$16</f>
        <v/>
      </c>
      <c r="F18" s="11">
        <f>'res_raw_45667219'!$F$16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'res_raw_45667219'!$B$17</f>
        <v/>
      </c>
      <c r="C19" s="8">
        <f>'res_raw_45667219'!$C$17</f>
        <v/>
      </c>
      <c r="D19" s="8">
        <f>'res_raw_45667219'!$D$17</f>
        <v/>
      </c>
      <c r="E19" s="8">
        <f>'res_raw_45667219'!$E$17</f>
        <v/>
      </c>
      <c r="F19" s="8">
        <f>'res_raw_45667219'!$F$17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'res_raw_45667219'!$B$18</f>
        <v/>
      </c>
      <c r="C20" s="11">
        <f>'res_raw_45667219'!$C$18</f>
        <v/>
      </c>
      <c r="D20" s="11">
        <f>'res_raw_45667219'!$D$18</f>
        <v/>
      </c>
      <c r="E20" s="11">
        <f>'res_raw_45667219'!$E$18</f>
        <v/>
      </c>
      <c r="F20" s="11">
        <f>'res_raw_45667219'!$F$18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'balance_raw_45667219'!$B$2</f>
        <v/>
      </c>
      <c r="C23" s="8">
        <f>'balance_raw_45667219'!$C$2</f>
        <v/>
      </c>
      <c r="D23" s="8">
        <f>'balance_raw_45667219'!$D$2</f>
        <v/>
      </c>
      <c r="E23" s="8">
        <f>'balance_raw_45667219'!$E$2</f>
        <v/>
      </c>
      <c r="F23" s="8">
        <f>'balance_raw_45667219'!$F$2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'balance_raw_45667219'!$B$3</f>
        <v/>
      </c>
      <c r="C24" s="5">
        <f>'balance_raw_45667219'!$C$3</f>
        <v/>
      </c>
      <c r="D24" s="5">
        <f>'balance_raw_45667219'!$D$3</f>
        <v/>
      </c>
      <c r="E24" s="5">
        <f>'balance_raw_45667219'!$E$3</f>
        <v/>
      </c>
      <c r="F24" s="5">
        <f>'balance_raw_45667219'!$F$3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'balance_raw_45667219'!$B$4</f>
        <v/>
      </c>
      <c r="C25" s="8">
        <f>'balance_raw_45667219'!$C$4</f>
        <v/>
      </c>
      <c r="D25" s="8">
        <f>'balance_raw_45667219'!$D$4</f>
        <v/>
      </c>
      <c r="E25" s="8">
        <f>'balance_raw_45667219'!$E$4</f>
        <v/>
      </c>
      <c r="F25" s="8">
        <f>'balance_raw_45667219'!$F$4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'balance_raw_45667219'!$B$5</f>
        <v/>
      </c>
      <c r="C26" s="11">
        <f>'balance_raw_45667219'!$C$5</f>
        <v/>
      </c>
      <c r="D26" s="11">
        <f>'balance_raw_45667219'!$D$5</f>
        <v/>
      </c>
      <c r="E26" s="11">
        <f>'balance_raw_45667219'!$E$5</f>
        <v/>
      </c>
      <c r="F26" s="11">
        <f>'balance_raw_45667219'!$F$5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'balance_raw_45667219'!$B$6</f>
        <v/>
      </c>
      <c r="C27" s="8">
        <f>'balance_raw_45667219'!$C$6</f>
        <v/>
      </c>
      <c r="D27" s="8">
        <f>'balance_raw_45667219'!$D$6</f>
        <v/>
      </c>
      <c r="E27" s="8">
        <f>'balance_raw_45667219'!$E$6</f>
        <v/>
      </c>
      <c r="F27" s="8">
        <f>'balance_raw_45667219'!$F$6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'balance_raw_45667219'!$B$7</f>
        <v/>
      </c>
      <c r="C28" s="5">
        <f>'balance_raw_45667219'!$C$7</f>
        <v/>
      </c>
      <c r="D28" s="5">
        <f>'balance_raw_45667219'!$D$7</f>
        <v/>
      </c>
      <c r="E28" s="5">
        <f>'balance_raw_45667219'!$E$7</f>
        <v/>
      </c>
      <c r="F28" s="5">
        <f>'balance_raw_45667219'!$F$7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'balance_raw_45667219'!$B$8</f>
        <v/>
      </c>
      <c r="C29" s="8">
        <f>'balance_raw_45667219'!$C$8</f>
        <v/>
      </c>
      <c r="D29" s="8">
        <f>'balance_raw_45667219'!$D$8</f>
        <v/>
      </c>
      <c r="E29" s="8">
        <f>'balance_raw_45667219'!$E$8</f>
        <v/>
      </c>
      <c r="F29" s="8">
        <f>'balance_raw_45667219'!$F$8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'balance_raw_45667219'!$B$9</f>
        <v/>
      </c>
      <c r="C30" s="5">
        <f>'balance_raw_45667219'!$C$9</f>
        <v/>
      </c>
      <c r="D30" s="5">
        <f>'balance_raw_45667219'!$D$9</f>
        <v/>
      </c>
      <c r="E30" s="5">
        <f>'balance_raw_45667219'!$E$9</f>
        <v/>
      </c>
      <c r="F30" s="5">
        <f>'balance_raw_45667219'!$F$9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'balance_raw_45667219'!$B$10</f>
        <v/>
      </c>
      <c r="C31" s="8">
        <f>'balance_raw_45667219'!$C$10</f>
        <v/>
      </c>
      <c r="D31" s="8">
        <f>'balance_raw_45667219'!$D$10</f>
        <v/>
      </c>
      <c r="E31" s="8">
        <f>'balance_raw_45667219'!$E$10</f>
        <v/>
      </c>
      <c r="F31" s="8">
        <f>'balance_raw_45667219'!$F$10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'balance_raw_45667219'!$B$11</f>
        <v/>
      </c>
      <c r="C32" s="11">
        <f>'balance_raw_45667219'!$C$11</f>
        <v/>
      </c>
      <c r="D32" s="11">
        <f>'balance_raw_45667219'!$D$11</f>
        <v/>
      </c>
      <c r="E32" s="11">
        <f>'balance_raw_45667219'!$E$11</f>
        <v/>
      </c>
      <c r="F32" s="11">
        <f>'balance_raw_45667219'!$F$11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Finansielle anlægsaktiver</t>
        </is>
      </c>
      <c r="B33" s="11">
        <f>'balance_raw_45667219'!$B$12</f>
        <v/>
      </c>
      <c r="C33" s="11">
        <f>'balance_raw_45667219'!$C$12</f>
        <v/>
      </c>
      <c r="D33" s="11">
        <f>'balance_raw_45667219'!$D$12</f>
        <v/>
      </c>
      <c r="E33" s="11">
        <f>'balance_raw_45667219'!$E$12</f>
        <v/>
      </c>
      <c r="F33" s="11">
        <f>'balance_raw_45667219'!$F$12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10" t="inlineStr">
        <is>
          <t>Anlægsaktiver</t>
        </is>
      </c>
      <c r="B34" s="11">
        <f>'balance_raw_45667219'!$B$13</f>
        <v/>
      </c>
      <c r="C34" s="11">
        <f>'balance_raw_45667219'!$C$13</f>
        <v/>
      </c>
      <c r="D34" s="11">
        <f>'balance_raw_45667219'!$D$13</f>
        <v/>
      </c>
      <c r="E34" s="11">
        <f>'balance_raw_45667219'!$E$13</f>
        <v/>
      </c>
      <c r="F34" s="11">
        <f>'balance_raw_45667219'!$F$13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Råvarer og hjælpematerialer</t>
        </is>
      </c>
      <c r="B35" s="8">
        <f>'balance_raw_45667219'!$B$14</f>
        <v/>
      </c>
      <c r="C35" s="8">
        <f>'balance_raw_45667219'!$C$14</f>
        <v/>
      </c>
      <c r="D35" s="8">
        <f>'balance_raw_45667219'!$D$14</f>
        <v/>
      </c>
      <c r="E35" s="8">
        <f>'balance_raw_45667219'!$E$14</f>
        <v/>
      </c>
      <c r="F35" s="8">
        <f>'balance_raw_45667219'!$F$14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'balance_raw_45667219'!$B$15</f>
        <v/>
      </c>
      <c r="C36" s="5">
        <f>'balance_raw_45667219'!$C$15</f>
        <v/>
      </c>
      <c r="D36" s="5">
        <f>'balance_raw_45667219'!$D$15</f>
        <v/>
      </c>
      <c r="E36" s="5">
        <f>'balance_raw_45667219'!$E$15</f>
        <v/>
      </c>
      <c r="F36" s="5">
        <f>'balance_raw_45667219'!$F$15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Færdigvarer og handelsvarer</t>
        </is>
      </c>
      <c r="B37" s="8">
        <f>'balance_raw_45667219'!$B$16</f>
        <v/>
      </c>
      <c r="C37" s="8">
        <f>'balance_raw_45667219'!$C$16</f>
        <v/>
      </c>
      <c r="D37" s="8">
        <f>'balance_raw_45667219'!$D$16</f>
        <v/>
      </c>
      <c r="E37" s="8">
        <f>'balance_raw_45667219'!$E$16</f>
        <v/>
      </c>
      <c r="F37" s="8">
        <f>'balance_raw_45667219'!$F$16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10" t="inlineStr">
        <is>
          <t>Varebeholdninger</t>
        </is>
      </c>
      <c r="B38" s="11">
        <f>'balance_raw_45667219'!$B$17</f>
        <v/>
      </c>
      <c r="C38" s="11">
        <f>'balance_raw_45667219'!$C$17</f>
        <v/>
      </c>
      <c r="D38" s="11">
        <f>'balance_raw_45667219'!$D$17</f>
        <v/>
      </c>
      <c r="E38" s="11">
        <f>'balance_raw_45667219'!$E$17</f>
        <v/>
      </c>
      <c r="F38" s="11">
        <f>'balance_raw_45667219'!$F$17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39" ht="16" customHeight="1">
      <c r="A39" s="7" t="inlineStr">
        <is>
          <t>Tilgodehavender fra salg og tjenesteydelser</t>
        </is>
      </c>
      <c r="B39" s="8">
        <f>'balance_raw_45667219'!$B$18</f>
        <v/>
      </c>
      <c r="C39" s="8">
        <f>'balance_raw_45667219'!$C$18</f>
        <v/>
      </c>
      <c r="D39" s="8">
        <f>'balance_raw_45667219'!$D$18</f>
        <v/>
      </c>
      <c r="E39" s="8">
        <f>'balance_raw_45667219'!$E$18</f>
        <v/>
      </c>
      <c r="F39" s="8">
        <f>'balance_raw_45667219'!$F$18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'balance_raw_45667219'!$B$19</f>
        <v/>
      </c>
      <c r="C40" s="5">
        <f>'balance_raw_45667219'!$C$19</f>
        <v/>
      </c>
      <c r="D40" s="5">
        <f>'balance_raw_45667219'!$D$19</f>
        <v/>
      </c>
      <c r="E40" s="5">
        <f>'balance_raw_45667219'!$E$19</f>
        <v/>
      </c>
      <c r="F40" s="5">
        <f>'balance_raw_45667219'!$F$19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Andre tilgodehavender</t>
        </is>
      </c>
      <c r="B41" s="8">
        <f>'balance_raw_45667219'!$B$20</f>
        <v/>
      </c>
      <c r="C41" s="8">
        <f>'balance_raw_45667219'!$C$20</f>
        <v/>
      </c>
      <c r="D41" s="8">
        <f>'balance_raw_45667219'!$D$20</f>
        <v/>
      </c>
      <c r="E41" s="8">
        <f>'balance_raw_45667219'!$E$20</f>
        <v/>
      </c>
      <c r="F41" s="8">
        <f>'balance_raw_45667219'!$F$20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'balance_raw_45667219'!$B$21</f>
        <v/>
      </c>
      <c r="C42" s="5">
        <f>'balance_raw_45667219'!$C$21</f>
        <v/>
      </c>
      <c r="D42" s="5">
        <f>'balance_raw_45667219'!$D$21</f>
        <v/>
      </c>
      <c r="E42" s="5">
        <f>'balance_raw_45667219'!$E$21</f>
        <v/>
      </c>
      <c r="F42" s="5">
        <f>'balance_raw_45667219'!$F$21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Udskudt skatteaktiv</t>
        </is>
      </c>
      <c r="B43" s="8">
        <f>'balance_raw_45667219'!$B$22</f>
        <v/>
      </c>
      <c r="C43" s="8">
        <f>'balance_raw_45667219'!$C$22</f>
        <v/>
      </c>
      <c r="D43" s="8">
        <f>'balance_raw_45667219'!$D$22</f>
        <v/>
      </c>
      <c r="E43" s="8">
        <f>'balance_raw_45667219'!$E$22</f>
        <v/>
      </c>
      <c r="F43" s="8">
        <f>'balance_raw_45667219'!$F$22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'balance_raw_45667219'!$B$23</f>
        <v/>
      </c>
      <c r="C44" s="5">
        <f>'balance_raw_45667219'!$C$23</f>
        <v/>
      </c>
      <c r="D44" s="5">
        <f>'balance_raw_45667219'!$D$23</f>
        <v/>
      </c>
      <c r="E44" s="5">
        <f>'balance_raw_45667219'!$E$23</f>
        <v/>
      </c>
      <c r="F44" s="5">
        <f>'balance_raw_45667219'!$F$23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Kortfristede skattetilgodehavender</t>
        </is>
      </c>
      <c r="B45" s="8">
        <f>'balance_raw_45667219'!$B$24</f>
        <v/>
      </c>
      <c r="C45" s="8">
        <f>'balance_raw_45667219'!$C$24</f>
        <v/>
      </c>
      <c r="D45" s="8">
        <f>'balance_raw_45667219'!$D$24</f>
        <v/>
      </c>
      <c r="E45" s="8">
        <f>'balance_raw_45667219'!$E$24</f>
        <v/>
      </c>
      <c r="F45" s="8">
        <f>'balance_raw_45667219'!$F$24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10" t="inlineStr">
        <is>
          <t>Tilgodehavender</t>
        </is>
      </c>
      <c r="B46" s="11">
        <f>'balance_raw_45667219'!$B$25</f>
        <v/>
      </c>
      <c r="C46" s="11">
        <f>'balance_raw_45667219'!$C$25</f>
        <v/>
      </c>
      <c r="D46" s="11">
        <f>'balance_raw_45667219'!$D$25</f>
        <v/>
      </c>
      <c r="E46" s="11">
        <f>'balance_raw_45667219'!$E$25</f>
        <v/>
      </c>
      <c r="F46" s="11">
        <f>'balance_raw_45667219'!$F$25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7" ht="16" customHeight="1">
      <c r="A47" s="7" t="inlineStr">
        <is>
          <t>Værdipapirer</t>
        </is>
      </c>
      <c r="B47" s="8">
        <f>'balance_raw_45667219'!$B$26</f>
        <v/>
      </c>
      <c r="C47" s="8">
        <f>'balance_raw_45667219'!$C$26</f>
        <v/>
      </c>
      <c r="D47" s="8">
        <f>'balance_raw_45667219'!$D$26</f>
        <v/>
      </c>
      <c r="E47" s="8">
        <f>'balance_raw_45667219'!$E$26</f>
        <v/>
      </c>
      <c r="F47" s="8">
        <f>'balance_raw_45667219'!$F$26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'balance_raw_45667219'!$B$27</f>
        <v/>
      </c>
      <c r="C48" s="5">
        <f>'balance_raw_45667219'!$C$27</f>
        <v/>
      </c>
      <c r="D48" s="5">
        <f>'balance_raw_45667219'!$D$27</f>
        <v/>
      </c>
      <c r="E48" s="5">
        <f>'balance_raw_45667219'!$E$27</f>
        <v/>
      </c>
      <c r="F48" s="5">
        <f>'balance_raw_45667219'!$F$27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Omsætningsaktiver</t>
        </is>
      </c>
      <c r="B49" s="11">
        <f>'balance_raw_45667219'!$B$28</f>
        <v/>
      </c>
      <c r="C49" s="11">
        <f>'balance_raw_45667219'!$C$28</f>
        <v/>
      </c>
      <c r="D49" s="11">
        <f>'balance_raw_45667219'!$D$28</f>
        <v/>
      </c>
      <c r="E49" s="11">
        <f>'balance_raw_45667219'!$E$28</f>
        <v/>
      </c>
      <c r="F49" s="11">
        <f>'balance_raw_45667219'!$F$28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10" t="inlineStr">
        <is>
          <t>Aktiver</t>
        </is>
      </c>
      <c r="B50" s="11">
        <f>'balance_raw_45667219'!$B$29</f>
        <v/>
      </c>
      <c r="C50" s="11">
        <f>'balance_raw_45667219'!$C$29</f>
        <v/>
      </c>
      <c r="D50" s="11">
        <f>'balance_raw_45667219'!$D$29</f>
        <v/>
      </c>
      <c r="E50" s="11">
        <f>'balance_raw_45667219'!$E$29</f>
        <v/>
      </c>
      <c r="F50" s="11">
        <f>'balance_raw_45667219'!$F$29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7" t="inlineStr">
        <is>
          <t>Selskabskapital</t>
        </is>
      </c>
      <c r="B53" s="8">
        <f>'balance_raw_45667219'!$B$30</f>
        <v/>
      </c>
      <c r="C53" s="8">
        <f>'balance_raw_45667219'!$C$30</f>
        <v/>
      </c>
      <c r="D53" s="8">
        <f>'balance_raw_45667219'!$D$30</f>
        <v/>
      </c>
      <c r="E53" s="8">
        <f>'balance_raw_45667219'!$E$30</f>
        <v/>
      </c>
      <c r="F53" s="8">
        <f>'balance_raw_45667219'!$F$30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'balance_raw_45667219'!$B$31</f>
        <v/>
      </c>
      <c r="C54" s="5">
        <f>'balance_raw_45667219'!$C$31</f>
        <v/>
      </c>
      <c r="D54" s="5">
        <f>'balance_raw_45667219'!$D$31</f>
        <v/>
      </c>
      <c r="E54" s="5">
        <f>'balance_raw_45667219'!$E$31</f>
        <v/>
      </c>
      <c r="F54" s="5">
        <f>'balance_raw_45667219'!$F$31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udviklingsomkostninger</t>
        </is>
      </c>
      <c r="B55" s="8">
        <f>'balance_raw_45667219'!$B$32</f>
        <v/>
      </c>
      <c r="C55" s="8">
        <f>'balance_raw_45667219'!$C$32</f>
        <v/>
      </c>
      <c r="D55" s="8">
        <f>'balance_raw_45667219'!$D$32</f>
        <v/>
      </c>
      <c r="E55" s="8">
        <f>'balance_raw_45667219'!$E$32</f>
        <v/>
      </c>
      <c r="F55" s="8">
        <f>'balance_raw_45667219'!$F$32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'balance_raw_45667219'!$B$33</f>
        <v/>
      </c>
      <c r="C56" s="5">
        <f>'balance_raw_45667219'!$C$33</f>
        <v/>
      </c>
      <c r="D56" s="5">
        <f>'balance_raw_45667219'!$D$33</f>
        <v/>
      </c>
      <c r="E56" s="5">
        <f>'balance_raw_45667219'!$E$33</f>
        <v/>
      </c>
      <c r="F56" s="5">
        <f>'balance_raw_45667219'!$F$33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Andre reserver</t>
        </is>
      </c>
      <c r="B57" s="8">
        <f>'balance_raw_45667219'!$B$34</f>
        <v/>
      </c>
      <c r="C57" s="8">
        <f>'balance_raw_45667219'!$C$34</f>
        <v/>
      </c>
      <c r="D57" s="8">
        <f>'balance_raw_45667219'!$D$34</f>
        <v/>
      </c>
      <c r="E57" s="8">
        <f>'balance_raw_45667219'!$E$34</f>
        <v/>
      </c>
      <c r="F57" s="8">
        <f>'balance_raw_45667219'!$F$34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'balance_raw_45667219'!$B$35</f>
        <v/>
      </c>
      <c r="C58" s="5">
        <f>'balance_raw_45667219'!$C$35</f>
        <v/>
      </c>
      <c r="D58" s="5">
        <f>'balance_raw_45667219'!$D$35</f>
        <v/>
      </c>
      <c r="E58" s="5">
        <f>'balance_raw_45667219'!$E$35</f>
        <v/>
      </c>
      <c r="F58" s="5">
        <f>'balance_raw_45667219'!$F$35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Egenkapital i alt</t>
        </is>
      </c>
      <c r="B59" s="11">
        <f>'balance_raw_45667219'!$B$36</f>
        <v/>
      </c>
      <c r="C59" s="11">
        <f>'balance_raw_45667219'!$C$36</f>
        <v/>
      </c>
      <c r="D59" s="11">
        <f>'balance_raw_45667219'!$D$36</f>
        <v/>
      </c>
      <c r="E59" s="11">
        <f>'balance_raw_45667219'!$E$36</f>
        <v/>
      </c>
      <c r="F59" s="11">
        <f>'balance_raw_45667219'!$F$36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'balance_raw_45667219'!$B$37</f>
        <v/>
      </c>
      <c r="C60" s="5">
        <f>'balance_raw_45667219'!$C$37</f>
        <v/>
      </c>
      <c r="D60" s="5">
        <f>'balance_raw_45667219'!$D$37</f>
        <v/>
      </c>
      <c r="E60" s="5">
        <f>'balance_raw_45667219'!$E$37</f>
        <v/>
      </c>
      <c r="F60" s="5">
        <f>'balance_raw_45667219'!$F$37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Hensatte forpligtelser</t>
        </is>
      </c>
      <c r="B61" s="11">
        <f>'balance_raw_45667219'!$B$38</f>
        <v/>
      </c>
      <c r="C61" s="11">
        <f>'balance_raw_45667219'!$C$38</f>
        <v/>
      </c>
      <c r="D61" s="11">
        <f>'balance_raw_45667219'!$D$38</f>
        <v/>
      </c>
      <c r="E61" s="11">
        <f>'balance_raw_45667219'!$E$38</f>
        <v/>
      </c>
      <c r="F61" s="11">
        <f>'balance_raw_45667219'!$F$38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'balance_raw_45667219'!$B$39</f>
        <v/>
      </c>
      <c r="C62" s="5">
        <f>'balance_raw_45667219'!$C$39</f>
        <v/>
      </c>
      <c r="D62" s="5">
        <f>'balance_raw_45667219'!$D$39</f>
        <v/>
      </c>
      <c r="E62" s="5">
        <f>'balance_raw_45667219'!$E$39</f>
        <v/>
      </c>
      <c r="F62" s="5">
        <f>'balance_raw_45667219'!$F$39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'balance_raw_45667219'!$B$40</f>
        <v/>
      </c>
      <c r="C63" s="8">
        <f>'balance_raw_45667219'!$C$40</f>
        <v/>
      </c>
      <c r="D63" s="8">
        <f>'balance_raw_45667219'!$D$40</f>
        <v/>
      </c>
      <c r="E63" s="8">
        <f>'balance_raw_45667219'!$E$40</f>
        <v/>
      </c>
      <c r="F63" s="8">
        <f>'balance_raw_45667219'!$F$40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'balance_raw_45667219'!$B$41</f>
        <v/>
      </c>
      <c r="C64" s="5">
        <f>'balance_raw_45667219'!$C$41</f>
        <v/>
      </c>
      <c r="D64" s="5">
        <f>'balance_raw_45667219'!$D$41</f>
        <v/>
      </c>
      <c r="E64" s="5">
        <f>'balance_raw_45667219'!$E$41</f>
        <v/>
      </c>
      <c r="F64" s="5">
        <f>'balance_raw_45667219'!$F$41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'balance_raw_45667219'!$B$42</f>
        <v/>
      </c>
      <c r="C65" s="8">
        <f>'balance_raw_45667219'!$C$42</f>
        <v/>
      </c>
      <c r="D65" s="8">
        <f>'balance_raw_45667219'!$D$42</f>
        <v/>
      </c>
      <c r="E65" s="8">
        <f>'balance_raw_45667219'!$E$42</f>
        <v/>
      </c>
      <c r="F65" s="8">
        <f>'balance_raw_45667219'!$F$42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'balance_raw_45667219'!$B$43</f>
        <v/>
      </c>
      <c r="C66" s="11">
        <f>'balance_raw_45667219'!$C$43</f>
        <v/>
      </c>
      <c r="D66" s="11">
        <f>'balance_raw_45667219'!$D$43</f>
        <v/>
      </c>
      <c r="E66" s="11">
        <f>'balance_raw_45667219'!$E$43</f>
        <v/>
      </c>
      <c r="F66" s="11">
        <f>'balance_raw_45667219'!$F$43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'balance_raw_45667219'!$B$44</f>
        <v/>
      </c>
      <c r="C67" s="8">
        <f>'balance_raw_45667219'!$C$44</f>
        <v/>
      </c>
      <c r="D67" s="8">
        <f>'balance_raw_45667219'!$D$44</f>
        <v/>
      </c>
      <c r="E67" s="8">
        <f>'balance_raw_45667219'!$E$44</f>
        <v/>
      </c>
      <c r="F67" s="8">
        <f>'balance_raw_45667219'!$F$44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'balance_raw_45667219'!$B$45</f>
        <v/>
      </c>
      <c r="C68" s="5">
        <f>'balance_raw_45667219'!$C$45</f>
        <v/>
      </c>
      <c r="D68" s="5">
        <f>'balance_raw_45667219'!$D$45</f>
        <v/>
      </c>
      <c r="E68" s="5">
        <f>'balance_raw_45667219'!$E$45</f>
        <v/>
      </c>
      <c r="F68" s="5">
        <f>'balance_raw_45667219'!$F$45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'balance_raw_45667219'!$B$46</f>
        <v/>
      </c>
      <c r="C69" s="8">
        <f>'balance_raw_45667219'!$C$46</f>
        <v/>
      </c>
      <c r="D69" s="8">
        <f>'balance_raw_45667219'!$D$46</f>
        <v/>
      </c>
      <c r="E69" s="8">
        <f>'balance_raw_45667219'!$E$46</f>
        <v/>
      </c>
      <c r="F69" s="8">
        <f>'balance_raw_45667219'!$F$46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'balance_raw_45667219'!$B$47</f>
        <v/>
      </c>
      <c r="C70" s="5">
        <f>'balance_raw_45667219'!$C$47</f>
        <v/>
      </c>
      <c r="D70" s="5">
        <f>'balance_raw_45667219'!$D$47</f>
        <v/>
      </c>
      <c r="E70" s="5">
        <f>'balance_raw_45667219'!$E$47</f>
        <v/>
      </c>
      <c r="F70" s="5">
        <f>'balance_raw_45667219'!$F$47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'balance_raw_45667219'!$B$48</f>
        <v/>
      </c>
      <c r="C71" s="8">
        <f>'balance_raw_45667219'!$C$48</f>
        <v/>
      </c>
      <c r="D71" s="8">
        <f>'balance_raw_45667219'!$D$48</f>
        <v/>
      </c>
      <c r="E71" s="8">
        <f>'balance_raw_45667219'!$E$48</f>
        <v/>
      </c>
      <c r="F71" s="8">
        <f>'balance_raw_45667219'!$F$48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'balance_raw_45667219'!$B$49</f>
        <v/>
      </c>
      <c r="C72" s="5">
        <f>'balance_raw_45667219'!$C$49</f>
        <v/>
      </c>
      <c r="D72" s="5">
        <f>'balance_raw_45667219'!$D$49</f>
        <v/>
      </c>
      <c r="E72" s="5">
        <f>'balance_raw_45667219'!$E$49</f>
        <v/>
      </c>
      <c r="F72" s="5">
        <f>'balance_raw_45667219'!$F$49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'balance_raw_45667219'!$B$50</f>
        <v/>
      </c>
      <c r="C73" s="8">
        <f>'balance_raw_45667219'!$C$50</f>
        <v/>
      </c>
      <c r="D73" s="8">
        <f>'balance_raw_45667219'!$D$50</f>
        <v/>
      </c>
      <c r="E73" s="8">
        <f>'balance_raw_45667219'!$E$50</f>
        <v/>
      </c>
      <c r="F73" s="8">
        <f>'balance_raw_45667219'!$F$50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'balance_raw_45667219'!$B$51</f>
        <v/>
      </c>
      <c r="C74" s="5">
        <f>'balance_raw_45667219'!$C$51</f>
        <v/>
      </c>
      <c r="D74" s="5">
        <f>'balance_raw_45667219'!$D$51</f>
        <v/>
      </c>
      <c r="E74" s="5">
        <f>'balance_raw_45667219'!$E$51</f>
        <v/>
      </c>
      <c r="F74" s="5">
        <f>'balance_raw_45667219'!$F$51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'balance_raw_45667219'!$B$52</f>
        <v/>
      </c>
      <c r="C75" s="8">
        <f>'balance_raw_45667219'!$C$52</f>
        <v/>
      </c>
      <c r="D75" s="8">
        <f>'balance_raw_45667219'!$D$52</f>
        <v/>
      </c>
      <c r="E75" s="8">
        <f>'balance_raw_45667219'!$E$52</f>
        <v/>
      </c>
      <c r="F75" s="8">
        <f>'balance_raw_45667219'!$F$52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'balance_raw_45667219'!$B$53</f>
        <v/>
      </c>
      <c r="C76" s="5">
        <f>'balance_raw_45667219'!$C$53</f>
        <v/>
      </c>
      <c r="D76" s="5">
        <f>'balance_raw_45667219'!$D$53</f>
        <v/>
      </c>
      <c r="E76" s="5">
        <f>'balance_raw_45667219'!$E$53</f>
        <v/>
      </c>
      <c r="F76" s="5">
        <f>'balance_raw_45667219'!$F$53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'balance_raw_45667219'!$B$54</f>
        <v/>
      </c>
      <c r="C77" s="8">
        <f>'balance_raw_45667219'!$C$54</f>
        <v/>
      </c>
      <c r="D77" s="8">
        <f>'balance_raw_45667219'!$D$54</f>
        <v/>
      </c>
      <c r="E77" s="8">
        <f>'balance_raw_45667219'!$E$54</f>
        <v/>
      </c>
      <c r="F77" s="8">
        <f>'balance_raw_45667219'!$F$54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'balance_raw_45667219'!$B$55</f>
        <v/>
      </c>
      <c r="C78" s="11">
        <f>'balance_raw_45667219'!$C$55</f>
        <v/>
      </c>
      <c r="D78" s="11">
        <f>'balance_raw_45667219'!$D$55</f>
        <v/>
      </c>
      <c r="E78" s="11">
        <f>'balance_raw_45667219'!$E$55</f>
        <v/>
      </c>
      <c r="F78" s="11">
        <f>'balance_raw_45667219'!$F$55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'balance_raw_45667219'!$B$56</f>
        <v/>
      </c>
      <c r="C79" s="11">
        <f>'balance_raw_45667219'!$C$56</f>
        <v/>
      </c>
      <c r="D79" s="11">
        <f>'balance_raw_45667219'!$D$56</f>
        <v/>
      </c>
      <c r="E79" s="11">
        <f>'balance_raw_45667219'!$E$56</f>
        <v/>
      </c>
      <c r="F79" s="11">
        <f>'balance_raw_45667219'!$F$56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'balance_raw_45667219'!$B$57</f>
        <v/>
      </c>
      <c r="C80" s="11">
        <f>'balance_raw_45667219'!$C$57</f>
        <v/>
      </c>
      <c r="D80" s="11">
        <f>'balance_raw_45667219'!$D$57</f>
        <v/>
      </c>
      <c r="E80" s="11">
        <f>'balance_raw_45667219'!$E$57</f>
        <v/>
      </c>
      <c r="F80" s="11">
        <f>'balance_raw_45667219'!$F$57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'res_raw_45667219'!$B$19</f>
        <v/>
      </c>
      <c r="C83" s="8">
        <f>'res_raw_45667219'!$C$19</f>
        <v/>
      </c>
      <c r="D83" s="8">
        <f>'res_raw_45667219'!$D$19</f>
        <v/>
      </c>
      <c r="E83" s="8">
        <f>'res_raw_45667219'!$E$19</f>
        <v/>
      </c>
      <c r="F83" s="8">
        <f>'res_raw_45667219'!$F$19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'res_raw_45667219'!$B$20</f>
        <v/>
      </c>
      <c r="C84" s="5">
        <f>'res_raw_45667219'!$C$20</f>
        <v/>
      </c>
      <c r="D84" s="5">
        <f>'res_raw_45667219'!$D$20</f>
        <v/>
      </c>
      <c r="E84" s="5">
        <f>'res_raw_45667219'!$E$20</f>
        <v/>
      </c>
      <c r="F84" s="5">
        <f>'res_raw_45667219'!$F$20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IFERROR(($B$13+$B$15+$B$14)/$B$50*100,"")</f>
        <v/>
      </c>
      <c r="C87" s="13">
        <f>IFERROR(($C$13+$C$15+$C$14)/$C$50*100,"")</f>
        <v/>
      </c>
      <c r="D87" s="13">
        <f>IFERROR(($D$13+$D$15+$D$14)/$D$50*100,"")</f>
        <v/>
      </c>
      <c r="E87" s="13">
        <f>IFERROR(($E$13+$E$15+$E$14)/$E$50*100,"")</f>
        <v/>
      </c>
      <c r="F87" s="13">
        <f>IFERROR(($F$13+$F$15+$F$14)/$F$50*100,"")</f>
        <v/>
      </c>
    </row>
    <row r="88" ht="16" customHeight="1">
      <c r="A88" s="4" t="inlineStr">
        <is>
          <t>Overskudsgrad (af bruttofortjeneste), %</t>
        </is>
      </c>
      <c r="B88" s="14">
        <f>IFERROR(($B$13+$B$15+$B$14)/$B$8*100,"")</f>
        <v/>
      </c>
      <c r="C88" s="14">
        <f>IFERROR(($C$13+$C$15+$C$14)/$C$8*100,"")</f>
        <v/>
      </c>
      <c r="D88" s="14">
        <f>IFERROR(($D$13+$D$15+$D$14)/$D$8*100,"")</f>
        <v/>
      </c>
      <c r="E88" s="14">
        <f>IFERROR(($E$13+$E$15+$E$14)/$E$8*100,"")</f>
        <v/>
      </c>
      <c r="F88" s="14">
        <f>IFERROR(($F$13+$F$15+$F$14)/$F$8*100,"")</f>
        <v/>
      </c>
    </row>
    <row r="89" ht="16" customHeight="1">
      <c r="A89" s="7" t="inlineStr">
        <is>
          <t>Aktivernes omsætningshastighed (af bruttofortjeneste), gange</t>
        </is>
      </c>
      <c r="B89" s="13">
        <f>IFERROR($B$8/$B$50,"")</f>
        <v/>
      </c>
      <c r="C89" s="13">
        <f>IFERROR($C$8/$C$50,"")</f>
        <v/>
      </c>
      <c r="D89" s="13">
        <f>IFERROR($D$8/$D$50,"")</f>
        <v/>
      </c>
      <c r="E89" s="13">
        <f>IFERROR($E$8/$E$50,"")</f>
        <v/>
      </c>
      <c r="F89" s="13">
        <f>IFERROR($F$8/$F$50,"")</f>
        <v/>
      </c>
    </row>
    <row r="90" ht="16" customHeight="1">
      <c r="A90" s="4" t="inlineStr">
        <is>
          <t>Egenkapitalens forrentning, %</t>
        </is>
      </c>
      <c r="B90" s="14">
        <f>IFERROR($B$18/$B$59*100,"")</f>
        <v/>
      </c>
      <c r="C90" s="14">
        <f>IFERROR($C$18/$C$59*100,"")</f>
        <v/>
      </c>
      <c r="D90" s="14">
        <f>IFERROR($D$18/$D$59*100,"")</f>
        <v/>
      </c>
      <c r="E90" s="14">
        <f>IFERROR($E$18/$E$59*100,"")</f>
        <v/>
      </c>
      <c r="F90" s="14">
        <f>IFERROR($F$18/$F$59*100,"")</f>
        <v/>
      </c>
    </row>
    <row r="91" ht="16" customHeight="1">
      <c r="A91" s="7" t="inlineStr">
        <is>
          <t>Gældsrente, %</t>
        </is>
      </c>
      <c r="B91" s="13">
        <f>IFERROR($B$16/($B$80-$B$59)*100,"")</f>
        <v/>
      </c>
      <c r="C91" s="13">
        <f>IFERROR($C$16/($C$80-$C$59)*100,"")</f>
        <v/>
      </c>
      <c r="D91" s="13">
        <f>IFERROR($D$16/($D$80-$D$59)*100,"")</f>
        <v/>
      </c>
      <c r="E91" s="13">
        <f>IFERROR($E$16/($E$80-$E$59)*100,"")</f>
        <v/>
      </c>
      <c r="F91" s="13">
        <f>IFERROR($F$16/($F$80-$F$59)*100,"")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7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7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'pengestrom_raw_45667219'!$B$2</f>
        <v/>
      </c>
      <c r="C100" s="17">
        <f>'pengestrom_raw_45667219'!$C$2</f>
        <v/>
      </c>
      <c r="D100" s="17">
        <f>'pengestrom_raw_45667219'!$D$2</f>
        <v/>
      </c>
      <c r="E100" s="17">
        <f>'pengestrom_raw_45667219'!$E$2</f>
        <v/>
      </c>
      <c r="F100" s="17">
        <f>'pengestrom_raw_45667219'!$F$2</f>
        <v/>
      </c>
    </row>
    <row r="101">
      <c r="A101" s="16" t="inlineStr">
        <is>
          <t>Pengestrømme fra investeringsaktivitet</t>
        </is>
      </c>
      <c r="B101" s="17">
        <f>'pengestrom_raw_45667219'!$B$3</f>
        <v/>
      </c>
      <c r="C101" s="17">
        <f>'pengestrom_raw_45667219'!$C$3</f>
        <v/>
      </c>
      <c r="D101" s="17">
        <f>'pengestrom_raw_45667219'!$D$3</f>
        <v/>
      </c>
      <c r="E101" s="17">
        <f>'pengestrom_raw_45667219'!$E$3</f>
        <v/>
      </c>
      <c r="F101" s="17">
        <f>'pengestrom_raw_45667219'!$F$3</f>
        <v/>
      </c>
    </row>
    <row r="102">
      <c r="A102" s="16" t="inlineStr">
        <is>
          <t>Pengestrømme fra finansieringsaktivitet</t>
        </is>
      </c>
      <c r="B102" s="17">
        <f>'pengestrom_raw_45667219'!$B$4</f>
        <v/>
      </c>
      <c r="C102" s="17">
        <f>'pengestrom_raw_45667219'!$C$4</f>
        <v/>
      </c>
      <c r="D102" s="17">
        <f>'pengestrom_raw_45667219'!$D$4</f>
        <v/>
      </c>
      <c r="E102" s="17">
        <f>'pengestrom_raw_45667219'!$E$4</f>
        <v/>
      </c>
      <c r="F102" s="17">
        <f>'pengestrom_raw_45667219'!$F$4</f>
        <v/>
      </c>
    </row>
    <row r="103">
      <c r="A103" s="16" t="inlineStr">
        <is>
          <t>Årets pengestrøm (rapporteret)</t>
        </is>
      </c>
      <c r="B103" s="17">
        <f>'pengestrom_raw_45667219'!$B$5</f>
        <v/>
      </c>
      <c r="C103" s="17">
        <f>'pengestrom_raw_45667219'!$C$5</f>
        <v/>
      </c>
      <c r="D103" s="17">
        <f>'pengestrom_raw_45667219'!$D$5</f>
        <v/>
      </c>
      <c r="E103" s="17">
        <f>'pengestrom_raw_45667219'!$E$5</f>
        <v/>
      </c>
      <c r="F103" s="17">
        <f>'pengestrom_raw_45667219'!$F$5</f>
        <v/>
      </c>
    </row>
    <row r="104">
      <c r="A104" s="16" t="inlineStr">
        <is>
          <t>Krydstjek: drift + inv. + fin. = årets pengestrøm</t>
        </is>
      </c>
      <c r="B104">
        <f>IF(ABS(('pengestrom_raw_45667219'!$B$2+'pengestrom_raw_45667219'!$B$3+'pengestrom_raw_45667219'!$B$4)-'pengestrom_raw_45667219'!$B$5)&lt;=2,"✓","⚠ "&amp;TEXT(('pengestrom_raw_45667219'!$B$2+'pengestrom_raw_45667219'!$B$3+'pengestrom_raw_45667219'!$B$4)-'pengestrom_raw_45667219'!$B$5,"+#,##0;-#,##0"))</f>
        <v/>
      </c>
      <c r="C104">
        <f>IF(ABS(('pengestrom_raw_45667219'!$C$2+'pengestrom_raw_45667219'!$C$3+'pengestrom_raw_45667219'!$C$4)-'pengestrom_raw_45667219'!$C$5)&lt;=2,"✓","⚠ "&amp;TEXT(('pengestrom_raw_45667219'!$C$2+'pengestrom_raw_45667219'!$C$3+'pengestrom_raw_45667219'!$C$4)-'pengestrom_raw_45667219'!$C$5,"+#,##0;-#,##0"))</f>
        <v/>
      </c>
      <c r="D104">
        <f>IF(ABS(('pengestrom_raw_45667219'!$D$2+'pengestrom_raw_45667219'!$D$3+'pengestrom_raw_45667219'!$D$4)-'pengestrom_raw_45667219'!$D$5)&lt;=2,"✓","⚠ "&amp;TEXT(('pengestrom_raw_45667219'!$D$2+'pengestrom_raw_45667219'!$D$3+'pengestrom_raw_45667219'!$D$4)-'pengestrom_raw_45667219'!$D$5,"+#,##0;-#,##0"))</f>
        <v/>
      </c>
      <c r="E104">
        <f>IF(ABS(('pengestrom_raw_45667219'!$E$2+'pengestrom_raw_45667219'!$E$3+'pengestrom_raw_45667219'!$E$4)-'pengestrom_raw_45667219'!$E$5)&lt;=2,"✓","⚠ "&amp;TEXT(('pengestrom_raw_45667219'!$E$2+'pengestrom_raw_45667219'!$E$3+'pengestrom_raw_45667219'!$E$4)-'pengestrom_raw_45667219'!$E$5,"+#,##0;-#,##0"))</f>
        <v/>
      </c>
      <c r="F104">
        <f>IF(ABS(('pengestrom_raw_45667219'!$F$2+'pengestrom_raw_45667219'!$F$3+'pengestrom_raw_45667219'!$F$4)-'pengestrom_raw_45667219'!$F$5)&lt;=2,"✓","⚠ "&amp;TEXT(('pengestrom_raw_45667219'!$F$2+'pengestrom_raw_45667219'!$F$3+'pengestrom_raw_45667219'!$F$4)-'pengestrom_raw_45667219'!$F$5,"+#,##0;-#,##0"))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PETER LARSEN KAFFE A/S (CVR 45667219)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52820</v>
      </c>
      <c r="C6" s="17" t="n">
        <v>45633</v>
      </c>
      <c r="D6" s="17" t="n">
        <v>52096</v>
      </c>
      <c r="E6" s="17" t="n">
        <v>36997</v>
      </c>
      <c r="F6" s="17" t="n">
        <v>39334</v>
      </c>
    </row>
    <row r="7">
      <c r="A7" s="16" t="inlineStr">
        <is>
          <t>Personaleomkostninger</t>
        </is>
      </c>
      <c r="B7" s="17" t="n">
        <v>37027</v>
      </c>
      <c r="C7" s="17" t="n">
        <v>36996</v>
      </c>
      <c r="D7" s="17" t="n">
        <v>37637</v>
      </c>
      <c r="E7" s="17" t="n">
        <v>36827</v>
      </c>
      <c r="F7" s="17" t="n">
        <v>36049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4342</v>
      </c>
      <c r="C9" s="17" t="n">
        <v>4410</v>
      </c>
      <c r="D9" s="17" t="n">
        <v>4542</v>
      </c>
      <c r="E9" s="17" t="n">
        <v>3951</v>
      </c>
      <c r="F9" s="17" t="n">
        <v>3553</v>
      </c>
    </row>
    <row r="10">
      <c r="A10" s="16" t="inlineStr">
        <is>
          <t>Andre driftsomkostninger</t>
        </is>
      </c>
      <c r="B10" s="17" t="n"/>
      <c r="C10" s="17" t="n"/>
      <c r="D10" s="17" t="n">
        <v>218</v>
      </c>
      <c r="E10" s="17" t="n">
        <v>0</v>
      </c>
      <c r="F10" s="17" t="n">
        <v>404</v>
      </c>
    </row>
    <row r="11">
      <c r="A11" s="15" t="inlineStr">
        <is>
          <t>Resultat af primær drift</t>
        </is>
      </c>
      <c r="B11" s="17" t="n">
        <v>11450</v>
      </c>
      <c r="C11" s="17" t="n">
        <v>4227</v>
      </c>
      <c r="D11" s="17" t="n">
        <v>9699</v>
      </c>
      <c r="E11" s="17" t="n">
        <v>-3781</v>
      </c>
      <c r="F11" s="17" t="n">
        <v>-672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0</v>
      </c>
      <c r="C13" s="17" t="n">
        <v>0</v>
      </c>
      <c r="D13" s="17" t="n">
        <v>30</v>
      </c>
      <c r="E13" s="17" t="n">
        <v>7</v>
      </c>
      <c r="F13" s="17" t="n">
        <v>4</v>
      </c>
    </row>
    <row r="14">
      <c r="A14" s="16" t="inlineStr">
        <is>
          <t>Finansielle omkostninger</t>
        </is>
      </c>
      <c r="B14" s="17" t="n">
        <v>193</v>
      </c>
      <c r="C14" s="17" t="n">
        <v>210</v>
      </c>
      <c r="D14" s="17" t="n">
        <v>510</v>
      </c>
      <c r="E14" s="17" t="n">
        <v>604</v>
      </c>
      <c r="F14" s="17" t="n">
        <v>850</v>
      </c>
    </row>
    <row r="15">
      <c r="A15" s="15" t="inlineStr">
        <is>
          <t>Finansielle poster, netto</t>
        </is>
      </c>
      <c r="B15" s="17" t="n">
        <v>-193</v>
      </c>
      <c r="C15" s="17" t="n">
        <v>-210</v>
      </c>
      <c r="D15" s="17" t="n">
        <v>-480</v>
      </c>
      <c r="E15" s="17" t="n">
        <v>-597</v>
      </c>
      <c r="F15" s="17" t="n">
        <v>-846</v>
      </c>
    </row>
    <row r="16">
      <c r="A16" s="15" t="inlineStr">
        <is>
          <t>Resultat før skat</t>
        </is>
      </c>
      <c r="B16" s="17" t="n">
        <v>11257</v>
      </c>
      <c r="C16" s="17" t="n">
        <v>4017</v>
      </c>
      <c r="D16" s="17" t="n">
        <v>9219</v>
      </c>
      <c r="E16" s="17" t="n">
        <v>-4378</v>
      </c>
      <c r="F16" s="17" t="n">
        <v>-1518</v>
      </c>
    </row>
    <row r="17">
      <c r="A17" s="16" t="inlineStr">
        <is>
          <t>Skat af årets resultat</t>
        </is>
      </c>
      <c r="B17" s="17" t="n">
        <v>2459</v>
      </c>
      <c r="C17" s="17" t="n">
        <v>852</v>
      </c>
      <c r="D17" s="17" t="n">
        <v>1978</v>
      </c>
      <c r="E17" s="17" t="n">
        <v>-935</v>
      </c>
      <c r="F17" s="17" t="n">
        <v>-229</v>
      </c>
    </row>
    <row r="18">
      <c r="A18" s="15" t="inlineStr">
        <is>
          <t>Årets resultat</t>
        </is>
      </c>
      <c r="B18" s="17" t="n">
        <v>8798</v>
      </c>
      <c r="C18" s="17" t="n">
        <v>3165</v>
      </c>
      <c r="D18" s="17" t="n">
        <v>7241</v>
      </c>
      <c r="E18" s="17" t="n">
        <v>-3443</v>
      </c>
      <c r="F18" s="17" t="n">
        <v>-1289</v>
      </c>
    </row>
    <row r="19">
      <c r="A19" s="16" t="inlineStr">
        <is>
          <t>Gns. antal medarbejdere</t>
        </is>
      </c>
      <c r="B19" s="17" t="n">
        <v>67</v>
      </c>
      <c r="C19" s="17" t="n">
        <v>70</v>
      </c>
      <c r="D19" s="17" t="n">
        <v>69</v>
      </c>
      <c r="E19" s="17" t="n">
        <v>67000</v>
      </c>
      <c r="F19" s="17" t="n">
        <v>58000</v>
      </c>
    </row>
    <row r="20">
      <c r="A20" s="16" t="inlineStr">
        <is>
          <t>Investering i materielle anlægsaktiver</t>
        </is>
      </c>
      <c r="B20" s="17" t="n">
        <v>6113</v>
      </c>
      <c r="C20" s="17" t="n">
        <v>6474</v>
      </c>
      <c r="D20" s="17" t="n">
        <v>2462</v>
      </c>
      <c r="E20" s="17" t="n">
        <v>1860</v>
      </c>
      <c r="F20" s="17" t="n">
        <v>1598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PETER LARSEN KAFFE A/S (CVR 45667219)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44</v>
      </c>
      <c r="C4" s="17" t="n">
        <v>34</v>
      </c>
      <c r="D4" s="17" t="n">
        <v>24</v>
      </c>
      <c r="E4" s="17" t="n">
        <v>9</v>
      </c>
      <c r="F4" s="17" t="n">
        <v>0</v>
      </c>
    </row>
    <row r="5">
      <c r="A5" s="15" t="inlineStr">
        <is>
          <t>Immaterielle anlægsaktiver</t>
        </is>
      </c>
      <c r="B5" s="17" t="n"/>
      <c r="C5" s="17" t="n"/>
      <c r="D5" s="17" t="n"/>
      <c r="E5" s="17" t="n"/>
      <c r="F5" s="17" t="n"/>
    </row>
    <row r="6">
      <c r="A6" s="16" t="inlineStr">
        <is>
          <t>Grunde og bygninger</t>
        </is>
      </c>
      <c r="B6" s="17" t="n">
        <v>21947</v>
      </c>
      <c r="C6" s="17" t="n">
        <v>21921</v>
      </c>
      <c r="D6" s="17" t="n">
        <v>22263</v>
      </c>
      <c r="E6" s="17" t="n">
        <v>21826</v>
      </c>
      <c r="F6" s="17" t="n">
        <v>21183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13002</v>
      </c>
      <c r="C8" s="17" t="n">
        <v>14259</v>
      </c>
      <c r="D8" s="17" t="n">
        <v>11777</v>
      </c>
      <c r="E8" s="17" t="n">
        <v>8900</v>
      </c>
      <c r="F8" s="17" t="n">
        <v>6957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0</v>
      </c>
      <c r="C10" s="17" t="n">
        <v>420</v>
      </c>
      <c r="D10" s="17" t="n">
        <v>0</v>
      </c>
      <c r="E10" s="17" t="n"/>
      <c r="F10" s="17" t="n"/>
    </row>
    <row r="11">
      <c r="A11" s="15" t="inlineStr">
        <is>
          <t>Materielle anlægsaktiver</t>
        </is>
      </c>
      <c r="B11" s="17" t="n">
        <v>34949</v>
      </c>
      <c r="C11" s="17" t="n">
        <v>36600</v>
      </c>
      <c r="D11" s="17" t="n">
        <v>34040</v>
      </c>
      <c r="E11" s="17" t="n">
        <v>30726</v>
      </c>
      <c r="F11" s="17" t="n">
        <v>28140</v>
      </c>
    </row>
    <row r="12">
      <c r="A12" s="15" t="inlineStr">
        <is>
          <t>Finansielle anlægsaktiver</t>
        </is>
      </c>
      <c r="B12" s="17" t="n">
        <v>31</v>
      </c>
      <c r="C12" s="17" t="n">
        <v>31</v>
      </c>
      <c r="D12" s="17" t="n">
        <v>31</v>
      </c>
      <c r="E12" s="17" t="n">
        <v>31</v>
      </c>
      <c r="F12" s="17" t="n">
        <v>31</v>
      </c>
    </row>
    <row r="13">
      <c r="A13" s="15" t="inlineStr">
        <is>
          <t>Anlægsaktiver</t>
        </is>
      </c>
      <c r="B13" s="17" t="n">
        <v>35024</v>
      </c>
      <c r="C13" s="17" t="n">
        <v>36665</v>
      </c>
      <c r="D13" s="17" t="n">
        <v>34095</v>
      </c>
      <c r="E13" s="17" t="n">
        <v>30766</v>
      </c>
      <c r="F13" s="17" t="n">
        <v>28171</v>
      </c>
    </row>
    <row r="14">
      <c r="A14" s="16" t="inlineStr">
        <is>
          <t>Råvarer og hjælpematerialer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Varer under fremstilling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Færdigvarer og handelsvarer</t>
        </is>
      </c>
      <c r="B16" s="17" t="n">
        <v>4538</v>
      </c>
      <c r="C16" s="17" t="n">
        <v>4156</v>
      </c>
      <c r="D16" s="17" t="n">
        <v>4057</v>
      </c>
      <c r="E16" s="17" t="n">
        <v>5750</v>
      </c>
      <c r="F16" s="17" t="n">
        <v>4547</v>
      </c>
    </row>
    <row r="17">
      <c r="A17" s="15" t="inlineStr">
        <is>
          <t>Varebeholdninger</t>
        </is>
      </c>
      <c r="B17" s="17" t="n">
        <v>4538</v>
      </c>
      <c r="C17" s="17" t="n">
        <v>4156</v>
      </c>
      <c r="D17" s="17" t="n">
        <v>4057</v>
      </c>
      <c r="E17" s="17" t="n">
        <v>5750</v>
      </c>
      <c r="F17" s="17" t="n">
        <v>4547</v>
      </c>
    </row>
    <row r="18">
      <c r="A18" s="16" t="inlineStr">
        <is>
          <t>Tilgodehavender fra salg og tjenesteydelser</t>
        </is>
      </c>
      <c r="B18" s="17" t="n">
        <v>29093</v>
      </c>
      <c r="C18" s="17" t="n">
        <v>50520</v>
      </c>
      <c r="D18" s="17" t="n">
        <v>47360</v>
      </c>
      <c r="E18" s="17" t="n">
        <v>64442</v>
      </c>
      <c r="F18" s="17" t="n">
        <v>68901</v>
      </c>
    </row>
    <row r="19">
      <c r="A19" s="16" t="inlineStr">
        <is>
          <t>Tilgodehavender hos tilknyttede virksomheder</t>
        </is>
      </c>
      <c r="B19" s="17" t="n">
        <v>250</v>
      </c>
      <c r="C19" s="17" t="n">
        <v>546</v>
      </c>
      <c r="D19" s="17" t="n">
        <v>204</v>
      </c>
      <c r="E19" s="17" t="n">
        <v>482</v>
      </c>
      <c r="F19" s="17" t="n">
        <v>401</v>
      </c>
    </row>
    <row r="20">
      <c r="A20" s="16" t="inlineStr">
        <is>
          <t>Andre tilgodehavender</t>
        </is>
      </c>
      <c r="B20" s="17" t="n">
        <v>648</v>
      </c>
      <c r="C20" s="17" t="n">
        <v>845</v>
      </c>
      <c r="D20" s="17" t="n">
        <v>193</v>
      </c>
      <c r="E20" s="17" t="n">
        <v>133</v>
      </c>
      <c r="F20" s="17" t="n">
        <v>104</v>
      </c>
    </row>
    <row r="21">
      <c r="A21" s="16" t="inlineStr">
        <is>
          <t>Periodeafgrænsningsposter (aktiver)</t>
        </is>
      </c>
      <c r="B21" s="17" t="n">
        <v>633</v>
      </c>
      <c r="C21" s="17" t="n">
        <v>754</v>
      </c>
      <c r="D21" s="17" t="n">
        <v>1659</v>
      </c>
      <c r="E21" s="17" t="n">
        <v>639</v>
      </c>
      <c r="F21" s="17" t="n">
        <v>1129</v>
      </c>
    </row>
    <row r="22">
      <c r="A22" s="16" t="inlineStr">
        <is>
          <t>Udskudt skatteaktiv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Tilgodehavende skat hos tilknyttede virksomheder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Kortfristede skattetilgodehavender</t>
        </is>
      </c>
      <c r="B24" s="17" t="n"/>
      <c r="C24" s="17" t="n"/>
      <c r="D24" s="17" t="n"/>
      <c r="E24" s="17" t="n">
        <v>403</v>
      </c>
      <c r="F24" s="17" t="n">
        <v>0</v>
      </c>
    </row>
    <row r="25">
      <c r="A25" s="15" t="inlineStr">
        <is>
          <t>Tilgodehavender</t>
        </is>
      </c>
      <c r="B25" s="17" t="n">
        <v>30624</v>
      </c>
      <c r="C25" s="17" t="n">
        <v>52665</v>
      </c>
      <c r="D25" s="17" t="n">
        <v>49415</v>
      </c>
      <c r="E25" s="17" t="n">
        <v>66099</v>
      </c>
      <c r="F25" s="17" t="n">
        <v>70535</v>
      </c>
    </row>
    <row r="26">
      <c r="A26" s="16" t="inlineStr">
        <is>
          <t>Værdipapirer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Likvide beholdninger</t>
        </is>
      </c>
      <c r="B27" s="17" t="n">
        <v>5042</v>
      </c>
      <c r="C27" s="17" t="n">
        <v>1158</v>
      </c>
      <c r="D27" s="17" t="n">
        <v>2340</v>
      </c>
      <c r="E27" s="17" t="n">
        <v>984</v>
      </c>
      <c r="F27" s="17" t="n">
        <v>23</v>
      </c>
    </row>
    <row r="28">
      <c r="A28" s="15" t="inlineStr">
        <is>
          <t>Omsætningsaktiver</t>
        </is>
      </c>
      <c r="B28" s="17" t="n">
        <v>40205</v>
      </c>
      <c r="C28" s="17" t="n">
        <v>57979</v>
      </c>
      <c r="D28" s="17" t="n">
        <v>55812</v>
      </c>
      <c r="E28" s="17" t="n">
        <v>72833</v>
      </c>
      <c r="F28" s="17" t="n">
        <v>75105</v>
      </c>
    </row>
    <row r="29">
      <c r="A29" s="15" t="inlineStr">
        <is>
          <t>Aktiver</t>
        </is>
      </c>
      <c r="B29" s="17" t="n">
        <v>75229</v>
      </c>
      <c r="C29" s="17" t="n">
        <v>94644</v>
      </c>
      <c r="D29" s="17" t="n">
        <v>89907</v>
      </c>
      <c r="E29" s="17" t="n">
        <v>103599</v>
      </c>
      <c r="F29" s="17" t="n">
        <v>103276</v>
      </c>
    </row>
    <row r="30">
      <c r="A30" s="16" t="inlineStr">
        <is>
          <t>Selskabskapital</t>
        </is>
      </c>
      <c r="B30" s="17" t="n">
        <v>1200</v>
      </c>
      <c r="C30" s="17" t="n">
        <v>1200</v>
      </c>
      <c r="D30" s="17" t="n">
        <v>1200</v>
      </c>
      <c r="E30" s="17" t="n">
        <v>1200</v>
      </c>
      <c r="F30" s="17" t="n">
        <v>1200</v>
      </c>
    </row>
    <row r="31">
      <c r="A31" s="16" t="inlineStr">
        <is>
          <t>Reserve for nettoopskrivning (indre værdis metode)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udviklingsomkostninger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Reserve for sikringstransaktioner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Andre reserver</t>
        </is>
      </c>
      <c r="B34" s="17" t="n">
        <v>4480</v>
      </c>
      <c r="C34" s="17" t="n">
        <v>4387</v>
      </c>
      <c r="D34" s="17" t="n">
        <v>4293</v>
      </c>
      <c r="E34" s="17" t="n">
        <v>4153</v>
      </c>
      <c r="F34" s="17" t="n">
        <v>4060</v>
      </c>
    </row>
    <row r="35">
      <c r="A35" s="16" t="inlineStr">
        <is>
          <t>Overført resultat</t>
        </is>
      </c>
      <c r="B35" s="17" t="n">
        <v>26577</v>
      </c>
      <c r="C35" s="17" t="n">
        <v>29835</v>
      </c>
      <c r="D35" s="17" t="n">
        <v>31170</v>
      </c>
      <c r="E35" s="17" t="n">
        <v>29085</v>
      </c>
      <c r="F35" s="17" t="n">
        <v>27889</v>
      </c>
    </row>
    <row r="36">
      <c r="A36" s="15" t="inlineStr">
        <is>
          <t>Egenkapital i alt</t>
        </is>
      </c>
      <c r="B36" s="17" t="n">
        <v>40257</v>
      </c>
      <c r="C36" s="17" t="n">
        <v>35422</v>
      </c>
      <c r="D36" s="17" t="n">
        <v>42663</v>
      </c>
      <c r="E36" s="17" t="n">
        <v>34438</v>
      </c>
      <c r="F36" s="17" t="n">
        <v>33149</v>
      </c>
    </row>
    <row r="37">
      <c r="A37" s="16" t="inlineStr">
        <is>
          <t>Hensættelse til udskudt skat</t>
        </is>
      </c>
      <c r="B37" s="17" t="n">
        <v>4381</v>
      </c>
      <c r="C37" s="17" t="n">
        <v>4715</v>
      </c>
      <c r="D37" s="17" t="n">
        <v>4276</v>
      </c>
      <c r="E37" s="17" t="n">
        <v>3216</v>
      </c>
      <c r="F37" s="17" t="n">
        <v>2928</v>
      </c>
    </row>
    <row r="38">
      <c r="A38" s="15" t="inlineStr">
        <is>
          <t>Hensatte forpligtelser</t>
        </is>
      </c>
      <c r="B38" s="17" t="n">
        <v>4381</v>
      </c>
      <c r="C38" s="17" t="n">
        <v>4715</v>
      </c>
      <c r="D38" s="17" t="n">
        <v>4276</v>
      </c>
      <c r="E38" s="17" t="n">
        <v>3216</v>
      </c>
      <c r="F38" s="17" t="n">
        <v>2928</v>
      </c>
    </row>
    <row r="39">
      <c r="A39" s="16" t="inlineStr">
        <is>
          <t>Ansvarlig lånekapital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Langfristede lån</t>
        </is>
      </c>
      <c r="B40" s="17" t="n">
        <v>1020</v>
      </c>
      <c r="C40" s="17" t="n">
        <v>899</v>
      </c>
      <c r="D40" s="17" t="n">
        <v>779</v>
      </c>
      <c r="E40" s="17" t="n">
        <v>599</v>
      </c>
      <c r="F40" s="17" t="n">
        <v>479</v>
      </c>
    </row>
    <row r="41">
      <c r="A41" s="16" t="inlineStr">
        <is>
          <t>Leasingforpligtelser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Anden gæld (langfristet)</t>
        </is>
      </c>
      <c r="B42" s="17" t="n"/>
      <c r="C42" s="17" t="n"/>
      <c r="D42" s="17" t="n"/>
      <c r="E42" s="17" t="n"/>
      <c r="F42" s="17" t="n"/>
    </row>
    <row r="43">
      <c r="A43" s="15" t="inlineStr">
        <is>
          <t>Langfristede gældsforpligtelser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Ansvarlig lånekapital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Kortfristet del af langfristede gældsforpligtelser</t>
        </is>
      </c>
      <c r="B45" s="17" t="n">
        <v>120</v>
      </c>
      <c r="C45" s="17" t="n">
        <v>120</v>
      </c>
      <c r="D45" s="17" t="n">
        <v>120</v>
      </c>
      <c r="E45" s="17" t="n"/>
      <c r="F45" s="17" t="n"/>
    </row>
    <row r="46">
      <c r="A46" s="16" t="inlineStr">
        <is>
          <t>Kreditinstitutter</t>
        </is>
      </c>
      <c r="B46" s="17" t="n">
        <v>111</v>
      </c>
      <c r="C46" s="17" t="n">
        <v>16388</v>
      </c>
      <c r="D46" s="17" t="n">
        <v>467</v>
      </c>
      <c r="E46" s="17" t="n">
        <v>100</v>
      </c>
      <c r="F46" s="17" t="n">
        <v>525</v>
      </c>
    </row>
    <row r="47">
      <c r="A47" s="16" t="inlineStr">
        <is>
          <t>Leasingforpligtelser (kortfristet)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Leverandører af varer og tjenesteydelser</t>
        </is>
      </c>
      <c r="B48" s="17" t="n">
        <v>5248</v>
      </c>
      <c r="C48" s="17" t="n">
        <v>5167</v>
      </c>
      <c r="D48" s="17" t="n">
        <v>5911</v>
      </c>
      <c r="E48" s="17" t="n">
        <v>4214</v>
      </c>
      <c r="F48" s="17" t="n">
        <v>5628</v>
      </c>
    </row>
    <row r="49">
      <c r="A49" s="16" t="inlineStr">
        <is>
          <t>Gæld til tilknyttede virksomheder</t>
        </is>
      </c>
      <c r="B49" s="17" t="n">
        <v>7762</v>
      </c>
      <c r="C49" s="17" t="n">
        <v>16770</v>
      </c>
      <c r="D49" s="17" t="n">
        <v>19617</v>
      </c>
      <c r="E49" s="17" t="n">
        <v>47879</v>
      </c>
      <c r="F49" s="17" t="n">
        <v>45702</v>
      </c>
    </row>
    <row r="50">
      <c r="A50" s="16" t="inlineStr">
        <is>
          <t>Gæld til selskabsdeltagere og ledelse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Selskabsskat</t>
        </is>
      </c>
      <c r="B51" s="17" t="n">
        <v>1891</v>
      </c>
      <c r="C51" s="17" t="n">
        <v>517</v>
      </c>
      <c r="D51" s="17" t="n">
        <v>2417</v>
      </c>
      <c r="E51" s="17" t="n"/>
      <c r="F51" s="17" t="n"/>
    </row>
    <row r="52">
      <c r="A52" s="16" t="inlineStr">
        <is>
          <t>Gæld til tilknyttede virksomheder vedr. selskabsskat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Anden gæld (kortfristet)</t>
        </is>
      </c>
      <c r="B53" s="17" t="n">
        <v>14163</v>
      </c>
      <c r="C53" s="17" t="n">
        <v>14528</v>
      </c>
      <c r="D53" s="17" t="n">
        <v>13597</v>
      </c>
      <c r="E53" s="17" t="n">
        <v>12990</v>
      </c>
      <c r="F53" s="17" t="n">
        <v>13599</v>
      </c>
    </row>
    <row r="54">
      <c r="A54" s="16" t="inlineStr">
        <is>
          <t>Periodeafgrænsningsposter (passiver)</t>
        </is>
      </c>
      <c r="B54" s="17" t="n">
        <v>277</v>
      </c>
      <c r="C54" s="17" t="n">
        <v>117</v>
      </c>
      <c r="D54" s="17" t="n">
        <v>59</v>
      </c>
      <c r="E54" s="17" t="n">
        <v>43</v>
      </c>
      <c r="F54" s="17" t="n">
        <v>1146</v>
      </c>
    </row>
    <row r="55">
      <c r="A55" s="15" t="inlineStr">
        <is>
          <t>Kortfristede gældsforpligtelser</t>
        </is>
      </c>
      <c r="B55" s="17" t="n">
        <v>29572</v>
      </c>
      <c r="C55" s="17" t="n">
        <v>53608</v>
      </c>
      <c r="D55" s="17" t="n">
        <v>42189</v>
      </c>
      <c r="E55" s="17" t="n">
        <v>65346</v>
      </c>
      <c r="F55" s="17" t="n">
        <v>66720</v>
      </c>
    </row>
    <row r="56">
      <c r="A56" s="15" t="inlineStr">
        <is>
          <t>Gældsforpligtelser</t>
        </is>
      </c>
      <c r="B56" s="17" t="n">
        <v>30592</v>
      </c>
      <c r="C56" s="17" t="n">
        <v>54507</v>
      </c>
      <c r="D56" s="17" t="n">
        <v>42968</v>
      </c>
      <c r="E56" s="17" t="n">
        <v>65945</v>
      </c>
      <c r="F56" s="17" t="n">
        <v>67199</v>
      </c>
    </row>
    <row r="57">
      <c r="A57" s="15" t="inlineStr">
        <is>
          <t>Passiver</t>
        </is>
      </c>
      <c r="B57" s="17" t="n">
        <v>75229</v>
      </c>
      <c r="C57" s="17" t="n">
        <v>94644</v>
      </c>
      <c r="D57" s="17" t="n">
        <v>89907</v>
      </c>
      <c r="E57" s="17" t="n">
        <v>103599</v>
      </c>
      <c r="F57" s="17" t="n">
        <v>103276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PETER LARSEN KAFFE A/S (CVR 45667219)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19669</v>
      </c>
      <c r="C2" s="17" t="n">
        <v>-5990</v>
      </c>
      <c r="D2" s="17" t="n">
        <v>19195</v>
      </c>
      <c r="E2" s="17" t="n">
        <v>-12854</v>
      </c>
      <c r="F2" s="17" t="n">
        <v>3707</v>
      </c>
    </row>
    <row r="3">
      <c r="A3" s="16" t="inlineStr">
        <is>
          <t>Pengestrømme fra investeringsaktivitet</t>
        </is>
      </c>
      <c r="B3" s="17" t="n">
        <v>-5205</v>
      </c>
      <c r="C3" s="17" t="n">
        <v>-6051</v>
      </c>
      <c r="D3" s="17" t="n">
        <v>-1972</v>
      </c>
      <c r="E3" s="17" t="n">
        <v>-1630</v>
      </c>
      <c r="F3" s="17" t="n">
        <v>-958</v>
      </c>
    </row>
    <row r="4">
      <c r="A4" s="16" t="inlineStr">
        <is>
          <t>Pengestrømme fra finansieringsaktivitet</t>
        </is>
      </c>
      <c r="B4" s="17" t="n">
        <v>-6108</v>
      </c>
      <c r="C4" s="17" t="n">
        <v>-8120</v>
      </c>
      <c r="D4" s="17" t="n">
        <v>-120</v>
      </c>
      <c r="E4" s="17" t="n">
        <v>15365</v>
      </c>
      <c r="F4" s="17" t="n">
        <v>-3710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PETER LARSEN KAFFE A/S (CVR 45667219) — Regnskabs- og nøgletal (CVR: 45667219)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'res_raw_45667219'!$F$2</f>
        <v/>
      </c>
      <c r="C5" s="24">
        <f>'res_raw_45667219'!$E$2</f>
        <v/>
      </c>
      <c r="D5" s="24">
        <f>'res_raw_45667219'!$D$2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'res_raw_45667219'!$F$3</f>
        <v/>
      </c>
      <c r="C6" s="24">
        <f>'res_raw_45667219'!$E$3</f>
        <v/>
      </c>
      <c r="D6" s="24">
        <f>'res_raw_45667219'!$D$3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-'res_raw_45667219'!$F$4</f>
        <v/>
      </c>
      <c r="C7" s="24">
        <f>-'res_raw_45667219'!$E$4</f>
        <v/>
      </c>
      <c r="D7" s="24">
        <f>-'res_raw_45667219'!$D$4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-'res_raw_45667219'!$F$5</f>
        <v/>
      </c>
      <c r="C8" s="24">
        <f>-'res_raw_45667219'!$E$5</f>
        <v/>
      </c>
      <c r="D8" s="24">
        <f>-'res_raw_45667219'!$D$5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IF(ABS((SUM(B5:B8))-'res_raw_45667219'!$F$6)&lt;=2,SUM(B5:B8),'res_raw_45667219'!$F$6)</f>
        <v/>
      </c>
      <c r="C9" s="27">
        <f>IF(ABS((SUM(C5:C8))-'res_raw_45667219'!$E$6)&lt;=2,SUM(C5:C8),'res_raw_45667219'!$E$6)</f>
        <v/>
      </c>
      <c r="D9" s="27">
        <f>IF(ABS((SUM(D5:D8))-'res_raw_45667219'!$D$6)&lt;=2,SUM(D5:D8),'res_raw_45667219'!$D$6)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-'res_raw_45667219'!$F$7</f>
        <v/>
      </c>
      <c r="C10" s="24">
        <f>-'res_raw_45667219'!$E$7</f>
        <v/>
      </c>
      <c r="D10" s="24">
        <f>-'res_raw_45667219'!$D$7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-'res_raw_45667219'!$F$9</f>
        <v/>
      </c>
      <c r="C11" s="24">
        <f>-'res_raw_45667219'!$E$9</f>
        <v/>
      </c>
      <c r="D11" s="24">
        <f>-'res_raw_45667219'!$D$9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-'res_raw_45667219'!$F$10</f>
        <v/>
      </c>
      <c r="C12" s="24">
        <f>-'res_raw_45667219'!$E$10</f>
        <v/>
      </c>
      <c r="D12" s="24">
        <f>-'res_raw_45667219'!$D$10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IF(ABS((SUM(B9:B12))-'res_raw_45667219'!$F$11)&lt;=2,SUM(B9:B12),'res_raw_45667219'!$F$11)</f>
        <v/>
      </c>
      <c r="C13" s="27">
        <f>IF(ABS((SUM(C9:C12))-'res_raw_45667219'!$E$11)&lt;=2,SUM(C9:C12),'res_raw_45667219'!$E$11)</f>
        <v/>
      </c>
      <c r="D13" s="27">
        <f>IF(ABS((SUM(D9:D12))-'res_raw_45667219'!$D$11)&lt;=2,SUM(D9:D12),'res_raw_45667219'!$D$11)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N('res_raw_45667219'!$F$12)+N('res_raw_45667219'!$F$13)</f>
        <v/>
      </c>
      <c r="C14" s="24">
        <f>N('res_raw_45667219'!$E$12)+N('res_raw_45667219'!$E$13)</f>
        <v/>
      </c>
      <c r="D14" s="24">
        <f>N('res_raw_45667219'!$D$12)+N('res_raw_45667219'!$D$13)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-'res_raw_45667219'!$F$14</f>
        <v/>
      </c>
      <c r="C15" s="24">
        <f>-'res_raw_45667219'!$E$14</f>
        <v/>
      </c>
      <c r="D15" s="24">
        <f>-'res_raw_45667219'!$D$14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IF(ABS((SUM(B13:B15))-'res_raw_45667219'!$F$16)&lt;=2,SUM(B13:B15),'res_raw_45667219'!$F$16)</f>
        <v/>
      </c>
      <c r="C16" s="27">
        <f>IF(ABS((SUM(C13:C15))-'res_raw_45667219'!$E$16)&lt;=2,SUM(C13:C15),'res_raw_45667219'!$E$16)</f>
        <v/>
      </c>
      <c r="D16" s="27">
        <f>IF(ABS((SUM(D13:D15))-'res_raw_45667219'!$D$16)&lt;=2,SUM(D13:D15),'res_raw_45667219'!$D$16)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'balance_raw_45667219'!$F$13</f>
        <v/>
      </c>
      <c r="C19" s="24">
        <f>'balance_raw_45667219'!$E$13</f>
        <v/>
      </c>
      <c r="D19" s="24">
        <f>'balance_raw_45667219'!$D$13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'balance_raw_45667219'!$F$28</f>
        <v/>
      </c>
      <c r="C20" s="24">
        <f>'balance_raw_45667219'!$E$28</f>
        <v/>
      </c>
      <c r="D20" s="24">
        <f>'balance_raw_45667219'!$D$28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'balance_raw_45667219'!$F$36</f>
        <v/>
      </c>
      <c r="C23" s="24">
        <f>'balance_raw_45667219'!$E$36</f>
        <v/>
      </c>
      <c r="D23" s="24">
        <f>'balance_raw_45667219'!$D$36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'balance_raw_45667219'!$F$57-'balance_raw_45667219'!$F$36</f>
        <v/>
      </c>
      <c r="C24" s="24">
        <f>'balance_raw_45667219'!$E$57-'balance_raw_45667219'!$E$36</f>
        <v/>
      </c>
      <c r="D24" s="24">
        <f>'balance_raw_45667219'!$D$57-'balance_raw_45667219'!$D$36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'balance_raw_45667219'!$F$17</f>
        <v/>
      </c>
      <c r="C28" s="24">
        <f>'balance_raw_45667219'!$E$17</f>
        <v/>
      </c>
      <c r="D28" s="24">
        <f>'balance_raw_45667219'!$D$17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'balance_raw_45667219'!$F$18</f>
        <v/>
      </c>
      <c r="C29" s="24">
        <f>'balance_raw_45667219'!$E$18</f>
        <v/>
      </c>
      <c r="D29" s="24">
        <f>'balance_raw_45667219'!$D$18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'balance_raw_45667219'!$F$55</f>
        <v/>
      </c>
      <c r="C30" s="24">
        <f>'balance_raw_45667219'!$E$55</f>
        <v/>
      </c>
      <c r="D30" s="24">
        <f>'balance_raw_45667219'!$D$55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IF('balance_raw_45667219'!$F$29="","—",IF(ABS(B21-'balance_raw_45667219'!$F$29)&lt;=1,"✓ OK","❌ "&amp;TEXT(B21-'balance_raw_45667219'!$F$29,"+#,##0;-#,##0")&amp;" t.kr."))</f>
        <v/>
      </c>
      <c r="C61" s="29">
        <f>IF('balance_raw_45667219'!$E$29="","—",IF(ABS(C21-'balance_raw_45667219'!$E$29)&lt;=1,"✓ OK","❌ "&amp;TEXT(C21-'balance_raw_45667219'!$E$29,"+#,##0;-#,##0")&amp;" t.kr."))</f>
        <v/>
      </c>
      <c r="D61" s="29">
        <f>IF('balance_raw_45667219'!$D$29="","—",IF(ABS(D21-'balance_raw_45667219'!$D$29)&lt;=1,"✓ OK","❌ "&amp;TEXT(D21-'balance_raw_45667219'!$D$29,"+#,##0;-#,##0")&amp;"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IF('balance_raw_45667219'!$F$57="","—",IF(ABS(B25-'balance_raw_45667219'!$F$57)&lt;=1,"✓ OK","❌ "&amp;TEXT(B25-'balance_raw_45667219'!$F$57,"+#,##0;-#,##0")&amp;" t.kr."))</f>
        <v/>
      </c>
      <c r="C62" s="29">
        <f>IF('balance_raw_45667219'!$E$57="","—",IF(ABS(C25-'balance_raw_45667219'!$E$57)&lt;=1,"✓ OK","❌ "&amp;TEXT(C25-'balance_raw_45667219'!$E$57,"+#,##0;-#,##0")&amp;" t.kr."))</f>
        <v/>
      </c>
      <c r="D62" s="29">
        <f>IF('balance_raw_45667219'!$D$57="","—",IF(ABS(D25-'balance_raw_45667219'!$D$57)&lt;=1,"✓ OK","❌ "&amp;TEXT(D25-'balance_raw_45667219'!$D$57,"+#,##0;-#,##0")&amp;"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IF('res_raw_45667219'!$F$6="","—",IF(ABS(B9-'res_raw_45667219'!$F$6)&lt;=1,"✓ OK","❌ "&amp;TEXT(B9-'res_raw_45667219'!$F$6,"+#,##0;-#,##0")&amp;" t.kr."))</f>
        <v/>
      </c>
      <c r="C64" s="29">
        <f>IF('res_raw_45667219'!$E$6="","—",IF(ABS(C9-'res_raw_45667219'!$E$6)&lt;=1,"✓ OK","❌ "&amp;TEXT(C9-'res_raw_45667219'!$E$6,"+#,##0;-#,##0")&amp;" t.kr."))</f>
        <v/>
      </c>
      <c r="D64" s="29">
        <f>IF('res_raw_45667219'!$D$6="","—",IF(ABS(D9-'res_raw_45667219'!$D$6)&lt;=1,"✓ OK","❌ "&amp;TEXT(D9-'res_raw_45667219'!$D$6,"+#,##0;-#,##0")&amp;"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IF('res_raw_45667219'!$F$11="","—",IF(ABS(B13-'res_raw_45667219'!$F$11)&lt;=1,"✓ OK","❌ "&amp;TEXT(B13-'res_raw_45667219'!$F$11,"+#,##0;-#,##0")&amp;" t.kr."))</f>
        <v/>
      </c>
      <c r="C65" s="29">
        <f>IF('res_raw_45667219'!$E$11="","—",IF(ABS(C13-'res_raw_45667219'!$E$11)&lt;=1,"✓ OK","❌ "&amp;TEXT(C13-'res_raw_45667219'!$E$11,"+#,##0;-#,##0")&amp;" t.kr."))</f>
        <v/>
      </c>
      <c r="D65" s="29">
        <f>IF('res_raw_45667219'!$D$11="","—",IF(ABS(D13-'res_raw_45667219'!$D$11)&lt;=1,"✓ OK","❌ "&amp;TEXT(D13-'res_raw_45667219'!$D$11,"+#,##0;-#,##0")&amp;"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IF('res_raw_45667219'!$F$16="","—",IF(ABS(B16-'res_raw_45667219'!$F$16)&lt;=1,"✓ OK","❌ "&amp;TEXT(B16-'res_raw_45667219'!$F$16,"+#,##0;-#,##0")&amp;" t.kr."))</f>
        <v/>
      </c>
      <c r="C66" s="29">
        <f>IF('res_raw_45667219'!$E$16="","—",IF(ABS(C16-'res_raw_45667219'!$E$16)&lt;=1,"✓ OK","❌ "&amp;TEXT(C16-'res_raw_45667219'!$E$16,"+#,##0;-#,##0")&amp;" t.kr."))</f>
        <v/>
      </c>
      <c r="D66" s="29">
        <f>IF('res_raw_45667219'!$D$16="","—",IF(ABS(D16-'res_raw_45667219'!$D$16)&lt;=1,"✓ OK","❌ "&amp;TEXT(D16-'res_raw_45667219'!$D$16,"+#,##0;-#,##0")&amp;"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2026-10-02T21:14:24Z</dcterms:created>
  <dcterms:modified xmlns:dcterms="http://purl.org/dc/terms/" xmlns:xsi="http://www.w3.org/2001/XMLSchema-instance" xsi:type="dcterms:W3CDTF">2026-10-02T21:14:25Z</dcterms:modified>
</cp:coreProperties>
</file>