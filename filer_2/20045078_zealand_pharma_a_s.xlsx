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zealand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Ansvarlig lånekapital (langfristet)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Langfristede lån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Leasingforpligtelser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Anden gæld (langfristet)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gældsforpligtelser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Kortfristet del af langfristede gældsforpligtelser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Kreditinstitutter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(kortfristet)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Gæld til tilknyttede virksomheder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Selskabsskat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(kortfristet)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Kortfristede gældsforpligtelser</t>
        </is>
      </c>
      <c r="B65" s="8">
        <f>'balance_raw'!$B$44</f>
        <v/>
      </c>
      <c r="C65" s="8">
        <f>'balance_raw'!$C$44</f>
        <v/>
      </c>
      <c r="D65" s="8">
        <f>'balance_raw'!$D$44</f>
        <v/>
      </c>
      <c r="E65" s="8">
        <f>'balance_raw'!$E$44</f>
        <v/>
      </c>
      <c r="F65" s="8">
        <f>'balance_raw'!$F$44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7" t="inlineStr">
        <is>
          <t>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Passiver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'res_raw'!$B$17</f>
        <v/>
      </c>
      <c r="C70" s="5">
        <f>'res_raw'!$C$17</f>
        <v/>
      </c>
      <c r="D70" s="5">
        <f>'res_raw'!$D$17</f>
        <v/>
      </c>
      <c r="E70" s="5">
        <f>'res_raw'!$E$17</f>
        <v/>
      </c>
      <c r="F70" s="5">
        <f>'res_raw'!$F$17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Investering i materielle anlægsaktiver</t>
        </is>
      </c>
      <c r="B71" s="11">
        <f>'res_raw'!$B$18</f>
        <v/>
      </c>
      <c r="C71" s="11">
        <f>'res_raw'!$C$18</f>
        <v/>
      </c>
      <c r="D71" s="11">
        <f>'res_raw'!$D$18</f>
        <v/>
      </c>
      <c r="E71" s="11">
        <f>'res_raw'!$E$18</f>
        <v/>
      </c>
      <c r="F71" s="11">
        <f>'res_raw'!$F$18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IFERROR(($B$11+$B$13+$B$12)/$B$39*100,"")</f>
        <v/>
      </c>
      <c r="C74" s="13">
        <f>IFERROR(($C$11+$C$13+$C$12)/$C$39*100,"")</f>
        <v/>
      </c>
      <c r="D74" s="13">
        <f>IFERROR(($D$11+$D$13+$D$12)/$D$39*100,"")</f>
        <v/>
      </c>
      <c r="E74" s="13">
        <f>IFERROR(($E$11+$E$13+$E$12)/$E$39*100,"")</f>
        <v/>
      </c>
      <c r="F74" s="13">
        <f>IFERROR(($F$11+$F$13+$F$12)/$F$39*100,"")</f>
        <v/>
      </c>
    </row>
    <row r="75" ht="16" customHeight="1">
      <c r="A75" s="10" t="inlineStr">
        <is>
          <t>Overskudsgrad, %</t>
        </is>
      </c>
      <c r="B75" s="14">
        <f>IFERROR(($B$11+$B$13+$B$12)/$B$4*100,"")</f>
        <v/>
      </c>
      <c r="C75" s="14">
        <f>IFERROR(($C$11+$C$13+$C$12)/$C$4*100,"")</f>
        <v/>
      </c>
      <c r="D75" s="14">
        <f>IFERROR(($D$11+$D$13+$D$12)/$D$4*100,"")</f>
        <v/>
      </c>
      <c r="E75" s="14">
        <f>IFERROR(($E$11+$E$13+$E$12)/$E$4*100,"")</f>
        <v/>
      </c>
      <c r="F75" s="14">
        <f>IFERROR(($F$11+$F$13+$F$12)/$F$4*100,"")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IFERROR($B$4/$B$39,"")</f>
        <v/>
      </c>
      <c r="C76" s="13">
        <f>IFERROR($C$4/$C$39,"")</f>
        <v/>
      </c>
      <c r="D76" s="13">
        <f>IFERROR($D$4/$D$39,"")</f>
        <v/>
      </c>
      <c r="E76" s="13">
        <f>IFERROR($E$4/$E$39,"")</f>
        <v/>
      </c>
      <c r="F76" s="13">
        <f>IFERROR($F$4/$F$39,"")</f>
        <v/>
      </c>
    </row>
    <row r="77" ht="16" customHeight="1">
      <c r="A77" s="10" t="inlineStr">
        <is>
          <t>Egenkapitalens forrentning, %</t>
        </is>
      </c>
      <c r="B77" s="14">
        <f>IFERROR($B$16/$B$48*100,"")</f>
        <v/>
      </c>
      <c r="C77" s="14">
        <f>IFERROR($C$16/$C$48*100,"")</f>
        <v/>
      </c>
      <c r="D77" s="14">
        <f>IFERROR($D$16/$D$48*100,"")</f>
        <v/>
      </c>
      <c r="E77" s="14">
        <f>IFERROR($E$16/$E$48*100,"")</f>
        <v/>
      </c>
      <c r="F77" s="14">
        <f>IFERROR($F$16/$F$48*100,"")</f>
        <v/>
      </c>
    </row>
    <row r="78" ht="16" customHeight="1">
      <c r="A78" s="4" t="inlineStr">
        <is>
          <t>Gældsrente, %</t>
        </is>
      </c>
      <c r="B78" s="13">
        <f>IFERROR($B$14/($B$67-$B$48)*100,"")</f>
        <v/>
      </c>
      <c r="C78" s="13">
        <f>IFERROR($C$14/($C$67-$C$48)*100,"")</f>
        <v/>
      </c>
      <c r="D78" s="13">
        <f>IFERROR($D$14/($D$67-$D$48)*100,"")</f>
        <v/>
      </c>
      <c r="E78" s="13">
        <f>IFERROR($E$14/($E$67-$E$48)*100,"")</f>
        <v/>
      </c>
      <c r="F78" s="13">
        <f>IFERROR($F$14/($F$67-$F$48)*100,"")</f>
        <v/>
      </c>
    </row>
    <row r="79" ht="16" customHeight="1">
      <c r="A79" s="10" t="inlineStr">
        <is>
          <t>Soliditetsgrad, %</t>
        </is>
      </c>
      <c r="B79" s="14">
        <f>IFERROR($B$48/$B$39*100,"")</f>
        <v/>
      </c>
      <c r="C79" s="14">
        <f>IFERROR($C$48/$C$39*100,"")</f>
        <v/>
      </c>
      <c r="D79" s="14">
        <f>IFERROR($D$48/$D$39*100,"")</f>
        <v/>
      </c>
      <c r="E79" s="14">
        <f>IFERROR($E$48/$E$39*100,"")</f>
        <v/>
      </c>
      <c r="F79" s="14">
        <f>IFERROR($F$48/$F$39*100,"")</f>
        <v/>
      </c>
    </row>
    <row r="80" ht="16" customHeight="1">
      <c r="A80" s="4" t="inlineStr">
        <is>
          <t>Gearing</t>
        </is>
      </c>
      <c r="B80" s="13">
        <f>IFERROR(($B$67-$B$48)/$B$48,"")</f>
        <v/>
      </c>
      <c r="C80" s="13">
        <f>IFERROR(($C$67-$C$48)/$C$48,"")</f>
        <v/>
      </c>
      <c r="D80" s="13">
        <f>IFERROR(($D$67-$D$48)/$D$48,"")</f>
        <v/>
      </c>
      <c r="E80" s="13">
        <f>IFERROR(($E$67-$E$48)/$E$48,"")</f>
        <v/>
      </c>
      <c r="F80" s="13">
        <f>IFERROR(($F$67-$F$48)/$F$48,"")</f>
        <v/>
      </c>
    </row>
    <row r="81" ht="16" customHeight="1">
      <c r="A81" s="10" t="inlineStr">
        <is>
          <t>Likviditetsgrad, %</t>
        </is>
      </c>
      <c r="B81" s="14">
        <f>IFERROR($B$38/$B$65*100,"")</f>
        <v/>
      </c>
      <c r="C81" s="14">
        <f>IFERROR($C$38/$C$65*100,"")</f>
        <v/>
      </c>
      <c r="D81" s="14">
        <f>IFERROR($D$38/$D$65*100,"")</f>
        <v/>
      </c>
      <c r="E81" s="14">
        <f>IFERROR($E$38/$E$65*100,"")</f>
        <v/>
      </c>
      <c r="F81" s="14">
        <f>IFERROR($F$38/$F$65*100,"")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10" t="inlineStr">
        <is>
          <t>Gældsandel, %</t>
        </is>
      </c>
      <c r="B83" s="14">
        <f>IFERROR(($B$67-$B$48)/$B$39*100,"")</f>
        <v/>
      </c>
      <c r="C83" s="14">
        <f>IFERROR(($C$67-$C$48)/$C$39*100,"")</f>
        <v/>
      </c>
      <c r="D83" s="14">
        <f>IFERROR(($D$67-$D$48)/$D$39*100,"")</f>
        <v/>
      </c>
      <c r="E83" s="14">
        <f>IFERROR(($E$67-$E$48)/$E$39*100,"")</f>
        <v/>
      </c>
      <c r="F83" s="14">
        <f>IFERROR(($F$67-$F$48)/$F$39*100,"")</f>
        <v/>
      </c>
    </row>
    <row r="84" ht="16" customHeight="1">
      <c r="A84" s="4" t="inlineStr">
        <is>
          <t>Kapitalbindingsgrad, %</t>
        </is>
      </c>
      <c r="B84" s="13">
        <f>IFERROR($B$26/($B$48+$B$53)*100,"")</f>
        <v/>
      </c>
      <c r="C84" s="13">
        <f>IFERROR($C$26/($C$48+$C$53)*100,"")</f>
        <v/>
      </c>
      <c r="D84" s="13">
        <f>IFERROR($D$26/($D$48+$D$53)*100,"")</f>
        <v/>
      </c>
      <c r="E84" s="13">
        <f>IFERROR($E$26/($E$48+$E$53)*100,"")</f>
        <v/>
      </c>
      <c r="F84" s="13">
        <f>IFERROR($F$26/($F$48+$F$53)*100,"")</f>
        <v/>
      </c>
    </row>
    <row r="86">
      <c r="A86" s="15" t="inlineStr">
        <is>
          <t>PENGESTRØMSOPGØRELSE t.kr.</t>
        </is>
      </c>
    </row>
    <row r="87">
      <c r="A87" s="16" t="inlineStr">
        <is>
          <t>Pengestrømme fra driftsaktivitet</t>
        </is>
      </c>
      <c r="B87" s="17">
        <f>'pengestrom_raw'!$B$2</f>
        <v/>
      </c>
      <c r="C87" s="17">
        <f>'pengestrom_raw'!$C$2</f>
        <v/>
      </c>
      <c r="D87" s="17">
        <f>'pengestrom_raw'!$D$2</f>
        <v/>
      </c>
      <c r="E87" s="17">
        <f>'pengestrom_raw'!$E$2</f>
        <v/>
      </c>
      <c r="F87" s="17">
        <f>'pengestrom_raw'!$F$2</f>
        <v/>
      </c>
    </row>
    <row r="88">
      <c r="A88" s="16" t="inlineStr">
        <is>
          <t>Pengestrømme fra investeringsaktivitet</t>
        </is>
      </c>
      <c r="B88" s="17">
        <f>'pengestrom_raw'!$B$3</f>
        <v/>
      </c>
      <c r="C88" s="17">
        <f>'pengestrom_raw'!$C$3</f>
        <v/>
      </c>
      <c r="D88" s="17">
        <f>'pengestrom_raw'!$D$3</f>
        <v/>
      </c>
      <c r="E88" s="17">
        <f>'pengestrom_raw'!$E$3</f>
        <v/>
      </c>
      <c r="F88" s="17">
        <f>'pengestrom_raw'!$F$3</f>
        <v/>
      </c>
    </row>
    <row r="89">
      <c r="A89" s="16" t="inlineStr">
        <is>
          <t>Pengestrømme fra finansieringsaktivitet</t>
        </is>
      </c>
      <c r="B89" s="17">
        <f>'pengestrom_raw'!$B$4</f>
        <v/>
      </c>
      <c r="C89" s="17">
        <f>'pengestrom_raw'!$C$4</f>
        <v/>
      </c>
      <c r="D89" s="17">
        <f>'pengestrom_raw'!$D$4</f>
        <v/>
      </c>
      <c r="E89" s="17">
        <f>'pengestrom_raw'!$E$4</f>
        <v/>
      </c>
      <c r="F89" s="17">
        <f>'pengestrom_raw'!$F$4</f>
        <v/>
      </c>
    </row>
    <row r="90">
      <c r="A90" s="16" t="inlineStr">
        <is>
          <t>Årets pengestrøm (rapporteret)</t>
        </is>
      </c>
      <c r="B90" s="17">
        <f>'pengestrom_raw'!$B$5</f>
        <v/>
      </c>
      <c r="C90" s="17">
        <f>'pengestrom_raw'!$C$5</f>
        <v/>
      </c>
      <c r="D90" s="17">
        <f>'pengestrom_raw'!$D$5</f>
        <v/>
      </c>
      <c r="E90" s="17">
        <f>'pengestrom_raw'!$E$5</f>
        <v/>
      </c>
      <c r="F90" s="17">
        <f>'pengestrom_raw'!$F$5</f>
        <v/>
      </c>
    </row>
    <row r="91">
      <c r="A91" s="16" t="inlineStr">
        <is>
          <t>Krydstjek: drift + inv. + fin. = årets pengestrøm</t>
        </is>
      </c>
      <c r="B9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292567</v>
      </c>
      <c r="C2" s="17" t="n">
        <v>103986</v>
      </c>
      <c r="D2" s="17" t="n">
        <v>342788</v>
      </c>
      <c r="E2" s="17" t="n">
        <v>62691</v>
      </c>
      <c r="F2" s="17" t="n">
        <v>9214860</v>
      </c>
    </row>
    <row r="3">
      <c r="A3" s="16" t="inlineStr">
        <is>
          <t>Produktionsomkostninger</t>
        </is>
      </c>
      <c r="B3" s="17" t="n">
        <v>107844</v>
      </c>
      <c r="C3" s="17" t="n">
        <v>0</v>
      </c>
      <c r="D3" s="17" t="n">
        <v>10036</v>
      </c>
      <c r="E3" s="17" t="n">
        <v>7874</v>
      </c>
      <c r="F3" s="17" t="n">
        <v>816</v>
      </c>
    </row>
    <row r="4">
      <c r="A4" s="15" t="inlineStr">
        <is>
          <t>Bruttoresultat</t>
        </is>
      </c>
      <c r="B4" s="17" t="n">
        <v>173753</v>
      </c>
      <c r="C4" s="17" t="n">
        <v>103986</v>
      </c>
      <c r="D4" s="17" t="n">
        <v>323614</v>
      </c>
      <c r="E4" s="17" t="n">
        <v>54817</v>
      </c>
      <c r="F4" s="17" t="n">
        <v>9214044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260987</v>
      </c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759</v>
      </c>
      <c r="C7" s="17" t="n">
        <v>0</v>
      </c>
      <c r="D7" s="17" t="n">
        <v>15979</v>
      </c>
      <c r="E7" s="17" t="n">
        <v>0</v>
      </c>
      <c r="F7" s="17" t="n">
        <v>42336</v>
      </c>
    </row>
    <row r="8">
      <c r="A8" s="16" t="inlineStr">
        <is>
          <t>Andre driftsomkostninger</t>
        </is>
      </c>
      <c r="B8" s="17" t="n">
        <v>2173</v>
      </c>
      <c r="C8" s="17" t="n">
        <v>57587</v>
      </c>
      <c r="D8" s="17" t="n">
        <v>11000</v>
      </c>
      <c r="E8" s="17" t="n">
        <v>3136</v>
      </c>
      <c r="F8" s="17" t="n">
        <v>196423</v>
      </c>
    </row>
    <row r="9">
      <c r="A9" s="15" t="inlineStr">
        <is>
          <t>Resultat af primær drift</t>
        </is>
      </c>
      <c r="B9" s="17" t="n">
        <v>-1052370</v>
      </c>
      <c r="C9" s="17" t="n">
        <v>-837153</v>
      </c>
      <c r="D9" s="17" t="n">
        <v>-572238</v>
      </c>
      <c r="E9" s="17" t="n">
        <v>-1272207</v>
      </c>
      <c r="F9" s="17" t="n">
        <v>6959436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41211</v>
      </c>
      <c r="C11" s="17" t="n">
        <v>133270</v>
      </c>
      <c r="D11" s="17" t="n">
        <v>54115</v>
      </c>
      <c r="E11" s="17" t="n">
        <v>240264</v>
      </c>
      <c r="F11" s="17" t="n">
        <v>374424</v>
      </c>
    </row>
    <row r="12">
      <c r="A12" s="16" t="inlineStr">
        <is>
          <t>Finansielle omkostninger</t>
        </is>
      </c>
      <c r="B12" s="17" t="n">
        <v>15781</v>
      </c>
      <c r="C12" s="17" t="n">
        <v>268158</v>
      </c>
      <c r="D12" s="17" t="n">
        <v>190742</v>
      </c>
      <c r="E12" s="17" t="n">
        <v>51502</v>
      </c>
      <c r="F12" s="17" t="n">
        <v>332795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-1026940</v>
      </c>
      <c r="C14" s="17" t="n">
        <v>-972041</v>
      </c>
      <c r="D14" s="17" t="n">
        <v>-708865</v>
      </c>
      <c r="E14" s="17" t="n">
        <v>-1083445</v>
      </c>
      <c r="F14" s="17" t="n">
        <v>7001065</v>
      </c>
    </row>
    <row r="15">
      <c r="A15" s="16" t="inlineStr">
        <is>
          <t>Skat af årets resultat</t>
        </is>
      </c>
      <c r="B15" s="17" t="n">
        <v>-8791</v>
      </c>
      <c r="C15" s="17" t="n">
        <v>-6431</v>
      </c>
      <c r="D15" s="17" t="n">
        <v>-5126</v>
      </c>
      <c r="E15" s="17" t="n">
        <v>-4617</v>
      </c>
      <c r="F15" s="17" t="n">
        <v>546057</v>
      </c>
    </row>
    <row r="16">
      <c r="A16" s="15" t="inlineStr">
        <is>
          <t>Årets resultat</t>
        </is>
      </c>
      <c r="B16" s="17" t="n">
        <v>-1018149</v>
      </c>
      <c r="C16" s="17" t="n">
        <v>-965610</v>
      </c>
      <c r="D16" s="17" t="n">
        <v>-703739</v>
      </c>
      <c r="E16" s="17" t="n">
        <v>-1078828</v>
      </c>
      <c r="F16" s="17" t="n">
        <v>6455008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22133</v>
      </c>
      <c r="C18" s="17" t="n">
        <v>11710</v>
      </c>
      <c r="D18" s="17" t="n">
        <v>11241</v>
      </c>
      <c r="E18" s="17" t="n">
        <v>10053</v>
      </c>
      <c r="F18" s="17" t="n">
        <v>33365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53790</v>
      </c>
      <c r="C2" s="17" t="n">
        <v>0</v>
      </c>
      <c r="D2" s="17" t="n">
        <v>12255</v>
      </c>
      <c r="E2" s="17" t="n">
        <v>12620</v>
      </c>
      <c r="F2" s="17" t="n">
        <v>44965</v>
      </c>
    </row>
    <row r="3">
      <c r="A3" s="15" t="inlineStr">
        <is>
          <t>Materielle anlægsaktiver</t>
        </is>
      </c>
      <c r="B3" s="17" t="n">
        <v>86454</v>
      </c>
      <c r="C3" s="17" t="n">
        <v>50528</v>
      </c>
      <c r="D3" s="17" t="n">
        <v>47047</v>
      </c>
      <c r="E3" s="17" t="n">
        <v>46479</v>
      </c>
      <c r="F3" s="17" t="n">
        <v>69898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26907</v>
      </c>
      <c r="C5" s="17" t="n">
        <v>30943</v>
      </c>
      <c r="D5" s="17" t="n">
        <v>14004</v>
      </c>
      <c r="E5" s="17" t="n">
        <v>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346033</v>
      </c>
      <c r="C7" s="17" t="n">
        <v>223454</v>
      </c>
      <c r="D7" s="17" t="n">
        <v>200205</v>
      </c>
      <c r="E7" s="17" t="n">
        <v>977896</v>
      </c>
      <c r="F7" s="17" t="n">
        <v>278683</v>
      </c>
    </row>
    <row r="8">
      <c r="A8" s="15" t="inlineStr">
        <is>
          <t>Varebeholdninger</t>
        </is>
      </c>
      <c r="B8" s="17" t="n">
        <v>118436</v>
      </c>
      <c r="C8" s="17" t="n">
        <v>1286</v>
      </c>
      <c r="D8" s="17" t="n">
        <v>7935</v>
      </c>
      <c r="E8" s="17" t="n">
        <v>10698</v>
      </c>
      <c r="F8" s="17" t="n">
        <v>0</v>
      </c>
    </row>
    <row r="9">
      <c r="A9" s="16" t="inlineStr">
        <is>
          <t>Tilgodehavender fra salg og tjenesteydelser</t>
        </is>
      </c>
      <c r="B9" s="17" t="n">
        <v>73025</v>
      </c>
      <c r="C9" s="17" t="n">
        <v>115622</v>
      </c>
      <c r="D9" s="17" t="n">
        <v>97803</v>
      </c>
      <c r="E9" s="17" t="n">
        <v>193559</v>
      </c>
      <c r="F9" s="17" t="n">
        <v>174211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>
        <v>241622</v>
      </c>
    </row>
    <row r="13">
      <c r="A13" s="16" t="inlineStr">
        <is>
          <t>Udskudt skatteaktiv</t>
        </is>
      </c>
      <c r="B13" s="17" t="n">
        <v>13525</v>
      </c>
      <c r="C13" s="17" t="n">
        <v>2017</v>
      </c>
      <c r="D13" s="17" t="n">
        <v>925</v>
      </c>
      <c r="E13" s="17" t="n">
        <v>985</v>
      </c>
      <c r="F13" s="17" t="n">
        <v>872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21562</v>
      </c>
      <c r="C15" s="17" t="n">
        <v>21599</v>
      </c>
      <c r="D15" s="17" t="n">
        <v>16437</v>
      </c>
      <c r="E15" s="17" t="n">
        <v>10232</v>
      </c>
      <c r="F15" s="17" t="n">
        <v>31011</v>
      </c>
    </row>
    <row r="16">
      <c r="A16" s="15" t="inlineStr">
        <is>
          <t>Tilgodehavender</t>
        </is>
      </c>
      <c r="B16" s="17" t="n">
        <v>15802</v>
      </c>
      <c r="C16" s="17" t="n"/>
      <c r="D16" s="17" t="n">
        <v>24556</v>
      </c>
      <c r="E16" s="17" t="n">
        <v>87205</v>
      </c>
      <c r="F16" s="17" t="n">
        <v>114463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1129103</v>
      </c>
      <c r="C18" s="17" t="n">
        <v>1069234</v>
      </c>
      <c r="D18" s="17" t="n">
        <v>449311</v>
      </c>
      <c r="E18" s="17" t="n">
        <v>480303</v>
      </c>
      <c r="F18" s="17" t="n">
        <v>4576541</v>
      </c>
    </row>
    <row r="19">
      <c r="A19" s="15" t="inlineStr">
        <is>
          <t>Omsætningsaktiver</t>
        </is>
      </c>
      <c r="B19" s="17" t="n">
        <v>1721596</v>
      </c>
      <c r="C19" s="17" t="n">
        <v>1316352</v>
      </c>
      <c r="D19" s="17" t="n">
        <v>1779788</v>
      </c>
      <c r="E19" s="17" t="n">
        <v>8527704</v>
      </c>
      <c r="F19" s="17" t="n">
        <v>15670115</v>
      </c>
    </row>
    <row r="20">
      <c r="A20" s="15" t="inlineStr">
        <is>
          <t>Aktiver</t>
        </is>
      </c>
      <c r="B20" s="17" t="n">
        <v>2067629</v>
      </c>
      <c r="C20" s="17" t="n">
        <v>1539806</v>
      </c>
      <c r="D20" s="17" t="n">
        <v>1979993</v>
      </c>
      <c r="E20" s="17" t="n">
        <v>9505600</v>
      </c>
      <c r="F20" s="17" t="n">
        <v>15948798</v>
      </c>
    </row>
    <row r="21">
      <c r="A21" s="16" t="inlineStr">
        <is>
          <t>Selskabskapital</t>
        </is>
      </c>
      <c r="B21" s="17" t="n">
        <v>43634</v>
      </c>
      <c r="C21" s="17" t="n">
        <v>51702</v>
      </c>
      <c r="D21" s="17" t="n">
        <v>58751</v>
      </c>
      <c r="E21" s="17" t="n">
        <v>71024</v>
      </c>
      <c r="F21" s="17" t="n">
        <v>71515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4250306</v>
      </c>
      <c r="C25" s="17" t="n">
        <v>4921232</v>
      </c>
      <c r="D25" s="17" t="n">
        <v>6406225</v>
      </c>
      <c r="E25" s="17" t="n">
        <v>14680771</v>
      </c>
      <c r="F25" s="17" t="n">
        <v>14729430</v>
      </c>
    </row>
    <row r="26">
      <c r="A26" s="16" t="inlineStr">
        <is>
          <t>Overført resultat</t>
        </is>
      </c>
      <c r="B26" s="17" t="n">
        <v>71890</v>
      </c>
      <c r="C26" s="17" t="n">
        <v>-4171640</v>
      </c>
      <c r="D26" s="17" t="n">
        <v>-4894841</v>
      </c>
      <c r="E26" s="17" t="n">
        <v>-6157441</v>
      </c>
      <c r="F26" s="17" t="n">
        <v>6287</v>
      </c>
    </row>
    <row r="27">
      <c r="A27" s="15" t="inlineStr">
        <is>
          <t>Egenkapital i alt</t>
        </is>
      </c>
      <c r="B27" s="17" t="n">
        <v>927803</v>
      </c>
      <c r="C27" s="17" t="n">
        <v>815911</v>
      </c>
      <c r="D27" s="17" t="n">
        <v>1592839</v>
      </c>
      <c r="E27" s="17" t="n">
        <v>8616742</v>
      </c>
      <c r="F27" s="17" t="n">
        <v>14830613</v>
      </c>
    </row>
    <row r="28">
      <c r="A28" s="16" t="inlineStr">
        <is>
          <t>Ansvarlig lånekapital (langfristet)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Langfristede lån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Leasingforpligtelser (langfristet)</t>
        </is>
      </c>
      <c r="B30" s="17" t="n">
        <v>124626</v>
      </c>
      <c r="C30" s="17" t="n">
        <v>108000</v>
      </c>
      <c r="D30" s="17" t="n">
        <v>102575</v>
      </c>
      <c r="E30" s="17" t="n">
        <v>90388</v>
      </c>
      <c r="F30" s="17" t="n">
        <v>80213</v>
      </c>
    </row>
    <row r="31">
      <c r="A31" s="16" t="inlineStr">
        <is>
          <t>Anden gæld (langfristet)</t>
        </is>
      </c>
      <c r="B31" s="17" t="n">
        <v>18426</v>
      </c>
      <c r="C31" s="17" t="n">
        <v>19058</v>
      </c>
      <c r="D31" s="17" t="n"/>
      <c r="E31" s="17" t="n">
        <v>109665</v>
      </c>
      <c r="F31" s="17" t="n">
        <v>70083</v>
      </c>
    </row>
    <row r="32">
      <c r="A32" s="15" t="inlineStr">
        <is>
          <t>Langfristede gældsforpligtelser</t>
        </is>
      </c>
      <c r="B32" s="17" t="n">
        <v>647906</v>
      </c>
      <c r="C32" s="17" t="n">
        <v>401346</v>
      </c>
      <c r="D32" s="17" t="n">
        <v>0</v>
      </c>
      <c r="E32" s="17" t="n">
        <v>285332</v>
      </c>
      <c r="F32" s="17" t="n">
        <v>302924</v>
      </c>
    </row>
    <row r="33">
      <c r="A33" s="16" t="inlineStr">
        <is>
          <t>Ansvarlig lånekapital (kortfristet)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Kortfristet del af langfristede gældsforpligtelser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Kreditinstitutter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(kortfristet)</t>
        </is>
      </c>
      <c r="B36" s="17" t="n">
        <v>14897</v>
      </c>
      <c r="C36" s="17" t="n">
        <v>14729</v>
      </c>
      <c r="D36" s="17" t="n">
        <v>16655</v>
      </c>
      <c r="E36" s="17" t="n">
        <v>16036</v>
      </c>
      <c r="F36" s="17" t="n">
        <v>22630</v>
      </c>
    </row>
    <row r="37">
      <c r="A37" s="16" t="inlineStr">
        <is>
          <t>Leverandører af varer og tjenesteydelser</t>
        </is>
      </c>
      <c r="B37" s="17" t="n">
        <v>64558</v>
      </c>
      <c r="C37" s="17" t="n">
        <v>180762</v>
      </c>
      <c r="D37" s="17" t="n">
        <v>125071</v>
      </c>
      <c r="E37" s="17" t="n">
        <v>254843</v>
      </c>
      <c r="F37" s="17" t="n">
        <v>346605</v>
      </c>
    </row>
    <row r="38">
      <c r="A38" s="16" t="inlineStr">
        <is>
          <t>Gæld til tilknyttede virksomheder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Gæld til selskabsdeltagere og ledelse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tilknyttede virksomheder vedr. 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(kortfristet)</t>
        </is>
      </c>
      <c r="B42" s="17" t="n">
        <v>173134</v>
      </c>
      <c r="C42" s="17" t="n"/>
      <c r="D42" s="17" t="n">
        <v>142853</v>
      </c>
      <c r="E42" s="17" t="n">
        <v>132594</v>
      </c>
      <c r="F42" s="17" t="n">
        <v>230390</v>
      </c>
    </row>
    <row r="43">
      <c r="A43" s="16" t="inlineStr">
        <is>
          <t>Periodeafgrænsningsposter (passiver)</t>
        </is>
      </c>
      <c r="B43" s="17" t="n"/>
      <c r="C43" s="17" t="n"/>
      <c r="D43" s="17" t="n"/>
      <c r="E43" s="17" t="n"/>
      <c r="F43" s="17" t="n">
        <v>65340</v>
      </c>
    </row>
    <row r="44">
      <c r="A44" s="15" t="inlineStr">
        <is>
          <t>Kortfristede gældsforpligtelser</t>
        </is>
      </c>
      <c r="B44" s="17" t="n">
        <v>334317</v>
      </c>
      <c r="C44" s="17" t="n">
        <v>195491</v>
      </c>
      <c r="D44" s="17" t="n">
        <v>284579</v>
      </c>
      <c r="E44" s="17" t="n">
        <v>403473</v>
      </c>
      <c r="F44" s="17" t="n">
        <v>664965</v>
      </c>
    </row>
    <row r="45">
      <c r="A45" s="15" t="inlineStr">
        <is>
          <t>Gældsforpligtelser</t>
        </is>
      </c>
      <c r="B45" s="17" t="n">
        <v>1139826</v>
      </c>
      <c r="C45" s="17" t="n">
        <v>723895</v>
      </c>
      <c r="D45" s="17" t="n">
        <v>387154</v>
      </c>
      <c r="E45" s="17" t="n">
        <v>888858</v>
      </c>
      <c r="F45" s="17" t="n">
        <v>1118185</v>
      </c>
    </row>
    <row r="46">
      <c r="A46" s="15" t="inlineStr">
        <is>
          <t>Passiver</t>
        </is>
      </c>
      <c r="B46" s="17" t="n">
        <v>2067629</v>
      </c>
      <c r="C46" s="17" t="n">
        <v>1539806</v>
      </c>
      <c r="D46" s="17" t="n">
        <v>1979993</v>
      </c>
      <c r="E46" s="17" t="n">
        <v>9505600</v>
      </c>
      <c r="F46" s="17" t="n">
        <v>15948798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-1211971</v>
      </c>
      <c r="C2" s="17" t="n">
        <v>-942311</v>
      </c>
      <c r="D2" s="17" t="n">
        <v>-425668</v>
      </c>
      <c r="E2" s="17" t="n">
        <v>-930816</v>
      </c>
      <c r="F2" s="17" t="n">
        <v>6531933</v>
      </c>
    </row>
    <row r="3">
      <c r="A3" s="16" t="inlineStr">
        <is>
          <t>Pengestrømme fra investeringsaktivitet</t>
        </is>
      </c>
      <c r="B3" s="17" t="n">
        <v>-18121</v>
      </c>
      <c r="C3" s="17" t="n">
        <v>281259</v>
      </c>
      <c r="D3" s="17" t="n">
        <v>-1094033</v>
      </c>
      <c r="E3" s="17" t="n">
        <v>-7332915</v>
      </c>
      <c r="F3" s="17" t="n">
        <v>-2248506</v>
      </c>
    </row>
    <row r="4">
      <c r="A4" s="16" t="inlineStr">
        <is>
          <t>Pengestrømme fra finansieringsaktivitet</t>
        </is>
      </c>
      <c r="B4" s="17" t="n">
        <v>1332751</v>
      </c>
      <c r="C4" s="17" t="n">
        <v>587500</v>
      </c>
      <c r="D4" s="17" t="n">
        <v>907014</v>
      </c>
      <c r="E4" s="17" t="n">
        <v>8288491</v>
      </c>
      <c r="F4" s="17" t="n">
        <v>-378182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>
        <v>3905245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zealand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'balance_raw'!$F$46-'balance_raw'!$F$27</f>
        <v/>
      </c>
      <c r="C23" s="24">
        <f>'balance_raw'!$E$46-'balance_raw'!$E$27</f>
        <v/>
      </c>
      <c r="D23" s="24">
        <f>'balance_raw'!$D$46-'balance_raw'!$D$27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'balance_raw'!$F$44</f>
        <v/>
      </c>
      <c r="C29" s="24">
        <f>'balance_raw'!$E$44</f>
        <v/>
      </c>
      <c r="D29" s="24">
        <f>'balance_raw'!$D$44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IF('balance_raw'!$F$46="","—",IF(ABS(B24-'balance_raw'!$F$46)&lt;=1,"✓ OK","❌ "&amp;TEXT(B24-'balance_raw'!$F$46,"+#,##0;-#,##0")&amp;" t.kr."))</f>
        <v/>
      </c>
      <c r="C61" s="29">
        <f>IF('balance_raw'!$E$46="","—",IF(ABS(C24-'balance_raw'!$E$46)&lt;=1,"✓ OK","❌ "&amp;TEXT(C24-'balance_raw'!$E$46,"+#,##0;-#,##0")&amp;" t.kr."))</f>
        <v/>
      </c>
      <c r="D61" s="29">
        <f>IF('balance_raw'!$D$46="","—",IF(ABS(D24-'balance_raw'!$D$46)&lt;=1,"✓ OK","❌ "&amp;TEXT(D24-'balance_raw'!$D$46,"+#,##0;-#,##0")&amp;"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zealand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ifrs-full:AdjustmentsForIncreaseDecreaseInDeferredIncome</t>
        </is>
      </c>
      <c r="C3" s="34" t="inlineStr">
        <is>
          <t>ifrs-full:AdjustmentsForIncreaseDecreaseInDeferredIncome</t>
        </is>
      </c>
      <c r="D3" s="35" t="n">
        <v>-30185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>
        <v>1183746</v>
      </c>
      <c r="G4" s="38" t="n">
        <v>7722081</v>
      </c>
      <c r="H4" s="38" t="n">
        <v>10532267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299042</v>
      </c>
      <c r="E5" s="35" t="n"/>
      <c r="F5" s="35" t="n">
        <v>0</v>
      </c>
      <c r="G5" s="35" t="n">
        <v>23626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ifrs-full:CurrentPrepaidExpenses</t>
        </is>
      </c>
      <c r="C6" s="37" t="inlineStr">
        <is>
          <t>ifrs-full:CurrentPrepaidExpenses</t>
        </is>
      </c>
      <c r="D6" s="38" t="n">
        <v>64626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ifrs-full:CurrentRestrictedCashAndCashEquivalents</t>
        </is>
      </c>
      <c r="C7" s="34" t="inlineStr">
        <is>
          <t>ifrs-full:CurrentRestrictedCashAndCashEquivalents</t>
        </is>
      </c>
      <c r="D7" s="35" t="n"/>
      <c r="E7" s="35" t="n">
        <v>348608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ifrs-full:GeneralAndAdministrativeExpense</t>
        </is>
      </c>
      <c r="C8" s="37" t="inlineStr">
        <is>
          <t>ifrs-full:GeneralAndAdministrativeExpense</t>
        </is>
      </c>
      <c r="D8" s="38" t="n"/>
      <c r="E8" s="38" t="n">
        <v>237210</v>
      </c>
      <c r="F8" s="38" t="n">
        <v>185302</v>
      </c>
      <c r="G8" s="38" t="n">
        <v>315907</v>
      </c>
      <c r="H8" s="38" t="n">
        <v>356829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ifrs-full:IncomeTaxesRefundClassifiedAsOperatingActivities</t>
        </is>
      </c>
      <c r="C9" s="34" t="inlineStr">
        <is>
          <t>ifrs-full:IncomeTaxesRefundClassifiedAsOperatingActivities</t>
        </is>
      </c>
      <c r="D9" s="35" t="n"/>
      <c r="E9" s="35" t="n"/>
      <c r="F9" s="35" t="n">
        <v>11300</v>
      </c>
      <c r="G9" s="35" t="n">
        <v>11155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ifrs-full:IncreaseDecreaseThroughExerciseOfWarrantsEquity</t>
        </is>
      </c>
      <c r="C10" s="37" t="inlineStr">
        <is>
          <t>ifrs-full:IncreaseDecreaseThroughExerciseOfWarrantsEquity</t>
        </is>
      </c>
      <c r="D10" s="38" t="n"/>
      <c r="E10" s="38" t="n">
        <v>201</v>
      </c>
      <c r="F10" s="38" t="n">
        <v>470</v>
      </c>
      <c r="G10" s="38" t="n">
        <v>161</v>
      </c>
      <c r="H10" s="38" t="n">
        <v>491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ifrs-full:NoncurrentFinancialAssetsAtFairValueThroughProfitOrLoss</t>
        </is>
      </c>
      <c r="C11" s="34" t="inlineStr">
        <is>
          <t>ifrs-full:NoncurrentFinancialAssetsAtFairValueThroughProfitOrLoss</t>
        </is>
      </c>
      <c r="D11" s="35" t="n"/>
      <c r="E11" s="35" t="n"/>
      <c r="F11" s="35" t="n">
        <v>0</v>
      </c>
      <c r="G11" s="35" t="n">
        <v>819632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ifrs-full:NoncurrentPrepayments</t>
        </is>
      </c>
      <c r="C12" s="37" t="inlineStr">
        <is>
          <t>ifrs-full:NoncurrentPrepayments</t>
        </is>
      </c>
      <c r="D12" s="38" t="n">
        <v>16457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ifrs-full:OperatingExpenseExcludingCostOfSales</t>
        </is>
      </c>
      <c r="C13" s="34" t="inlineStr">
        <is>
          <t>ifrs-full:OperatingExpenseExcludingCostOfSales</t>
        </is>
      </c>
      <c r="D13" s="35" t="n"/>
      <c r="E13" s="35" t="n"/>
      <c r="F13" s="35" t="n">
        <v>895852</v>
      </c>
      <c r="G13" s="35" t="n">
        <v>1327024</v>
      </c>
      <c r="H13" s="35" t="n">
        <v>2254608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ifrs-full:PaymentsForShareIssueCosts</t>
        </is>
      </c>
      <c r="C14" s="37" t="inlineStr">
        <is>
          <t>ifrs-full:PaymentsForShareIssueCosts</t>
        </is>
      </c>
      <c r="D14" s="38" t="n">
        <v>46895</v>
      </c>
      <c r="E14" s="38" t="n">
        <v>47354</v>
      </c>
      <c r="F14" s="38" t="n">
        <v>71908</v>
      </c>
      <c r="G14" s="38" t="n">
        <v>236579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ifrs-full:ProceedsFromExerciseOfWarrants</t>
        </is>
      </c>
      <c r="C15" s="34" t="inlineStr">
        <is>
          <t>ifrs-full:ProceedsFromExerciseOfWarrants</t>
        </is>
      </c>
      <c r="D15" s="35" t="n"/>
      <c r="E15" s="35" t="n">
        <v>31904</v>
      </c>
      <c r="F15" s="35" t="n">
        <v>63950</v>
      </c>
      <c r="G15" s="35" t="n">
        <v>30727</v>
      </c>
      <c r="H15" s="35" t="n">
        <v>49150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ifrs-full:ProceedsFromSalesOrMaturityOfFinancialInstrumentsClassifiedAsInvestingActivities</t>
        </is>
      </c>
      <c r="C16" s="37" t="inlineStr">
        <is>
          <t>ifrs-full:ProceedsFromSalesOrMaturityOfFinancialInstrumentsClassifiedAsInvestingActivities</t>
        </is>
      </c>
      <c r="D16" s="38" t="n"/>
      <c r="E16" s="38" t="n"/>
      <c r="F16" s="38" t="n">
        <v>1089547</v>
      </c>
      <c r="G16" s="38" t="n">
        <v>4137897</v>
      </c>
      <c r="H16" s="38" t="n">
        <v>12126162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588453</v>
      </c>
      <c r="E17" s="35" t="n">
        <v>614044</v>
      </c>
      <c r="F17" s="35" t="n">
        <v>684902</v>
      </c>
      <c r="G17" s="35" t="n">
        <v>919866</v>
      </c>
      <c r="H17" s="35" t="n">
        <v>1604570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14155</v>
      </c>
      <c r="E18" s="38" t="n">
        <v>14617</v>
      </c>
      <c r="F18" s="38" t="n">
        <v>22704</v>
      </c>
      <c r="G18" s="38" t="n">
        <v>22388</v>
      </c>
      <c r="H18" s="38" t="n">
        <v>23381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ifrs-full:RoyaltyExpense</t>
        </is>
      </c>
      <c r="C19" s="34" t="inlineStr">
        <is>
          <t>ifrs-full:RoyaltyExpense</t>
        </is>
      </c>
      <c r="D19" s="35" t="n">
        <v>10970</v>
      </c>
      <c r="E19" s="35" t="n">
        <v>0</v>
      </c>
      <c r="F19" s="35" t="n">
        <v>9138</v>
      </c>
      <c r="G19" s="35" t="n">
        <v>0</v>
      </c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ifrs-full:SalesAndMarketingExpense</t>
        </is>
      </c>
      <c r="C20" s="37" t="inlineStr">
        <is>
          <t>ifrs-full:SalesAndMarketingExpense</t>
        </is>
      </c>
      <c r="D20" s="38" t="n">
        <v>375269</v>
      </c>
      <c r="E20" s="38" t="n">
        <v>32298</v>
      </c>
      <c r="F20" s="38" t="n">
        <v>30627</v>
      </c>
      <c r="G20" s="38" t="n">
        <v>88115</v>
      </c>
      <c r="H20" s="38" t="n">
        <v>139122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2026-09-14T19:58:46Z</dcterms:created>
  <dcterms:modified xmlns:dcterms="http://purl.org/dc/terms/" xmlns:xsi="http://www.w3.org/2001/XMLSchema-instance" xsi:type="dcterms:W3CDTF">2026-09-14T19:58:47Z</dcterms:modified>
</cp:coreProperties>
</file>