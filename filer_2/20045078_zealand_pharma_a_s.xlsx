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Ansvarlig lånekapital (langfristet)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Langfristede lån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Leasingforpligtelser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Anden gæld (langfristet)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gældsforpligtelser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Kortfristet del af langfristede gældsforpligtelser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Kreditinstitutter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(kortfristet)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tilknyttede virksomheder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Selskabsskat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(kortfristet)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Kortfristede gældsforpligtelser</t>
        </is>
      </c>
      <c r="B65" s="8">
        <f>'balance_raw'!$B$44</f>
        <v/>
      </c>
      <c r="C65" s="8">
        <f>'balance_raw'!$C$44</f>
        <v/>
      </c>
      <c r="D65" s="8">
        <f>'balance_raw'!$D$44</f>
        <v/>
      </c>
      <c r="E65" s="8">
        <f>'balance_raw'!$E$44</f>
        <v/>
      </c>
      <c r="F65" s="8">
        <f>'balance_raw'!$F$44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Passiver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'res_raw'!$B$17</f>
        <v/>
      </c>
      <c r="C70" s="5">
        <f>'res_raw'!$C$17</f>
        <v/>
      </c>
      <c r="D70" s="5">
        <f>'res_raw'!$D$17</f>
        <v/>
      </c>
      <c r="E70" s="5">
        <f>'res_raw'!$E$17</f>
        <v/>
      </c>
      <c r="F70" s="5">
        <f>'res_raw'!$F$17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Investering i materielle anlægsaktiver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IFERROR(($B$11+$B$13+$B$12)/$B$39*100,"")</f>
        <v/>
      </c>
      <c r="C74" s="13">
        <f>IFERROR(($C$11+$C$13+$C$12)/$C$39*100,"")</f>
        <v/>
      </c>
      <c r="D74" s="13">
        <f>IFERROR(($D$11+$D$13+$D$12)/$D$39*100,"")</f>
        <v/>
      </c>
      <c r="E74" s="13">
        <f>IFERROR(($E$11+$E$13+$E$12)/$E$39*100,"")</f>
        <v/>
      </c>
      <c r="F74" s="13">
        <f>IFERROR(($F$11+$F$13+$F$12)/$F$39*100,"")</f>
        <v/>
      </c>
    </row>
    <row r="75" ht="16" customHeight="1">
      <c r="A75" s="10" t="inlineStr">
        <is>
          <t>Overskudsgrad, %</t>
        </is>
      </c>
      <c r="B75" s="14">
        <f>IFERROR(($B$11+$B$13+$B$12)/$B$4*100,"")</f>
        <v/>
      </c>
      <c r="C75" s="14">
        <f>IFERROR(($C$11+$C$13+$C$12)/$C$4*100,"")</f>
        <v/>
      </c>
      <c r="D75" s="14">
        <f>IFERROR(($D$11+$D$13+$D$12)/$D$4*100,"")</f>
        <v/>
      </c>
      <c r="E75" s="14">
        <f>IFERROR(($E$11+$E$13+$E$12)/$E$4*100,"")</f>
        <v/>
      </c>
      <c r="F75" s="14">
        <f>IFERROR(($F$11+$F$13+$F$12)/$F$4*100,"")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IFERROR($B$4/$B$39,"")</f>
        <v/>
      </c>
      <c r="C76" s="13">
        <f>IFERROR($C$4/$C$39,"")</f>
        <v/>
      </c>
      <c r="D76" s="13">
        <f>IFERROR($D$4/$D$39,"")</f>
        <v/>
      </c>
      <c r="E76" s="13">
        <f>IFERROR($E$4/$E$39,"")</f>
        <v/>
      </c>
      <c r="F76" s="13">
        <f>IFERROR($F$4/$F$39,"")</f>
        <v/>
      </c>
    </row>
    <row r="77" ht="16" customHeight="1">
      <c r="A77" s="10" t="inlineStr">
        <is>
          <t>Egenkapitalens forrentning, %</t>
        </is>
      </c>
      <c r="B77" s="14">
        <f>IFERROR($B$16/$B$48*100,"")</f>
        <v/>
      </c>
      <c r="C77" s="14">
        <f>IFERROR($C$16/$C$48*100,"")</f>
        <v/>
      </c>
      <c r="D77" s="14">
        <f>IFERROR($D$16/$D$48*100,"")</f>
        <v/>
      </c>
      <c r="E77" s="14">
        <f>IFERROR($E$16/$E$48*100,"")</f>
        <v/>
      </c>
      <c r="F77" s="14">
        <f>IFERROR($F$16/$F$48*100,"")</f>
        <v/>
      </c>
    </row>
    <row r="78" ht="16" customHeight="1">
      <c r="A78" s="4" t="inlineStr">
        <is>
          <t>Gældsrente, %</t>
        </is>
      </c>
      <c r="B78" s="13">
        <f>IFERROR($B$14/($B$67-$B$48)*100,"")</f>
        <v/>
      </c>
      <c r="C78" s="13">
        <f>IFERROR($C$14/($C$67-$C$48)*100,"")</f>
        <v/>
      </c>
      <c r="D78" s="13">
        <f>IFERROR($D$14/($D$67-$D$48)*100,"")</f>
        <v/>
      </c>
      <c r="E78" s="13">
        <f>IFERROR($E$14/($E$67-$E$48)*100,"")</f>
        <v/>
      </c>
      <c r="F78" s="13">
        <f>IFERROR($F$14/($F$67-$F$48)*100,"")</f>
        <v/>
      </c>
    </row>
    <row r="79" ht="16" customHeight="1">
      <c r="A79" s="10" t="inlineStr">
        <is>
          <t>Soliditetsgrad, %</t>
        </is>
      </c>
      <c r="B79" s="14">
        <f>IFERROR($B$48/$B$39*100,"")</f>
        <v/>
      </c>
      <c r="C79" s="14">
        <f>IFERROR($C$48/$C$39*100,"")</f>
        <v/>
      </c>
      <c r="D79" s="14">
        <f>IFERROR($D$48/$D$39*100,"")</f>
        <v/>
      </c>
      <c r="E79" s="14">
        <f>IFERROR($E$48/$E$39*100,"")</f>
        <v/>
      </c>
      <c r="F79" s="14">
        <f>IFERROR($F$48/$F$39*100,"")</f>
        <v/>
      </c>
    </row>
    <row r="80" ht="16" customHeight="1">
      <c r="A80" s="4" t="inlineStr">
        <is>
          <t>Gearing</t>
        </is>
      </c>
      <c r="B80" s="13">
        <f>IFERROR(($B$67-$B$48)/$B$48,"")</f>
        <v/>
      </c>
      <c r="C80" s="13">
        <f>IFERROR(($C$67-$C$48)/$C$48,"")</f>
        <v/>
      </c>
      <c r="D80" s="13">
        <f>IFERROR(($D$67-$D$48)/$D$48,"")</f>
        <v/>
      </c>
      <c r="E80" s="13">
        <f>IFERROR(($E$67-$E$48)/$E$48,"")</f>
        <v/>
      </c>
      <c r="F80" s="13">
        <f>IFERROR(($F$67-$F$48)/$F$48,"")</f>
        <v/>
      </c>
    </row>
    <row r="81" ht="16" customHeight="1">
      <c r="A81" s="10" t="inlineStr">
        <is>
          <t>Likviditetsgrad, %</t>
        </is>
      </c>
      <c r="B81" s="14">
        <f>IFERROR($B$38/$B$65*100,"")</f>
        <v/>
      </c>
      <c r="C81" s="14">
        <f>IFERROR($C$38/$C$65*100,"")</f>
        <v/>
      </c>
      <c r="D81" s="14">
        <f>IFERROR($D$38/$D$65*100,"")</f>
        <v/>
      </c>
      <c r="E81" s="14">
        <f>IFERROR($E$38/$E$65*100,"")</f>
        <v/>
      </c>
      <c r="F81" s="14">
        <f>IFERROR($F$38/$F$65*100,"")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10" t="inlineStr">
        <is>
          <t>Gældsandel, %</t>
        </is>
      </c>
      <c r="B83" s="14">
        <f>IFERROR(($B$67-$B$48)/$B$39*100,"")</f>
        <v/>
      </c>
      <c r="C83" s="14">
        <f>IFERROR(($C$67-$C$48)/$C$39*100,"")</f>
        <v/>
      </c>
      <c r="D83" s="14">
        <f>IFERROR(($D$67-$D$48)/$D$39*100,"")</f>
        <v/>
      </c>
      <c r="E83" s="14">
        <f>IFERROR(($E$67-$E$48)/$E$39*100,"")</f>
        <v/>
      </c>
      <c r="F83" s="14">
        <f>IFERROR(($F$67-$F$48)/$F$39*100,"")</f>
        <v/>
      </c>
    </row>
    <row r="84" ht="16" customHeight="1">
      <c r="A84" s="4" t="inlineStr">
        <is>
          <t>Kapitalbindingsgrad, %</t>
        </is>
      </c>
      <c r="B84" s="13">
        <f>IFERROR($B$26/($B$48+$B$53)*100,"")</f>
        <v/>
      </c>
      <c r="C84" s="13">
        <f>IFERROR($C$26/($C$48+$C$53)*100,"")</f>
        <v/>
      </c>
      <c r="D84" s="13">
        <f>IFERROR($D$26/($D$48+$D$53)*100,"")</f>
        <v/>
      </c>
      <c r="E84" s="13">
        <f>IFERROR($E$26/($E$48+$E$53)*100,"")</f>
        <v/>
      </c>
      <c r="F84" s="13">
        <f>IFERROR($F$26/($F$48+$F$53)*100,"")</f>
        <v/>
      </c>
    </row>
    <row r="86">
      <c r="A86" s="15" t="inlineStr">
        <is>
          <t>PENGESTRØMSOPGØRELSE t.kr.</t>
        </is>
      </c>
    </row>
    <row r="87">
      <c r="A87" s="16" t="inlineStr">
        <is>
          <t>Pengestrømme fra driftsaktivitet</t>
        </is>
      </c>
      <c r="B87" s="17">
        <f>'pengestrom_raw'!$B$2</f>
        <v/>
      </c>
      <c r="C87" s="17">
        <f>'pengestrom_raw'!$C$2</f>
        <v/>
      </c>
      <c r="D87" s="17">
        <f>'pengestrom_raw'!$D$2</f>
        <v/>
      </c>
      <c r="E87" s="17">
        <f>'pengestrom_raw'!$E$2</f>
        <v/>
      </c>
      <c r="F87" s="17">
        <f>'pengestrom_raw'!$F$2</f>
        <v/>
      </c>
    </row>
    <row r="88">
      <c r="A88" s="16" t="inlineStr">
        <is>
          <t>Pengestrømme fra investeringsaktivitet</t>
        </is>
      </c>
      <c r="B88" s="17">
        <f>'pengestrom_raw'!$B$3</f>
        <v/>
      </c>
      <c r="C88" s="17">
        <f>'pengestrom_raw'!$C$3</f>
        <v/>
      </c>
      <c r="D88" s="17">
        <f>'pengestrom_raw'!$D$3</f>
        <v/>
      </c>
      <c r="E88" s="17">
        <f>'pengestrom_raw'!$E$3</f>
        <v/>
      </c>
      <c r="F88" s="17">
        <f>'pengestrom_raw'!$F$3</f>
        <v/>
      </c>
    </row>
    <row r="89">
      <c r="A89" s="16" t="inlineStr">
        <is>
          <t>Pengestrømme fra finansieringsaktivitet</t>
        </is>
      </c>
      <c r="B89" s="17">
        <f>'pengestrom_raw'!$B$4</f>
        <v/>
      </c>
      <c r="C89" s="17">
        <f>'pengestrom_raw'!$C$4</f>
        <v/>
      </c>
      <c r="D89" s="17">
        <f>'pengestrom_raw'!$D$4</f>
        <v/>
      </c>
      <c r="E89" s="17">
        <f>'pengestrom_raw'!$E$4</f>
        <v/>
      </c>
      <c r="F89" s="17">
        <f>'pengestrom_raw'!$F$4</f>
        <v/>
      </c>
    </row>
    <row r="90">
      <c r="A90" s="16" t="inlineStr">
        <is>
          <t>Årets pengestrøm (rapporteret)</t>
        </is>
      </c>
      <c r="B90" s="17">
        <f>'pengestrom_raw'!$B$5</f>
        <v/>
      </c>
      <c r="C90" s="17">
        <f>'pengestrom_raw'!$C$5</f>
        <v/>
      </c>
      <c r="D90" s="17">
        <f>'pengestrom_raw'!$D$5</f>
        <v/>
      </c>
      <c r="E90" s="17">
        <f>'pengestrom_raw'!$E$5</f>
        <v/>
      </c>
      <c r="F90" s="17">
        <f>'pengestrom_raw'!$F$5</f>
        <v/>
      </c>
    </row>
    <row r="91">
      <c r="A91" s="16" t="inlineStr">
        <is>
          <t>Krydstjek: drift + inv. + fin. = årets pengestrøm</t>
        </is>
      </c>
      <c r="B9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260987</v>
      </c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759</v>
      </c>
      <c r="C7" s="17" t="n">
        <v>0</v>
      </c>
      <c r="D7" s="17" t="n">
        <v>15979</v>
      </c>
      <c r="E7" s="17" t="n">
        <v>0</v>
      </c>
      <c r="F7" s="17" t="n">
        <v>42336</v>
      </c>
    </row>
    <row r="8">
      <c r="A8" s="16" t="inlineStr">
        <is>
          <t>Andre driftsomkostninger</t>
        </is>
      </c>
      <c r="B8" s="17" t="n">
        <v>2173</v>
      </c>
      <c r="C8" s="17" t="n">
        <v>57587</v>
      </c>
      <c r="D8" s="17" t="n">
        <v>11000</v>
      </c>
      <c r="E8" s="17" t="n">
        <v>3136</v>
      </c>
      <c r="F8" s="17" t="n">
        <v>196423</v>
      </c>
    </row>
    <row r="9">
      <c r="A9" s="15" t="inlineStr">
        <is>
          <t>Resultat af primær drift</t>
        </is>
      </c>
      <c r="B9" s="17" t="n">
        <v>-1052370</v>
      </c>
      <c r="C9" s="17" t="n">
        <v>-837153</v>
      </c>
      <c r="D9" s="17" t="n">
        <v>-572238</v>
      </c>
      <c r="E9" s="17" t="n">
        <v>-1272207</v>
      </c>
      <c r="F9" s="17" t="n">
        <v>6959436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41211</v>
      </c>
      <c r="C11" s="17" t="n">
        <v>133270</v>
      </c>
      <c r="D11" s="17" t="n">
        <v>54115</v>
      </c>
      <c r="E11" s="17" t="n">
        <v>240264</v>
      </c>
      <c r="F11" s="17" t="n">
        <v>374424</v>
      </c>
    </row>
    <row r="12">
      <c r="A12" s="16" t="inlineStr">
        <is>
          <t>Finansielle omkostninger</t>
        </is>
      </c>
      <c r="B12" s="17" t="n">
        <v>15781</v>
      </c>
      <c r="C12" s="17" t="n">
        <v>268158</v>
      </c>
      <c r="D12" s="17" t="n">
        <v>190742</v>
      </c>
      <c r="E12" s="17" t="n">
        <v>51502</v>
      </c>
      <c r="F12" s="17" t="n">
        <v>332795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-1026940</v>
      </c>
      <c r="C14" s="17" t="n">
        <v>-972041</v>
      </c>
      <c r="D14" s="17" t="n">
        <v>-708865</v>
      </c>
      <c r="E14" s="17" t="n">
        <v>-1083445</v>
      </c>
      <c r="F14" s="17" t="n">
        <v>7001065</v>
      </c>
    </row>
    <row r="15">
      <c r="A15" s="16" t="inlineStr">
        <is>
          <t>Skat af årets resultat</t>
        </is>
      </c>
      <c r="B15" s="17" t="n">
        <v>-8791</v>
      </c>
      <c r="C15" s="17" t="n">
        <v>-6431</v>
      </c>
      <c r="D15" s="17" t="n">
        <v>-5126</v>
      </c>
      <c r="E15" s="17" t="n">
        <v>-4617</v>
      </c>
      <c r="F15" s="17" t="n">
        <v>546057</v>
      </c>
    </row>
    <row r="16">
      <c r="A16" s="15" t="inlineStr">
        <is>
          <t>Årets resultat</t>
        </is>
      </c>
      <c r="B16" s="17" t="n">
        <v>-1018149</v>
      </c>
      <c r="C16" s="17" t="n">
        <v>-965610</v>
      </c>
      <c r="D16" s="17" t="n">
        <v>-703739</v>
      </c>
      <c r="E16" s="17" t="n">
        <v>-1078828</v>
      </c>
      <c r="F16" s="17" t="n">
        <v>6455008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22133</v>
      </c>
      <c r="C18" s="17" t="n">
        <v>11710</v>
      </c>
      <c r="D18" s="17" t="n">
        <v>11241</v>
      </c>
      <c r="E18" s="17" t="n">
        <v>10053</v>
      </c>
      <c r="F18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'balance_raw'!$F$46-'balance_raw'!$F$27</f>
        <v/>
      </c>
      <c r="C23" s="24">
        <f>'balance_raw'!$E$46-'balance_raw'!$E$27</f>
        <v/>
      </c>
      <c r="D23" s="24">
        <f>'balance_raw'!$D$46-'balance_raw'!$D$27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'balance_raw'!$F$44</f>
        <v/>
      </c>
      <c r="C29" s="24">
        <f>'balance_raw'!$E$44</f>
        <v/>
      </c>
      <c r="D29" s="24">
        <f>'balance_raw'!$D$44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IF('balance_raw'!$F$46="","—",IF(ABS(B24-'balance_raw'!$F$46)&lt;=1,"✓ OK","❌ "&amp;TEXT(B24-'balance_raw'!$F$46,"+#,##0;-#,##0")&amp;" t.kr."))</f>
        <v/>
      </c>
      <c r="C61" s="29">
        <f>IF('balance_raw'!$E$46="","—",IF(ABS(C24-'balance_raw'!$E$46)&lt;=1,"✓ OK","❌ "&amp;TEXT(C24-'balance_raw'!$E$46,"+#,##0;-#,##0")&amp;" t.kr."))</f>
        <v/>
      </c>
      <c r="D61" s="29">
        <f>IF('balance_raw'!$D$46="","—",IF(ABS(D24-'balance_raw'!$D$46)&lt;=1,"✓ OK","❌ "&amp;TEXT(D24-'balance_raw'!$D$46,"+#,##0;-#,##0")&amp;"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zealand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ifrs-full:AdjustmentsForIncreaseDecreaseInDeferredIncome</t>
        </is>
      </c>
      <c r="C3" s="34" t="inlineStr">
        <is>
          <t>ifrs-full:AdjustmentsForIncreaseDecreaseInDeferredIncome</t>
        </is>
      </c>
      <c r="D3" s="35" t="n">
        <v>-30185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>
        <v>1183746</v>
      </c>
      <c r="G4" s="38" t="n">
        <v>7722081</v>
      </c>
      <c r="H4" s="38" t="n">
        <v>10532267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299042</v>
      </c>
      <c r="E5" s="35" t="n"/>
      <c r="F5" s="35" t="n">
        <v>0</v>
      </c>
      <c r="G5" s="35" t="n">
        <v>23626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ifrs-full:CurrentPrepaidExpenses</t>
        </is>
      </c>
      <c r="C6" s="37" t="inlineStr">
        <is>
          <t>ifrs-full:CurrentPrepaidExpenses</t>
        </is>
      </c>
      <c r="D6" s="38" t="n">
        <v>64626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ifrs-full:CurrentRestrictedCashAndCashEquivalents</t>
        </is>
      </c>
      <c r="C7" s="34" t="inlineStr">
        <is>
          <t>ifrs-full:CurrentRestrictedCashAndCashEquivalents</t>
        </is>
      </c>
      <c r="D7" s="35" t="n"/>
      <c r="E7" s="35" t="n">
        <v>348608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ifrs-full:GeneralAndAdministrativeExpense</t>
        </is>
      </c>
      <c r="C8" s="37" t="inlineStr">
        <is>
          <t>ifrs-full:GeneralAndAdministrativeExpense</t>
        </is>
      </c>
      <c r="D8" s="38" t="n"/>
      <c r="E8" s="38" t="n">
        <v>237210</v>
      </c>
      <c r="F8" s="38" t="n">
        <v>185302</v>
      </c>
      <c r="G8" s="38" t="n">
        <v>315907</v>
      </c>
      <c r="H8" s="38" t="n">
        <v>356829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ifrs-full:IncomeTaxesRefundClassifiedAsOperatingActivities</t>
        </is>
      </c>
      <c r="C9" s="34" t="inlineStr">
        <is>
          <t>ifrs-full:IncomeTaxesRefundClassifiedAsOperatingActivities</t>
        </is>
      </c>
      <c r="D9" s="35" t="n"/>
      <c r="E9" s="35" t="n"/>
      <c r="F9" s="35" t="n">
        <v>11300</v>
      </c>
      <c r="G9" s="35" t="n">
        <v>11155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/>
      <c r="E10" s="38" t="n">
        <v>201</v>
      </c>
      <c r="F10" s="38" t="n">
        <v>470</v>
      </c>
      <c r="G10" s="38" t="n">
        <v>161</v>
      </c>
      <c r="H10" s="38" t="n">
        <v>491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ifrs-full:NoncurrentFinancialAssetsAtFairValueThroughProfitOrLoss</t>
        </is>
      </c>
      <c r="C11" s="34" t="inlineStr">
        <is>
          <t>ifrs-full:NoncurrentFinancialAssetsAtFairValueThroughProfitOrLoss</t>
        </is>
      </c>
      <c r="D11" s="35" t="n"/>
      <c r="E11" s="35" t="n"/>
      <c r="F11" s="35" t="n">
        <v>0</v>
      </c>
      <c r="G11" s="35" t="n">
        <v>819632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16457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ifrs-full:OperatingExpenseExcludingCostOfSales</t>
        </is>
      </c>
      <c r="C13" s="34" t="inlineStr">
        <is>
          <t>ifrs-full:OperatingExpenseExcludingCostOfSales</t>
        </is>
      </c>
      <c r="D13" s="35" t="n"/>
      <c r="E13" s="35" t="n"/>
      <c r="F13" s="35" t="n">
        <v>895852</v>
      </c>
      <c r="G13" s="35" t="n">
        <v>1327024</v>
      </c>
      <c r="H13" s="35" t="n">
        <v>2254608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ifrs-full:PaymentsForShareIssueCosts</t>
        </is>
      </c>
      <c r="C14" s="37" t="inlineStr">
        <is>
          <t>ifrs-full:PaymentsForShareIssueCosts</t>
        </is>
      </c>
      <c r="D14" s="38" t="n">
        <v>46895</v>
      </c>
      <c r="E14" s="38" t="n">
        <v>47354</v>
      </c>
      <c r="F14" s="38" t="n">
        <v>71908</v>
      </c>
      <c r="G14" s="38" t="n">
        <v>236579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ifrs-full:ProceedsFromExerciseOfWarrants</t>
        </is>
      </c>
      <c r="C15" s="34" t="inlineStr">
        <is>
          <t>ifrs-full:ProceedsFromExerciseOfWarrants</t>
        </is>
      </c>
      <c r="D15" s="35" t="n"/>
      <c r="E15" s="35" t="n">
        <v>31904</v>
      </c>
      <c r="F15" s="35" t="n">
        <v>63950</v>
      </c>
      <c r="G15" s="35" t="n">
        <v>30727</v>
      </c>
      <c r="H15" s="35" t="n">
        <v>49150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ifrs-full:ProceedsFromSalesOrMaturityOfFinancialInstrumentsClassifiedAsInvestingActivities</t>
        </is>
      </c>
      <c r="C16" s="37" t="inlineStr">
        <is>
          <t>ifrs-full:ProceedsFromSalesOrMaturityOfFinancialInstrumentsClassifiedAsInvestingActivities</t>
        </is>
      </c>
      <c r="D16" s="38" t="n"/>
      <c r="E16" s="38" t="n"/>
      <c r="F16" s="38" t="n">
        <v>1089547</v>
      </c>
      <c r="G16" s="38" t="n">
        <v>4137897</v>
      </c>
      <c r="H16" s="38" t="n">
        <v>12126162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588453</v>
      </c>
      <c r="E17" s="35" t="n">
        <v>614044</v>
      </c>
      <c r="F17" s="35" t="n">
        <v>684902</v>
      </c>
      <c r="G17" s="35" t="n">
        <v>919866</v>
      </c>
      <c r="H17" s="35" t="n">
        <v>1604570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14155</v>
      </c>
      <c r="E18" s="38" t="n">
        <v>14617</v>
      </c>
      <c r="F18" s="38" t="n">
        <v>22704</v>
      </c>
      <c r="G18" s="38" t="n">
        <v>22388</v>
      </c>
      <c r="H18" s="38" t="n">
        <v>23381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ifrs-full:RoyaltyExpense</t>
        </is>
      </c>
      <c r="C19" s="34" t="inlineStr">
        <is>
          <t>ifrs-full:RoyaltyExpense</t>
        </is>
      </c>
      <c r="D19" s="35" t="n">
        <v>10970</v>
      </c>
      <c r="E19" s="35" t="n">
        <v>0</v>
      </c>
      <c r="F19" s="35" t="n">
        <v>9138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ifrs-full:SalesAndMarketingExpense</t>
        </is>
      </c>
      <c r="C20" s="37" t="inlineStr">
        <is>
          <t>ifrs-full:SalesAndMarketingExpense</t>
        </is>
      </c>
      <c r="D20" s="38" t="n">
        <v>375269</v>
      </c>
      <c r="E20" s="38" t="n">
        <v>32298</v>
      </c>
      <c r="F20" s="38" t="n">
        <v>30627</v>
      </c>
      <c r="G20" s="38" t="n">
        <v>88115</v>
      </c>
      <c r="H20" s="38" t="n">
        <v>139122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2026-09-27T21:20:08Z</dcterms:created>
  <dcterms:modified xmlns:dcterms="http://purl.org/dc/terms/" xmlns:xsi="http://www.w3.org/2001/XMLSchema-instance" xsi:type="dcterms:W3CDTF">2026-09-27T21:20:09Z</dcterms:modified>
</cp:coreProperties>
</file>