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442024" sheetId="1" state="visible" r:id="rId1"/>
    <sheet xmlns:r="http://schemas.openxmlformats.org/officeDocument/2006/relationships" name="res_raw_25442024" sheetId="2" state="visible" r:id="rId2"/>
    <sheet xmlns:r="http://schemas.openxmlformats.org/officeDocument/2006/relationships" name="balance_raw_2544202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Gasa Group Denmark A/S (CVR 25442024)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'res_raw_25442024'!$B$2</f>
        <v/>
      </c>
      <c r="C4" s="5">
        <f>'res_raw_25442024'!$C$2</f>
        <v/>
      </c>
      <c r="D4" s="5">
        <f>'res_raw_25442024'!$D$2</f>
        <v/>
      </c>
      <c r="E4" s="5">
        <f>'res_raw_25442024'!$E$2</f>
        <v/>
      </c>
      <c r="F4" s="5">
        <f>'res_raw_25442024'!$F$2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'res_raw_25442024'!$B$3</f>
        <v/>
      </c>
      <c r="C5" s="8">
        <f>'res_raw_25442024'!$C$3</f>
        <v/>
      </c>
      <c r="D5" s="8">
        <f>'res_raw_25442024'!$D$3</f>
        <v/>
      </c>
      <c r="E5" s="8">
        <f>'res_raw_25442024'!$E$3</f>
        <v/>
      </c>
      <c r="F5" s="8">
        <f>'res_raw_25442024'!$F$3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'res_raw_25442024'!$B$4</f>
        <v/>
      </c>
      <c r="C6" s="5">
        <f>'res_raw_25442024'!$C$4</f>
        <v/>
      </c>
      <c r="D6" s="5">
        <f>'res_raw_25442024'!$D$4</f>
        <v/>
      </c>
      <c r="E6" s="5">
        <f>'res_raw_25442024'!$E$4</f>
        <v/>
      </c>
      <c r="F6" s="5">
        <f>'res_raw_25442024'!$F$4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'res_raw_25442024'!$B$5</f>
        <v/>
      </c>
      <c r="C7" s="8">
        <f>'res_raw_25442024'!$C$5</f>
        <v/>
      </c>
      <c r="D7" s="8">
        <f>'res_raw_25442024'!$D$5</f>
        <v/>
      </c>
      <c r="E7" s="8">
        <f>'res_raw_25442024'!$E$5</f>
        <v/>
      </c>
      <c r="F7" s="8">
        <f>'res_raw_25442024'!$F$5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'res_raw_25442024'!$B$6</f>
        <v/>
      </c>
      <c r="C8" s="11">
        <f>'res_raw_25442024'!$C$6</f>
        <v/>
      </c>
      <c r="D8" s="11">
        <f>'res_raw_25442024'!$D$6</f>
        <v/>
      </c>
      <c r="E8" s="11">
        <f>'res_raw_25442024'!$E$6</f>
        <v/>
      </c>
      <c r="F8" s="11">
        <f>'res_raw_25442024'!$F$6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'res_raw_25442024'!$B$7</f>
        <v/>
      </c>
      <c r="C9" s="8">
        <f>'res_raw_25442024'!$C$7</f>
        <v/>
      </c>
      <c r="D9" s="8">
        <f>'res_raw_25442024'!$D$7</f>
        <v/>
      </c>
      <c r="E9" s="8">
        <f>'res_raw_25442024'!$E$7</f>
        <v/>
      </c>
      <c r="F9" s="8">
        <f>'res_raw_25442024'!$F$7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'res_raw_25442024'!$B$9</f>
        <v/>
      </c>
      <c r="C11" s="8">
        <f>'res_raw_25442024'!$C$9</f>
        <v/>
      </c>
      <c r="D11" s="8">
        <f>'res_raw_25442024'!$D$9</f>
        <v/>
      </c>
      <c r="E11" s="8">
        <f>'res_raw_25442024'!$E$9</f>
        <v/>
      </c>
      <c r="F11" s="8">
        <f>'res_raw_25442024'!$F$9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'res_raw_25442024'!$B$10</f>
        <v/>
      </c>
      <c r="C12" s="5">
        <f>'res_raw_25442024'!$C$10</f>
        <v/>
      </c>
      <c r="D12" s="5">
        <f>'res_raw_25442024'!$D$10</f>
        <v/>
      </c>
      <c r="E12" s="5">
        <f>'res_raw_25442024'!$E$10</f>
        <v/>
      </c>
      <c r="F12" s="5">
        <f>'res_raw_25442024'!$F$10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'res_raw_25442024'!$B$11</f>
        <v/>
      </c>
      <c r="C13" s="11">
        <f>'res_raw_25442024'!$C$11</f>
        <v/>
      </c>
      <c r="D13" s="11">
        <f>'res_raw_25442024'!$D$11</f>
        <v/>
      </c>
      <c r="E13" s="11">
        <f>'res_raw_25442024'!$E$11</f>
        <v/>
      </c>
      <c r="F13" s="11">
        <f>'res_raw_25442024'!$F$11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'res_raw_25442024'!$B$12</f>
        <v/>
      </c>
      <c r="C14" s="5">
        <f>'res_raw_25442024'!$C$12</f>
        <v/>
      </c>
      <c r="D14" s="5">
        <f>'res_raw_25442024'!$D$12</f>
        <v/>
      </c>
      <c r="E14" s="5">
        <f>'res_raw_25442024'!$E$12</f>
        <v/>
      </c>
      <c r="F14" s="5">
        <f>'res_raw_25442024'!$F$12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'res_raw_25442024'!$B$13</f>
        <v/>
      </c>
      <c r="C15" s="8">
        <f>'res_raw_25442024'!$C$13</f>
        <v/>
      </c>
      <c r="D15" s="8">
        <f>'res_raw_25442024'!$D$13</f>
        <v/>
      </c>
      <c r="E15" s="8">
        <f>'res_raw_25442024'!$E$13</f>
        <v/>
      </c>
      <c r="F15" s="8">
        <f>'res_raw_25442024'!$F$13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'res_raw_25442024'!$B$14</f>
        <v/>
      </c>
      <c r="C16" s="5">
        <f>'res_raw_25442024'!$C$14</f>
        <v/>
      </c>
      <c r="D16" s="5">
        <f>'res_raw_25442024'!$D$14</f>
        <v/>
      </c>
      <c r="E16" s="5">
        <f>'res_raw_25442024'!$E$14</f>
        <v/>
      </c>
      <c r="F16" s="5">
        <f>'res_raw_25442024'!$F$14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'res_raw_25442024'!$B$15</f>
        <v/>
      </c>
      <c r="C17" s="11">
        <f>'res_raw_25442024'!$C$15</f>
        <v/>
      </c>
      <c r="D17" s="11">
        <f>'res_raw_25442024'!$D$15</f>
        <v/>
      </c>
      <c r="E17" s="11">
        <f>'res_raw_25442024'!$E$15</f>
        <v/>
      </c>
      <c r="F17" s="11">
        <f>'res_raw_25442024'!$F$15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'res_raw_25442024'!$B$16</f>
        <v/>
      </c>
      <c r="C18" s="11">
        <f>'res_raw_25442024'!$C$16</f>
        <v/>
      </c>
      <c r="D18" s="11">
        <f>'res_raw_25442024'!$D$16</f>
        <v/>
      </c>
      <c r="E18" s="11">
        <f>'res_raw_25442024'!$E$16</f>
        <v/>
      </c>
      <c r="F18" s="11">
        <f>'res_raw_25442024'!$F$16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'res_raw_25442024'!$B$17</f>
        <v/>
      </c>
      <c r="C19" s="8">
        <f>'res_raw_25442024'!$C$17</f>
        <v/>
      </c>
      <c r="D19" s="8">
        <f>'res_raw_25442024'!$D$17</f>
        <v/>
      </c>
      <c r="E19" s="8">
        <f>'res_raw_25442024'!$E$17</f>
        <v/>
      </c>
      <c r="F19" s="8">
        <f>'res_raw_25442024'!$F$17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'res_raw_25442024'!$B$18</f>
        <v/>
      </c>
      <c r="C20" s="11">
        <f>'res_raw_25442024'!$C$18</f>
        <v/>
      </c>
      <c r="D20" s="11">
        <f>'res_raw_25442024'!$D$18</f>
        <v/>
      </c>
      <c r="E20" s="11">
        <f>'res_raw_25442024'!$E$18</f>
        <v/>
      </c>
      <c r="F20" s="11">
        <f>'res_raw_25442024'!$F$18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'balance_raw_25442024'!$B$2</f>
        <v/>
      </c>
      <c r="C23" s="8">
        <f>'balance_raw_25442024'!$C$2</f>
        <v/>
      </c>
      <c r="D23" s="8">
        <f>'balance_raw_25442024'!$D$2</f>
        <v/>
      </c>
      <c r="E23" s="8">
        <f>'balance_raw_25442024'!$E$2</f>
        <v/>
      </c>
      <c r="F23" s="8">
        <f>'balance_raw_25442024'!$F$2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'balance_raw_25442024'!$B$3</f>
        <v/>
      </c>
      <c r="C24" s="5">
        <f>'balance_raw_25442024'!$C$3</f>
        <v/>
      </c>
      <c r="D24" s="5">
        <f>'balance_raw_25442024'!$D$3</f>
        <v/>
      </c>
      <c r="E24" s="5">
        <f>'balance_raw_25442024'!$E$3</f>
        <v/>
      </c>
      <c r="F24" s="5">
        <f>'balance_raw_25442024'!$F$3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'balance_raw_25442024'!$B$4</f>
        <v/>
      </c>
      <c r="C25" s="8">
        <f>'balance_raw_25442024'!$C$4</f>
        <v/>
      </c>
      <c r="D25" s="8">
        <f>'balance_raw_25442024'!$D$4</f>
        <v/>
      </c>
      <c r="E25" s="8">
        <f>'balance_raw_25442024'!$E$4</f>
        <v/>
      </c>
      <c r="F25" s="8">
        <f>'balance_raw_25442024'!$F$4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'balance_raw_25442024'!$B$5</f>
        <v/>
      </c>
      <c r="C26" s="11">
        <f>'balance_raw_25442024'!$C$5</f>
        <v/>
      </c>
      <c r="D26" s="11">
        <f>'balance_raw_25442024'!$D$5</f>
        <v/>
      </c>
      <c r="E26" s="11">
        <f>'balance_raw_25442024'!$E$5</f>
        <v/>
      </c>
      <c r="F26" s="11">
        <f>'balance_raw_25442024'!$F$5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'balance_raw_25442024'!$B$6</f>
        <v/>
      </c>
      <c r="C27" s="8">
        <f>'balance_raw_25442024'!$C$6</f>
        <v/>
      </c>
      <c r="D27" s="8">
        <f>'balance_raw_25442024'!$D$6</f>
        <v/>
      </c>
      <c r="E27" s="8">
        <f>'balance_raw_25442024'!$E$6</f>
        <v/>
      </c>
      <c r="F27" s="8">
        <f>'balance_raw_25442024'!$F$6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'balance_raw_25442024'!$B$7</f>
        <v/>
      </c>
      <c r="C28" s="5">
        <f>'balance_raw_25442024'!$C$7</f>
        <v/>
      </c>
      <c r="D28" s="5">
        <f>'balance_raw_25442024'!$D$7</f>
        <v/>
      </c>
      <c r="E28" s="5">
        <f>'balance_raw_25442024'!$E$7</f>
        <v/>
      </c>
      <c r="F28" s="5">
        <f>'balance_raw_25442024'!$F$7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'balance_raw_25442024'!$B$8</f>
        <v/>
      </c>
      <c r="C29" s="8">
        <f>'balance_raw_25442024'!$C$8</f>
        <v/>
      </c>
      <c r="D29" s="8">
        <f>'balance_raw_25442024'!$D$8</f>
        <v/>
      </c>
      <c r="E29" s="8">
        <f>'balance_raw_25442024'!$E$8</f>
        <v/>
      </c>
      <c r="F29" s="8">
        <f>'balance_raw_25442024'!$F$8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'balance_raw_25442024'!$B$9</f>
        <v/>
      </c>
      <c r="C30" s="5">
        <f>'balance_raw_25442024'!$C$9</f>
        <v/>
      </c>
      <c r="D30" s="5">
        <f>'balance_raw_25442024'!$D$9</f>
        <v/>
      </c>
      <c r="E30" s="5">
        <f>'balance_raw_25442024'!$E$9</f>
        <v/>
      </c>
      <c r="F30" s="5">
        <f>'balance_raw_25442024'!$F$9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'balance_raw_25442024'!$B$10</f>
        <v/>
      </c>
      <c r="C31" s="8">
        <f>'balance_raw_25442024'!$C$10</f>
        <v/>
      </c>
      <c r="D31" s="8">
        <f>'balance_raw_25442024'!$D$10</f>
        <v/>
      </c>
      <c r="E31" s="8">
        <f>'balance_raw_25442024'!$E$10</f>
        <v/>
      </c>
      <c r="F31" s="8">
        <f>'balance_raw_25442024'!$F$10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'balance_raw_25442024'!$B$11</f>
        <v/>
      </c>
      <c r="C32" s="11">
        <f>'balance_raw_25442024'!$C$11</f>
        <v/>
      </c>
      <c r="D32" s="11">
        <f>'balance_raw_25442024'!$D$11</f>
        <v/>
      </c>
      <c r="E32" s="11">
        <f>'balance_raw_25442024'!$E$11</f>
        <v/>
      </c>
      <c r="F32" s="11">
        <f>'balance_raw_25442024'!$F$11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'balance_raw_25442024'!$B$12</f>
        <v/>
      </c>
      <c r="C33" s="8">
        <f>'balance_raw_25442024'!$C$12</f>
        <v/>
      </c>
      <c r="D33" s="8">
        <f>'balance_raw_25442024'!$D$12</f>
        <v/>
      </c>
      <c r="E33" s="8">
        <f>'balance_raw_25442024'!$E$12</f>
        <v/>
      </c>
      <c r="F33" s="8">
        <f>'balance_raw_25442024'!$F$12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'balance_raw_25442024'!$B$13</f>
        <v/>
      </c>
      <c r="C34" s="5">
        <f>'balance_raw_25442024'!$C$13</f>
        <v/>
      </c>
      <c r="D34" s="5">
        <f>'balance_raw_25442024'!$D$13</f>
        <v/>
      </c>
      <c r="E34" s="5">
        <f>'balance_raw_25442024'!$E$13</f>
        <v/>
      </c>
      <c r="F34" s="5">
        <f>'balance_raw_25442024'!$F$13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'balance_raw_25442024'!$B$14</f>
        <v/>
      </c>
      <c r="C35" s="11">
        <f>'balance_raw_25442024'!$C$14</f>
        <v/>
      </c>
      <c r="D35" s="11">
        <f>'balance_raw_25442024'!$D$14</f>
        <v/>
      </c>
      <c r="E35" s="11">
        <f>'balance_raw_25442024'!$E$14</f>
        <v/>
      </c>
      <c r="F35" s="11">
        <f>'balance_raw_25442024'!$F$14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'balance_raw_25442024'!$B$15</f>
        <v/>
      </c>
      <c r="C36" s="11">
        <f>'balance_raw_25442024'!$C$15</f>
        <v/>
      </c>
      <c r="D36" s="11">
        <f>'balance_raw_25442024'!$D$15</f>
        <v/>
      </c>
      <c r="E36" s="11">
        <f>'balance_raw_25442024'!$E$15</f>
        <v/>
      </c>
      <c r="F36" s="11">
        <f>'balance_raw_25442024'!$F$15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'balance_raw_25442024'!$B$16</f>
        <v/>
      </c>
      <c r="C37" s="8">
        <f>'balance_raw_25442024'!$C$16</f>
        <v/>
      </c>
      <c r="D37" s="8">
        <f>'balance_raw_25442024'!$D$16</f>
        <v/>
      </c>
      <c r="E37" s="8">
        <f>'balance_raw_25442024'!$E$16</f>
        <v/>
      </c>
      <c r="F37" s="8">
        <f>'balance_raw_25442024'!$F$16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'balance_raw_25442024'!$B$17</f>
        <v/>
      </c>
      <c r="C38" s="5">
        <f>'balance_raw_25442024'!$C$17</f>
        <v/>
      </c>
      <c r="D38" s="5">
        <f>'balance_raw_25442024'!$D$17</f>
        <v/>
      </c>
      <c r="E38" s="5">
        <f>'balance_raw_25442024'!$E$17</f>
        <v/>
      </c>
      <c r="F38" s="5">
        <f>'balance_raw_25442024'!$F$17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'balance_raw_25442024'!$B$18</f>
        <v/>
      </c>
      <c r="C39" s="8">
        <f>'balance_raw_25442024'!$C$18</f>
        <v/>
      </c>
      <c r="D39" s="8">
        <f>'balance_raw_25442024'!$D$18</f>
        <v/>
      </c>
      <c r="E39" s="8">
        <f>'balance_raw_25442024'!$E$18</f>
        <v/>
      </c>
      <c r="F39" s="8">
        <f>'balance_raw_25442024'!$F$18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'balance_raw_25442024'!$B$19</f>
        <v/>
      </c>
      <c r="C40" s="11">
        <f>'balance_raw_25442024'!$C$19</f>
        <v/>
      </c>
      <c r="D40" s="11">
        <f>'balance_raw_25442024'!$D$19</f>
        <v/>
      </c>
      <c r="E40" s="11">
        <f>'balance_raw_25442024'!$E$19</f>
        <v/>
      </c>
      <c r="F40" s="11">
        <f>'balance_raw_25442024'!$F$19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'balance_raw_25442024'!$B$20</f>
        <v/>
      </c>
      <c r="C41" s="8">
        <f>'balance_raw_25442024'!$C$20</f>
        <v/>
      </c>
      <c r="D41" s="8">
        <f>'balance_raw_25442024'!$D$20</f>
        <v/>
      </c>
      <c r="E41" s="8">
        <f>'balance_raw_25442024'!$E$20</f>
        <v/>
      </c>
      <c r="F41" s="8">
        <f>'balance_raw_25442024'!$F$20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'balance_raw_25442024'!$B$21</f>
        <v/>
      </c>
      <c r="C42" s="5">
        <f>'balance_raw_25442024'!$C$21</f>
        <v/>
      </c>
      <c r="D42" s="5">
        <f>'balance_raw_25442024'!$D$21</f>
        <v/>
      </c>
      <c r="E42" s="5">
        <f>'balance_raw_25442024'!$E$21</f>
        <v/>
      </c>
      <c r="F42" s="5">
        <f>'balance_raw_25442024'!$F$21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'balance_raw_25442024'!$B$22</f>
        <v/>
      </c>
      <c r="C43" s="8">
        <f>'balance_raw_25442024'!$C$22</f>
        <v/>
      </c>
      <c r="D43" s="8">
        <f>'balance_raw_25442024'!$D$22</f>
        <v/>
      </c>
      <c r="E43" s="8">
        <f>'balance_raw_25442024'!$E$22</f>
        <v/>
      </c>
      <c r="F43" s="8">
        <f>'balance_raw_25442024'!$F$22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'balance_raw_25442024'!$B$23</f>
        <v/>
      </c>
      <c r="C44" s="5">
        <f>'balance_raw_25442024'!$C$23</f>
        <v/>
      </c>
      <c r="D44" s="5">
        <f>'balance_raw_25442024'!$D$23</f>
        <v/>
      </c>
      <c r="E44" s="5">
        <f>'balance_raw_25442024'!$E$23</f>
        <v/>
      </c>
      <c r="F44" s="5">
        <f>'balance_raw_25442024'!$F$23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'balance_raw_25442024'!$B$24</f>
        <v/>
      </c>
      <c r="C45" s="8">
        <f>'balance_raw_25442024'!$C$24</f>
        <v/>
      </c>
      <c r="D45" s="8">
        <f>'balance_raw_25442024'!$D$24</f>
        <v/>
      </c>
      <c r="E45" s="8">
        <f>'balance_raw_25442024'!$E$24</f>
        <v/>
      </c>
      <c r="F45" s="8">
        <f>'balance_raw_25442024'!$F$24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'balance_raw_25442024'!$B$25</f>
        <v/>
      </c>
      <c r="C46" s="5">
        <f>'balance_raw_25442024'!$C$25</f>
        <v/>
      </c>
      <c r="D46" s="5">
        <f>'balance_raw_25442024'!$D$25</f>
        <v/>
      </c>
      <c r="E46" s="5">
        <f>'balance_raw_25442024'!$E$25</f>
        <v/>
      </c>
      <c r="F46" s="5">
        <f>'balance_raw_25442024'!$F$25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'balance_raw_25442024'!$B$26</f>
        <v/>
      </c>
      <c r="C47" s="8">
        <f>'balance_raw_25442024'!$C$26</f>
        <v/>
      </c>
      <c r="D47" s="8">
        <f>'balance_raw_25442024'!$D$26</f>
        <v/>
      </c>
      <c r="E47" s="8">
        <f>'balance_raw_25442024'!$E$26</f>
        <v/>
      </c>
      <c r="F47" s="8">
        <f>'balance_raw_25442024'!$F$26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'balance_raw_25442024'!$B$27</f>
        <v/>
      </c>
      <c r="C48" s="11">
        <f>'balance_raw_25442024'!$C$27</f>
        <v/>
      </c>
      <c r="D48" s="11">
        <f>'balance_raw_25442024'!$D$27</f>
        <v/>
      </c>
      <c r="E48" s="11">
        <f>'balance_raw_25442024'!$E$27</f>
        <v/>
      </c>
      <c r="F48" s="11">
        <f>'balance_raw_25442024'!$F$27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'balance_raw_25442024'!$B$28</f>
        <v/>
      </c>
      <c r="C49" s="8">
        <f>'balance_raw_25442024'!$C$28</f>
        <v/>
      </c>
      <c r="D49" s="8">
        <f>'balance_raw_25442024'!$D$28</f>
        <v/>
      </c>
      <c r="E49" s="8">
        <f>'balance_raw_25442024'!$E$28</f>
        <v/>
      </c>
      <c r="F49" s="8">
        <f>'balance_raw_25442024'!$F$28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'balance_raw_25442024'!$B$29</f>
        <v/>
      </c>
      <c r="C50" s="5">
        <f>'balance_raw_25442024'!$C$29</f>
        <v/>
      </c>
      <c r="D50" s="5">
        <f>'balance_raw_25442024'!$D$29</f>
        <v/>
      </c>
      <c r="E50" s="5">
        <f>'balance_raw_25442024'!$E$29</f>
        <v/>
      </c>
      <c r="F50" s="5">
        <f>'balance_raw_25442024'!$F$29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'balance_raw_25442024'!$B$30</f>
        <v/>
      </c>
      <c r="C51" s="11">
        <f>'balance_raw_25442024'!$C$30</f>
        <v/>
      </c>
      <c r="D51" s="11">
        <f>'balance_raw_25442024'!$D$30</f>
        <v/>
      </c>
      <c r="E51" s="11">
        <f>'balance_raw_25442024'!$E$30</f>
        <v/>
      </c>
      <c r="F51" s="11">
        <f>'balance_raw_25442024'!$F$30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'balance_raw_25442024'!$B$31</f>
        <v/>
      </c>
      <c r="C52" s="11">
        <f>'balance_raw_25442024'!$C$31</f>
        <v/>
      </c>
      <c r="D52" s="11">
        <f>'balance_raw_25442024'!$D$31</f>
        <v/>
      </c>
      <c r="E52" s="11">
        <f>'balance_raw_25442024'!$E$31</f>
        <v/>
      </c>
      <c r="F52" s="11">
        <f>'balance_raw_25442024'!$F$31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'balance_raw_25442024'!$B$32</f>
        <v/>
      </c>
      <c r="C55" s="8">
        <f>'balance_raw_25442024'!$C$32</f>
        <v/>
      </c>
      <c r="D55" s="8">
        <f>'balance_raw_25442024'!$D$32</f>
        <v/>
      </c>
      <c r="E55" s="8">
        <f>'balance_raw_25442024'!$E$32</f>
        <v/>
      </c>
      <c r="F55" s="8">
        <f>'balance_raw_25442024'!$F$32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'balance_raw_25442024'!$B$33</f>
        <v/>
      </c>
      <c r="C56" s="5">
        <f>'balance_raw_25442024'!$C$33</f>
        <v/>
      </c>
      <c r="D56" s="5">
        <f>'balance_raw_25442024'!$D$33</f>
        <v/>
      </c>
      <c r="E56" s="5">
        <f>'balance_raw_25442024'!$E$33</f>
        <v/>
      </c>
      <c r="F56" s="5">
        <f>'balance_raw_25442024'!$F$33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'balance_raw_25442024'!$B$34</f>
        <v/>
      </c>
      <c r="C57" s="8">
        <f>'balance_raw_25442024'!$C$34</f>
        <v/>
      </c>
      <c r="D57" s="8">
        <f>'balance_raw_25442024'!$D$34</f>
        <v/>
      </c>
      <c r="E57" s="8">
        <f>'balance_raw_25442024'!$E$34</f>
        <v/>
      </c>
      <c r="F57" s="8">
        <f>'balance_raw_25442024'!$F$34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'balance_raw_25442024'!$B$35</f>
        <v/>
      </c>
      <c r="C58" s="5">
        <f>'balance_raw_25442024'!$C$35</f>
        <v/>
      </c>
      <c r="D58" s="5">
        <f>'balance_raw_25442024'!$D$35</f>
        <v/>
      </c>
      <c r="E58" s="5">
        <f>'balance_raw_25442024'!$E$35</f>
        <v/>
      </c>
      <c r="F58" s="5">
        <f>'balance_raw_25442024'!$F$35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'balance_raw_25442024'!$B$36</f>
        <v/>
      </c>
      <c r="C59" s="8">
        <f>'balance_raw_25442024'!$C$36</f>
        <v/>
      </c>
      <c r="D59" s="8">
        <f>'balance_raw_25442024'!$D$36</f>
        <v/>
      </c>
      <c r="E59" s="8">
        <f>'balance_raw_25442024'!$E$36</f>
        <v/>
      </c>
      <c r="F59" s="8">
        <f>'balance_raw_25442024'!$F$36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'balance_raw_25442024'!$B$37</f>
        <v/>
      </c>
      <c r="C60" s="5">
        <f>'balance_raw_25442024'!$C$37</f>
        <v/>
      </c>
      <c r="D60" s="5">
        <f>'balance_raw_25442024'!$D$37</f>
        <v/>
      </c>
      <c r="E60" s="5">
        <f>'balance_raw_25442024'!$E$37</f>
        <v/>
      </c>
      <c r="F60" s="5">
        <f>'balance_raw_25442024'!$F$37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'balance_raw_25442024'!$B$38</f>
        <v/>
      </c>
      <c r="C61" s="11">
        <f>'balance_raw_25442024'!$C$38</f>
        <v/>
      </c>
      <c r="D61" s="11">
        <f>'balance_raw_25442024'!$D$38</f>
        <v/>
      </c>
      <c r="E61" s="11">
        <f>'balance_raw_25442024'!$E$38</f>
        <v/>
      </c>
      <c r="F61" s="11">
        <f>'balance_raw_25442024'!$F$38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'balance_raw_25442024'!$B$39</f>
        <v/>
      </c>
      <c r="C62" s="11">
        <f>'balance_raw_25442024'!$C$39</f>
        <v/>
      </c>
      <c r="D62" s="11">
        <f>'balance_raw_25442024'!$D$39</f>
        <v/>
      </c>
      <c r="E62" s="11">
        <f>'balance_raw_25442024'!$E$39</f>
        <v/>
      </c>
      <c r="F62" s="11">
        <f>'balance_raw_25442024'!$F$39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'balance_raw_25442024'!$B$40</f>
        <v/>
      </c>
      <c r="C63" s="8">
        <f>'balance_raw_25442024'!$C$40</f>
        <v/>
      </c>
      <c r="D63" s="8">
        <f>'balance_raw_25442024'!$D$40</f>
        <v/>
      </c>
      <c r="E63" s="8">
        <f>'balance_raw_25442024'!$E$40</f>
        <v/>
      </c>
      <c r="F63" s="8">
        <f>'balance_raw_25442024'!$F$40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'balance_raw_25442024'!$B$41</f>
        <v/>
      </c>
      <c r="C64" s="5">
        <f>'balance_raw_25442024'!$C$41</f>
        <v/>
      </c>
      <c r="D64" s="5">
        <f>'balance_raw_25442024'!$D$41</f>
        <v/>
      </c>
      <c r="E64" s="5">
        <f>'balance_raw_25442024'!$E$41</f>
        <v/>
      </c>
      <c r="F64" s="5">
        <f>'balance_raw_25442024'!$F$41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'balance_raw_25442024'!$B$42</f>
        <v/>
      </c>
      <c r="C65" s="8">
        <f>'balance_raw_25442024'!$C$42</f>
        <v/>
      </c>
      <c r="D65" s="8">
        <f>'balance_raw_25442024'!$D$42</f>
        <v/>
      </c>
      <c r="E65" s="8">
        <f>'balance_raw_25442024'!$E$42</f>
        <v/>
      </c>
      <c r="F65" s="8">
        <f>'balance_raw_25442024'!$F$42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'balance_raw_25442024'!$B$43</f>
        <v/>
      </c>
      <c r="C66" s="5">
        <f>'balance_raw_25442024'!$C$43</f>
        <v/>
      </c>
      <c r="D66" s="5">
        <f>'balance_raw_25442024'!$D$43</f>
        <v/>
      </c>
      <c r="E66" s="5">
        <f>'balance_raw_25442024'!$E$43</f>
        <v/>
      </c>
      <c r="F66" s="5">
        <f>'balance_raw_25442024'!$F$43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'balance_raw_25442024'!$B$44</f>
        <v/>
      </c>
      <c r="C67" s="11">
        <f>'balance_raw_25442024'!$C$44</f>
        <v/>
      </c>
      <c r="D67" s="11">
        <f>'balance_raw_25442024'!$D$44</f>
        <v/>
      </c>
      <c r="E67" s="11">
        <f>'balance_raw_25442024'!$E$44</f>
        <v/>
      </c>
      <c r="F67" s="11">
        <f>'balance_raw_25442024'!$F$44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'balance_raw_25442024'!$B$45</f>
        <v/>
      </c>
      <c r="C68" s="5">
        <f>'balance_raw_25442024'!$C$45</f>
        <v/>
      </c>
      <c r="D68" s="5">
        <f>'balance_raw_25442024'!$D$45</f>
        <v/>
      </c>
      <c r="E68" s="5">
        <f>'balance_raw_25442024'!$E$45</f>
        <v/>
      </c>
      <c r="F68" s="5">
        <f>'balance_raw_25442024'!$F$45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'balance_raw_25442024'!$B$46</f>
        <v/>
      </c>
      <c r="C69" s="8">
        <f>'balance_raw_25442024'!$C$46</f>
        <v/>
      </c>
      <c r="D69" s="8">
        <f>'balance_raw_25442024'!$D$46</f>
        <v/>
      </c>
      <c r="E69" s="8">
        <f>'balance_raw_25442024'!$E$46</f>
        <v/>
      </c>
      <c r="F69" s="8">
        <f>'balance_raw_25442024'!$F$46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'balance_raw_25442024'!$B$47</f>
        <v/>
      </c>
      <c r="C70" s="5">
        <f>'balance_raw_25442024'!$C$47</f>
        <v/>
      </c>
      <c r="D70" s="5">
        <f>'balance_raw_25442024'!$D$47</f>
        <v/>
      </c>
      <c r="E70" s="5">
        <f>'balance_raw_25442024'!$E$47</f>
        <v/>
      </c>
      <c r="F70" s="5">
        <f>'balance_raw_25442024'!$F$47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'balance_raw_25442024'!$B$48</f>
        <v/>
      </c>
      <c r="C71" s="8">
        <f>'balance_raw_25442024'!$C$48</f>
        <v/>
      </c>
      <c r="D71" s="8">
        <f>'balance_raw_25442024'!$D$48</f>
        <v/>
      </c>
      <c r="E71" s="8">
        <f>'balance_raw_25442024'!$E$48</f>
        <v/>
      </c>
      <c r="F71" s="8">
        <f>'balance_raw_25442024'!$F$48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'balance_raw_25442024'!$B$49</f>
        <v/>
      </c>
      <c r="C72" s="5">
        <f>'balance_raw_25442024'!$C$49</f>
        <v/>
      </c>
      <c r="D72" s="5">
        <f>'balance_raw_25442024'!$D$49</f>
        <v/>
      </c>
      <c r="E72" s="5">
        <f>'balance_raw_25442024'!$E$49</f>
        <v/>
      </c>
      <c r="F72" s="5">
        <f>'balance_raw_25442024'!$F$49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'balance_raw_25442024'!$B$50</f>
        <v/>
      </c>
      <c r="C73" s="8">
        <f>'balance_raw_25442024'!$C$50</f>
        <v/>
      </c>
      <c r="D73" s="8">
        <f>'balance_raw_25442024'!$D$50</f>
        <v/>
      </c>
      <c r="E73" s="8">
        <f>'balance_raw_25442024'!$E$50</f>
        <v/>
      </c>
      <c r="F73" s="8">
        <f>'balance_raw_25442024'!$F$50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'balance_raw_25442024'!$B$51</f>
        <v/>
      </c>
      <c r="C74" s="5">
        <f>'balance_raw_25442024'!$C$51</f>
        <v/>
      </c>
      <c r="D74" s="5">
        <f>'balance_raw_25442024'!$D$51</f>
        <v/>
      </c>
      <c r="E74" s="5">
        <f>'balance_raw_25442024'!$E$51</f>
        <v/>
      </c>
      <c r="F74" s="5">
        <f>'balance_raw_25442024'!$F$51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'balance_raw_25442024'!$B$52</f>
        <v/>
      </c>
      <c r="C75" s="8">
        <f>'balance_raw_25442024'!$C$52</f>
        <v/>
      </c>
      <c r="D75" s="8">
        <f>'balance_raw_25442024'!$D$52</f>
        <v/>
      </c>
      <c r="E75" s="8">
        <f>'balance_raw_25442024'!$E$52</f>
        <v/>
      </c>
      <c r="F75" s="8">
        <f>'balance_raw_25442024'!$F$52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'balance_raw_25442024'!$B$53</f>
        <v/>
      </c>
      <c r="C76" s="5">
        <f>'balance_raw_25442024'!$C$53</f>
        <v/>
      </c>
      <c r="D76" s="5">
        <f>'balance_raw_25442024'!$D$53</f>
        <v/>
      </c>
      <c r="E76" s="5">
        <f>'balance_raw_25442024'!$E$53</f>
        <v/>
      </c>
      <c r="F76" s="5">
        <f>'balance_raw_25442024'!$F$53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'balance_raw_25442024'!$B$54</f>
        <v/>
      </c>
      <c r="C77" s="8">
        <f>'balance_raw_25442024'!$C$54</f>
        <v/>
      </c>
      <c r="D77" s="8">
        <f>'balance_raw_25442024'!$D$54</f>
        <v/>
      </c>
      <c r="E77" s="8">
        <f>'balance_raw_25442024'!$E$54</f>
        <v/>
      </c>
      <c r="F77" s="8">
        <f>'balance_raw_25442024'!$F$54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'balance_raw_25442024'!$B$55</f>
        <v/>
      </c>
      <c r="C78" s="5">
        <f>'balance_raw_25442024'!$C$55</f>
        <v/>
      </c>
      <c r="D78" s="5">
        <f>'balance_raw_25442024'!$D$55</f>
        <v/>
      </c>
      <c r="E78" s="5">
        <f>'balance_raw_25442024'!$E$55</f>
        <v/>
      </c>
      <c r="F78" s="5">
        <f>'balance_raw_25442024'!$F$55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'balance_raw_25442024'!$B$56</f>
        <v/>
      </c>
      <c r="C79" s="11">
        <f>'balance_raw_25442024'!$C$56</f>
        <v/>
      </c>
      <c r="D79" s="11">
        <f>'balance_raw_25442024'!$D$56</f>
        <v/>
      </c>
      <c r="E79" s="11">
        <f>'balance_raw_25442024'!$E$56</f>
        <v/>
      </c>
      <c r="F79" s="11">
        <f>'balance_raw_25442024'!$F$56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'balance_raw_25442024'!$B$57</f>
        <v/>
      </c>
      <c r="C80" s="11">
        <f>'balance_raw_25442024'!$C$57</f>
        <v/>
      </c>
      <c r="D80" s="11">
        <f>'balance_raw_25442024'!$D$57</f>
        <v/>
      </c>
      <c r="E80" s="11">
        <f>'balance_raw_25442024'!$E$57</f>
        <v/>
      </c>
      <c r="F80" s="11">
        <f>'balance_raw_25442024'!$F$57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'balance_raw_25442024'!$B$58</f>
        <v/>
      </c>
      <c r="C81" s="11">
        <f>'balance_raw_25442024'!$C$58</f>
        <v/>
      </c>
      <c r="D81" s="11">
        <f>'balance_raw_25442024'!$D$58</f>
        <v/>
      </c>
      <c r="E81" s="11">
        <f>'balance_raw_25442024'!$E$58</f>
        <v/>
      </c>
      <c r="F81" s="11">
        <f>'balance_raw_25442024'!$F$58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'res_raw_25442024'!$B$19</f>
        <v/>
      </c>
      <c r="C84" s="5">
        <f>'res_raw_25442024'!$C$19</f>
        <v/>
      </c>
      <c r="D84" s="5">
        <f>'res_raw_25442024'!$D$19</f>
        <v/>
      </c>
      <c r="E84" s="5">
        <f>'res_raw_25442024'!$E$19</f>
        <v/>
      </c>
      <c r="F84" s="5">
        <f>'res_raw_25442024'!$F$19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'res_raw_25442024'!$B$20</f>
        <v/>
      </c>
      <c r="C85" s="8">
        <f>'res_raw_25442024'!$C$20</f>
        <v/>
      </c>
      <c r="D85" s="8">
        <f>'res_raw_25442024'!$D$20</f>
        <v/>
      </c>
      <c r="E85" s="8">
        <f>'res_raw_25442024'!$E$20</f>
        <v/>
      </c>
      <c r="F85" s="8">
        <f>'res_raw_25442024'!$F$20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  <row r="100">
      <c r="A10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Gasa Group Denmark A/S (CVR 25442024)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1325995</v>
      </c>
      <c r="C2" s="16" t="n">
        <v>1289261</v>
      </c>
      <c r="D2" s="16" t="n">
        <v>1090582</v>
      </c>
      <c r="E2" s="16" t="n">
        <v>1151157</v>
      </c>
      <c r="F2" s="16" t="n">
        <v>1161693</v>
      </c>
    </row>
    <row r="3">
      <c r="A3" s="15" t="inlineStr">
        <is>
          <t>Andre driftsindtægter</t>
        </is>
      </c>
      <c r="B3" s="16" t="n">
        <v>9699</v>
      </c>
      <c r="C3" s="16" t="n">
        <v>7289</v>
      </c>
      <c r="D3" s="16" t="n">
        <v>3638</v>
      </c>
      <c r="E3" s="16" t="n">
        <v>10912</v>
      </c>
      <c r="F3" s="16" t="n">
        <v>9773</v>
      </c>
    </row>
    <row r="4">
      <c r="A4" s="15" t="inlineStr">
        <is>
          <t>Vareforbrug</t>
        </is>
      </c>
      <c r="B4" s="16" t="n">
        <v>1147770</v>
      </c>
      <c r="C4" s="16" t="n">
        <v>1118945</v>
      </c>
      <c r="D4" s="16" t="n">
        <v>929473</v>
      </c>
      <c r="E4" s="16" t="n">
        <v>991110</v>
      </c>
      <c r="F4" s="16" t="n">
        <v>998212</v>
      </c>
    </row>
    <row r="5">
      <c r="A5" s="15" t="inlineStr">
        <is>
          <t>Andre eksterne omkostninger</t>
        </is>
      </c>
      <c r="B5" s="16" t="n">
        <v>40504</v>
      </c>
      <c r="C5" s="16" t="n">
        <v>44646</v>
      </c>
      <c r="D5" s="16" t="n">
        <v>44838</v>
      </c>
      <c r="E5" s="16" t="n">
        <v>44558</v>
      </c>
      <c r="F5" s="16" t="n">
        <v>45804</v>
      </c>
    </row>
    <row r="6">
      <c r="A6" s="17" t="inlineStr">
        <is>
          <t>Bruttoresultat</t>
        </is>
      </c>
      <c r="B6" s="16" t="n">
        <v>147420</v>
      </c>
      <c r="C6" s="16" t="n">
        <v>132959</v>
      </c>
      <c r="D6" s="16" t="n">
        <v>119909</v>
      </c>
      <c r="E6" s="16" t="n">
        <v>126401</v>
      </c>
      <c r="F6" s="16" t="n">
        <v>127450</v>
      </c>
    </row>
    <row r="7">
      <c r="A7" s="15" t="inlineStr">
        <is>
          <t>Personaleomkostninger</t>
        </is>
      </c>
      <c r="B7" s="16" t="n">
        <v>99654</v>
      </c>
      <c r="C7" s="16" t="n">
        <v>102850</v>
      </c>
      <c r="D7" s="16" t="n">
        <v>104131</v>
      </c>
      <c r="E7" s="16" t="n">
        <v>107950</v>
      </c>
      <c r="F7" s="16" t="n">
        <v>110087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8590</v>
      </c>
      <c r="C9" s="16" t="n">
        <v>7450</v>
      </c>
      <c r="D9" s="16" t="n">
        <v>8075</v>
      </c>
      <c r="E9" s="16" t="n">
        <v>2762</v>
      </c>
      <c r="F9" s="16" t="n">
        <v>1962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39176</v>
      </c>
      <c r="C11" s="16" t="n">
        <v>22659</v>
      </c>
      <c r="D11" s="16" t="n">
        <v>7703</v>
      </c>
      <c r="E11" s="16" t="n">
        <v>15689</v>
      </c>
      <c r="F11" s="16" t="n">
        <v>15401</v>
      </c>
    </row>
    <row r="12">
      <c r="A12" s="15" t="inlineStr">
        <is>
          <t>Indtægter af kapitalandele, dattervirksomheder</t>
        </is>
      </c>
      <c r="B12" s="16" t="n">
        <v>5896</v>
      </c>
      <c r="C12" s="16" t="n">
        <v>5317</v>
      </c>
      <c r="D12" s="16" t="n">
        <v>19991</v>
      </c>
      <c r="E12" s="16" t="n">
        <v>21949</v>
      </c>
      <c r="F12" s="16" t="n">
        <v>18848</v>
      </c>
    </row>
    <row r="13">
      <c r="A13" s="15" t="inlineStr">
        <is>
          <t>Finansielle indtægter</t>
        </is>
      </c>
      <c r="B13" s="16" t="n">
        <v>4012</v>
      </c>
      <c r="C13" s="16" t="n">
        <v>3305</v>
      </c>
      <c r="D13" s="16" t="n">
        <v>6766</v>
      </c>
      <c r="E13" s="16" t="n">
        <v>9149</v>
      </c>
      <c r="F13" s="16" t="n">
        <v>5695</v>
      </c>
    </row>
    <row r="14">
      <c r="A14" s="15" t="inlineStr">
        <is>
          <t>Finansielle omkostninger</t>
        </is>
      </c>
      <c r="B14" s="16" t="n">
        <v>1050</v>
      </c>
      <c r="C14" s="16" t="n">
        <v>3127</v>
      </c>
      <c r="D14" s="16" t="n">
        <v>7050</v>
      </c>
      <c r="E14" s="16" t="n">
        <v>7916</v>
      </c>
      <c r="F14" s="16" t="n">
        <v>6381</v>
      </c>
    </row>
    <row r="15">
      <c r="A15" s="17" t="inlineStr">
        <is>
          <t>Finansielle poster, netto</t>
        </is>
      </c>
      <c r="B15" s="16" t="n">
        <v>8858</v>
      </c>
      <c r="C15" s="16" t="n">
        <v>5495</v>
      </c>
      <c r="D15" s="16" t="n">
        <v>-284</v>
      </c>
      <c r="E15" s="16" t="n">
        <v>1233</v>
      </c>
      <c r="F15" s="16" t="n">
        <v>-686</v>
      </c>
    </row>
    <row r="16">
      <c r="A16" s="17" t="inlineStr">
        <is>
          <t>Resultat før skat</t>
        </is>
      </c>
      <c r="B16" s="16" t="n">
        <v>48034</v>
      </c>
      <c r="C16" s="16" t="n">
        <v>28154</v>
      </c>
      <c r="D16" s="16" t="n">
        <v>27410</v>
      </c>
      <c r="E16" s="16" t="n">
        <v>38871</v>
      </c>
      <c r="F16" s="16" t="n">
        <v>33563</v>
      </c>
    </row>
    <row r="17">
      <c r="A17" s="15" t="inlineStr">
        <is>
          <t>Skat af årets resultat</t>
        </is>
      </c>
      <c r="B17" s="16" t="n">
        <v>8872</v>
      </c>
      <c r="C17" s="16" t="n">
        <v>4931</v>
      </c>
      <c r="D17" s="16" t="n">
        <v>1685</v>
      </c>
      <c r="E17" s="16" t="n">
        <v>3782</v>
      </c>
      <c r="F17" s="16" t="n">
        <v>3267</v>
      </c>
    </row>
    <row r="18">
      <c r="A18" s="17" t="inlineStr">
        <is>
          <t>Årets resultat</t>
        </is>
      </c>
      <c r="B18" s="16" t="n">
        <v>39162</v>
      </c>
      <c r="C18" s="16" t="n">
        <v>23223</v>
      </c>
      <c r="D18" s="16" t="n">
        <v>25725</v>
      </c>
      <c r="E18" s="16" t="n">
        <v>35089</v>
      </c>
      <c r="F18" s="16" t="n">
        <v>30296</v>
      </c>
    </row>
    <row r="19">
      <c r="A19" s="15" t="inlineStr">
        <is>
          <t>Gns. antal medarbejdere</t>
        </is>
      </c>
      <c r="B19" s="16" t="n">
        <v>176</v>
      </c>
      <c r="C19" s="16" t="n">
        <v>178</v>
      </c>
      <c r="D19" s="16" t="n">
        <v>173</v>
      </c>
      <c r="E19" s="16" t="n">
        <v>173</v>
      </c>
      <c r="F19" s="16" t="n">
        <v>173</v>
      </c>
    </row>
    <row r="20">
      <c r="A20" s="15" t="inlineStr">
        <is>
          <t>Investering i materielle anlægsaktiver</t>
        </is>
      </c>
      <c r="B20" s="16" t="n">
        <v>1687</v>
      </c>
      <c r="C20" s="16" t="n">
        <v>2175</v>
      </c>
      <c r="D20" s="16" t="n">
        <v>3030</v>
      </c>
      <c r="E20" s="16" t="n">
        <v>2093</v>
      </c>
      <c r="F20" s="16" t="n">
        <v>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Gasa Group Denmark A/S (CVR 25442024)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0</v>
      </c>
      <c r="C2" s="16" t="n">
        <v>453</v>
      </c>
      <c r="D2" s="16" t="n">
        <v>364</v>
      </c>
      <c r="E2" s="16" t="n">
        <v>275</v>
      </c>
      <c r="F2" s="16" t="n">
        <v>186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13057</v>
      </c>
      <c r="C4" s="16" t="n">
        <v>7113</v>
      </c>
      <c r="D4" s="16" t="n">
        <v>889</v>
      </c>
      <c r="E4" s="16" t="n">
        <v>0</v>
      </c>
      <c r="F4" s="16" t="n">
        <v>0</v>
      </c>
    </row>
    <row r="5">
      <c r="A5" s="17" t="inlineStr">
        <is>
          <t>Immaterielle anlægsaktiver</t>
        </is>
      </c>
      <c r="B5" s="16" t="n">
        <v>13057</v>
      </c>
      <c r="C5" s="16" t="n">
        <v>7566</v>
      </c>
      <c r="D5" s="16" t="n">
        <v>1253</v>
      </c>
      <c r="E5" s="16" t="n">
        <v>275</v>
      </c>
      <c r="F5" s="16" t="n">
        <v>186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33122</v>
      </c>
      <c r="C8" s="16" t="n">
        <v>31733</v>
      </c>
      <c r="D8" s="16" t="n">
        <v>33194</v>
      </c>
      <c r="E8" s="16" t="n">
        <v>33671</v>
      </c>
      <c r="F8" s="16" t="n">
        <v>32407</v>
      </c>
    </row>
    <row r="9">
      <c r="A9" s="15" t="inlineStr">
        <is>
          <t>Indretning af lejede lokaler</t>
        </is>
      </c>
      <c r="B9" s="16" t="n">
        <v>1824</v>
      </c>
      <c r="C9" s="16" t="n">
        <v>1619</v>
      </c>
      <c r="D9" s="16" t="n">
        <v>1426</v>
      </c>
      <c r="E9" s="16" t="n">
        <v>1257</v>
      </c>
      <c r="F9" s="16" t="n">
        <v>1112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34946</v>
      </c>
      <c r="C11" s="16" t="n">
        <v>33352</v>
      </c>
      <c r="D11" s="16" t="n">
        <v>34620</v>
      </c>
      <c r="E11" s="16" t="n">
        <v>34928</v>
      </c>
      <c r="F11" s="16" t="n">
        <v>33519</v>
      </c>
    </row>
    <row r="12">
      <c r="A12" s="15" t="inlineStr">
        <is>
          <t>Kapitalandele, dattervirksomheder</t>
        </is>
      </c>
      <c r="B12" s="16" t="n">
        <v>18624</v>
      </c>
      <c r="C12" s="16" t="n">
        <v>23358</v>
      </c>
      <c r="D12" s="16" t="n">
        <v>46405</v>
      </c>
      <c r="E12" s="16" t="n">
        <v>69337</v>
      </c>
      <c r="F12" s="16" t="n">
        <v>89348</v>
      </c>
    </row>
    <row r="13">
      <c r="A13" s="15" t="inlineStr">
        <is>
          <t>Deposita</t>
        </is>
      </c>
      <c r="B13" s="16" t="n">
        <v>953</v>
      </c>
      <c r="C13" s="16" t="n">
        <v>131</v>
      </c>
      <c r="D13" s="16" t="n">
        <v>168</v>
      </c>
      <c r="E13" s="16" t="n">
        <v>166</v>
      </c>
      <c r="F13" s="16" t="n">
        <v>168</v>
      </c>
    </row>
    <row r="14">
      <c r="A14" s="17" t="inlineStr">
        <is>
          <t>Finansielle anlægsaktiver</t>
        </is>
      </c>
      <c r="B14" s="16" t="n">
        <v>19577</v>
      </c>
      <c r="C14" s="16" t="n">
        <v>23489</v>
      </c>
      <c r="D14" s="16" t="n">
        <v>46573</v>
      </c>
      <c r="E14" s="16" t="n">
        <v>69503</v>
      </c>
      <c r="F14" s="16" t="n">
        <v>89516</v>
      </c>
    </row>
    <row r="15">
      <c r="A15" s="17" t="inlineStr">
        <is>
          <t>Anlægsaktiver</t>
        </is>
      </c>
      <c r="B15" s="16" t="n">
        <v>67580</v>
      </c>
      <c r="C15" s="16" t="n">
        <v>64407</v>
      </c>
      <c r="D15" s="16" t="n">
        <v>82446</v>
      </c>
      <c r="E15" s="16" t="n">
        <v>104706</v>
      </c>
      <c r="F15" s="16" t="n">
        <v>123221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12221</v>
      </c>
      <c r="C18" s="16" t="n">
        <v>17699</v>
      </c>
      <c r="D18" s="16" t="n">
        <v>12381</v>
      </c>
      <c r="E18" s="16" t="n">
        <v>11892</v>
      </c>
      <c r="F18" s="16" t="n">
        <v>12250</v>
      </c>
    </row>
    <row r="19">
      <c r="A19" s="17" t="inlineStr">
        <is>
          <t>Varebeholdninger</t>
        </is>
      </c>
      <c r="B19" s="16" t="n">
        <v>16095</v>
      </c>
      <c r="C19" s="16" t="n">
        <v>19484</v>
      </c>
      <c r="D19" s="16" t="n">
        <v>13366</v>
      </c>
      <c r="E19" s="16" t="n">
        <v>12861</v>
      </c>
      <c r="F19" s="16" t="n">
        <v>14458</v>
      </c>
    </row>
    <row r="20">
      <c r="A20" s="15" t="inlineStr">
        <is>
          <t>Tilgodehavender fra salg og tjenesteydelser</t>
        </is>
      </c>
      <c r="B20" s="16" t="n">
        <v>42916</v>
      </c>
      <c r="C20" s="16" t="n">
        <v>39214</v>
      </c>
      <c r="D20" s="16" t="n">
        <v>43900</v>
      </c>
      <c r="E20" s="16" t="n">
        <v>39455</v>
      </c>
      <c r="F20" s="16" t="n">
        <v>45776</v>
      </c>
    </row>
    <row r="21">
      <c r="A21" s="15" t="inlineStr">
        <is>
          <t>Tilgodehavender hos tilknyttede virksomheder</t>
        </is>
      </c>
      <c r="B21" s="16" t="n">
        <v>132501</v>
      </c>
      <c r="C21" s="16" t="n">
        <v>128134</v>
      </c>
      <c r="D21" s="16" t="n">
        <v>126178</v>
      </c>
      <c r="E21" s="16" t="n">
        <v>149898</v>
      </c>
      <c r="F21" s="16" t="n">
        <v>142307</v>
      </c>
    </row>
    <row r="22">
      <c r="A22" s="15" t="inlineStr">
        <is>
          <t>Andre tilgodehavender</t>
        </is>
      </c>
      <c r="B22" s="16" t="n">
        <v>10571</v>
      </c>
      <c r="C22" s="16" t="n">
        <v>9336</v>
      </c>
      <c r="D22" s="16" t="n">
        <v>9381</v>
      </c>
      <c r="E22" s="16" t="n">
        <v>8382</v>
      </c>
      <c r="F22" s="16" t="n">
        <v>11053</v>
      </c>
    </row>
    <row r="23">
      <c r="A23" s="15" t="inlineStr">
        <is>
          <t>Periodeafgrænsningsposter (aktiver)</t>
        </is>
      </c>
      <c r="B23" s="16" t="n">
        <v>4226</v>
      </c>
      <c r="C23" s="16" t="n">
        <v>3321</v>
      </c>
      <c r="D23" s="16" t="n">
        <v>4890</v>
      </c>
      <c r="E23" s="16" t="n">
        <v>3941</v>
      </c>
      <c r="F23" s="16" t="n">
        <v>3974</v>
      </c>
    </row>
    <row r="24">
      <c r="A24" s="15" t="inlineStr">
        <is>
          <t>Udskudt skatteaktiv</t>
        </is>
      </c>
      <c r="B24" s="16" t="n">
        <v>11454</v>
      </c>
      <c r="C24" s="16" t="n">
        <v>6523</v>
      </c>
      <c r="D24" s="16" t="n">
        <v>6119</v>
      </c>
      <c r="E24" s="16" t="n">
        <v>5211</v>
      </c>
      <c r="F24" s="16" t="n">
        <v>2864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201668</v>
      </c>
      <c r="C27" s="16" t="n">
        <v>186528</v>
      </c>
      <c r="D27" s="16" t="n">
        <v>190468</v>
      </c>
      <c r="E27" s="16" t="n">
        <v>206887</v>
      </c>
      <c r="F27" s="16" t="n">
        <v>205974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3392</v>
      </c>
      <c r="C29" s="16" t="n">
        <v>3554</v>
      </c>
      <c r="D29" s="16" t="n">
        <v>15332</v>
      </c>
      <c r="E29" s="16" t="n">
        <v>51215</v>
      </c>
      <c r="F29" s="16" t="n">
        <v>3141</v>
      </c>
    </row>
    <row r="30">
      <c r="A30" s="17" t="inlineStr">
        <is>
          <t>Omsætningsaktiver</t>
        </is>
      </c>
      <c r="B30" s="16" t="n">
        <v>221155</v>
      </c>
      <c r="C30" s="16" t="n">
        <v>209566</v>
      </c>
      <c r="D30" s="16" t="n">
        <v>219166</v>
      </c>
      <c r="E30" s="16" t="n">
        <v>270963</v>
      </c>
      <c r="F30" s="16" t="n">
        <v>223573</v>
      </c>
    </row>
    <row r="31">
      <c r="A31" s="17" t="inlineStr">
        <is>
          <t>Aktiver</t>
        </is>
      </c>
      <c r="B31" s="16" t="n">
        <v>288735</v>
      </c>
      <c r="C31" s="16" t="n">
        <v>273973</v>
      </c>
      <c r="D31" s="16" t="n">
        <v>301612</v>
      </c>
      <c r="E31" s="16" t="n">
        <v>375669</v>
      </c>
      <c r="F31" s="16" t="n">
        <v>346794</v>
      </c>
    </row>
    <row r="32">
      <c r="A32" s="15" t="inlineStr">
        <is>
          <t>Selskabskapital</t>
        </is>
      </c>
      <c r="B32" s="16" t="n">
        <v>20000</v>
      </c>
      <c r="C32" s="16" t="n">
        <v>20000</v>
      </c>
      <c r="D32" s="16" t="n">
        <v>20000</v>
      </c>
      <c r="E32" s="16" t="n">
        <v>20000</v>
      </c>
      <c r="F32" s="16" t="n">
        <v>20000</v>
      </c>
    </row>
    <row r="33">
      <c r="A33" s="15" t="inlineStr">
        <is>
          <t>Reserve for nettoopskrivning (indre værdis metode)</t>
        </is>
      </c>
      <c r="B33" s="16" t="n">
        <v>10813</v>
      </c>
      <c r="C33" s="16" t="n">
        <v>15770</v>
      </c>
      <c r="D33" s="16" t="n">
        <v>38557</v>
      </c>
      <c r="E33" s="16" t="n">
        <v>62887</v>
      </c>
      <c r="F33" s="16" t="n">
        <v>82658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71132</v>
      </c>
      <c r="C37" s="16" t="n">
        <v>89038</v>
      </c>
      <c r="D37" s="16" t="n">
        <v>94772</v>
      </c>
      <c r="E37" s="16" t="n">
        <v>106293</v>
      </c>
      <c r="F37" s="16" t="n">
        <v>37741</v>
      </c>
    </row>
    <row r="38">
      <c r="A38" s="17" t="inlineStr">
        <is>
          <t>Egenkapital i alt</t>
        </is>
      </c>
      <c r="B38" s="16" t="n">
        <v>101945</v>
      </c>
      <c r="C38" s="16" t="n">
        <v>124808</v>
      </c>
      <c r="D38" s="16" t="n">
        <v>153329</v>
      </c>
      <c r="E38" s="16" t="n">
        <v>189180</v>
      </c>
      <c r="F38" s="16" t="n">
        <v>140399</v>
      </c>
    </row>
    <row r="39">
      <c r="A39" s="17" t="inlineStr">
        <is>
          <t>Hensatte forpligtelser</t>
        </is>
      </c>
      <c r="B39" s="16" t="n">
        <v>1453</v>
      </c>
      <c r="C39" s="16" t="n">
        <v>1230</v>
      </c>
      <c r="D39" s="16" t="n">
        <v>0</v>
      </c>
      <c r="E39" s="16" t="n"/>
      <c r="F39" s="16" t="n"/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Anden gæld (langfristet)</t>
        </is>
      </c>
      <c r="B43" s="16" t="n">
        <v>8421</v>
      </c>
      <c r="C43" s="16" t="n">
        <v>8545</v>
      </c>
      <c r="D43" s="16" t="n"/>
      <c r="E43" s="16" t="n"/>
      <c r="F43" s="16" t="n"/>
    </row>
    <row r="44">
      <c r="A44" s="17" t="inlineStr">
        <is>
          <t>Langfristede gældsforpligtelser</t>
        </is>
      </c>
      <c r="B44" s="16" t="n">
        <v>8421</v>
      </c>
      <c r="C44" s="16" t="n">
        <v>8545</v>
      </c>
      <c r="D44" s="16" t="n">
        <v>8735</v>
      </c>
      <c r="E44" s="16" t="n">
        <v>8582</v>
      </c>
      <c r="F44" s="16" t="n">
        <v>8746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Kreditinstitutter</t>
        </is>
      </c>
      <c r="B47" s="16" t="n">
        <v>37286</v>
      </c>
      <c r="C47" s="16" t="n">
        <v>32882</v>
      </c>
      <c r="D47" s="16" t="n">
        <v>13493</v>
      </c>
      <c r="E47" s="16" t="n">
        <v>23940</v>
      </c>
      <c r="F47" s="16" t="n">
        <v>28277</v>
      </c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86473</v>
      </c>
      <c r="C49" s="16" t="n">
        <v>73879</v>
      </c>
      <c r="D49" s="16" t="n">
        <v>83792</v>
      </c>
      <c r="E49" s="16" t="n">
        <v>83629</v>
      </c>
      <c r="F49" s="16" t="n">
        <v>71430</v>
      </c>
    </row>
    <row r="50">
      <c r="A50" s="15" t="inlineStr">
        <is>
          <t>Gæld til tilknyttede virksomheder</t>
        </is>
      </c>
      <c r="B50" s="16" t="n">
        <v>40800</v>
      </c>
      <c r="C50" s="16" t="n">
        <v>24090</v>
      </c>
      <c r="D50" s="16" t="n">
        <v>29657</v>
      </c>
      <c r="E50" s="16" t="n">
        <v>60668</v>
      </c>
      <c r="F50" s="16" t="n">
        <v>90396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Gæld til tilknyttede virksomheder vedr. selskabsskat</t>
        </is>
      </c>
      <c r="B53" s="16" t="n">
        <v>959</v>
      </c>
      <c r="C53" s="16" t="n">
        <v>0</v>
      </c>
      <c r="D53" s="16" t="n">
        <v>1282</v>
      </c>
      <c r="E53" s="16" t="n">
        <v>2874</v>
      </c>
      <c r="F53" s="16" t="n">
        <v>924</v>
      </c>
    </row>
    <row r="54">
      <c r="A54" s="15" t="inlineStr">
        <is>
          <t>Anden gæld (kortfristet)</t>
        </is>
      </c>
      <c r="B54" s="16" t="n">
        <v>11398</v>
      </c>
      <c r="C54" s="16" t="n">
        <v>8539</v>
      </c>
      <c r="D54" s="16" t="n">
        <v>11324</v>
      </c>
      <c r="E54" s="16" t="n">
        <v>6796</v>
      </c>
      <c r="F54" s="16" t="n">
        <v>6622</v>
      </c>
    </row>
    <row r="55">
      <c r="A55" s="15" t="inlineStr">
        <is>
          <t>Periodeafgrænsningsposter (passiver)</t>
        </is>
      </c>
      <c r="B55" s="16" t="n"/>
      <c r="C55" s="16" t="n"/>
      <c r="D55" s="16" t="n"/>
      <c r="E55" s="16" t="n"/>
      <c r="F55" s="16" t="n"/>
    </row>
    <row r="56">
      <c r="A56" s="17" t="inlineStr">
        <is>
          <t>Kortfristede gældsforpligtelser</t>
        </is>
      </c>
      <c r="B56" s="16" t="n">
        <v>176916</v>
      </c>
      <c r="C56" s="16" t="n">
        <v>139390</v>
      </c>
      <c r="D56" s="16" t="n">
        <v>139548</v>
      </c>
      <c r="E56" s="16" t="n">
        <v>177907</v>
      </c>
      <c r="F56" s="16" t="n">
        <v>197649</v>
      </c>
    </row>
    <row r="57">
      <c r="A57" s="17" t="inlineStr">
        <is>
          <t>Gældsforpligtelser</t>
        </is>
      </c>
      <c r="B57" s="16" t="n">
        <v>185337</v>
      </c>
      <c r="C57" s="16" t="n">
        <v>147935</v>
      </c>
      <c r="D57" s="16" t="n">
        <v>148283</v>
      </c>
      <c r="E57" s="16" t="n">
        <v>186489</v>
      </c>
      <c r="F57" s="16" t="n">
        <v>206395</v>
      </c>
    </row>
    <row r="58">
      <c r="A58" s="17" t="inlineStr">
        <is>
          <t>Passiver</t>
        </is>
      </c>
      <c r="B58" s="16" t="n">
        <v>288735</v>
      </c>
      <c r="C58" s="16" t="n">
        <v>273973</v>
      </c>
      <c r="D58" s="16" t="n">
        <v>301612</v>
      </c>
      <c r="E58" s="16" t="n">
        <v>375669</v>
      </c>
      <c r="F58" s="16" t="n">
        <v>346794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Gasa Group Denmark A/S (CVR 25442024) — Regnskabs- og nøgletal (CVR: 25442024)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'res_raw_25442024'!$F$2</f>
        <v/>
      </c>
      <c r="C5" s="24">
        <f>'res_raw_25442024'!$E$2</f>
        <v/>
      </c>
      <c r="D5" s="24">
        <f>'res_raw_25442024'!$D$2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'res_raw_25442024'!$F$3</f>
        <v/>
      </c>
      <c r="C6" s="24">
        <f>'res_raw_25442024'!$E$3</f>
        <v/>
      </c>
      <c r="D6" s="24">
        <f>'res_raw_25442024'!$D$3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-'res_raw_25442024'!$F$4</f>
        <v/>
      </c>
      <c r="C7" s="24">
        <f>-'res_raw_25442024'!$E$4</f>
        <v/>
      </c>
      <c r="D7" s="24">
        <f>-'res_raw_25442024'!$D$4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-'res_raw_25442024'!$F$5</f>
        <v/>
      </c>
      <c r="C8" s="24">
        <f>-'res_raw_25442024'!$E$5</f>
        <v/>
      </c>
      <c r="D8" s="24">
        <f>-'res_raw_25442024'!$D$5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IF(ABS((SUM(B5:B8))-'res_raw_25442024'!$F$6)&lt;=2,SUM(B5:B8),'res_raw_25442024'!$F$6)</f>
        <v/>
      </c>
      <c r="C9" s="27">
        <f>IF(ABS((SUM(C5:C8))-'res_raw_25442024'!$E$6)&lt;=2,SUM(C5:C8),'res_raw_25442024'!$E$6)</f>
        <v/>
      </c>
      <c r="D9" s="27">
        <f>IF(ABS((SUM(D5:D8))-'res_raw_25442024'!$D$6)&lt;=2,SUM(D5:D8),'res_raw_25442024'!$D$6)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-'res_raw_25442024'!$F$7</f>
        <v/>
      </c>
      <c r="C10" s="24">
        <f>-'res_raw_25442024'!$E$7</f>
        <v/>
      </c>
      <c r="D10" s="24">
        <f>-'res_raw_25442024'!$D$7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-'res_raw_25442024'!$F$9</f>
        <v/>
      </c>
      <c r="C11" s="24">
        <f>-'res_raw_25442024'!$E$9</f>
        <v/>
      </c>
      <c r="D11" s="24">
        <f>-'res_raw_25442024'!$D$9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-'res_raw_25442024'!$F$10</f>
        <v/>
      </c>
      <c r="C12" s="24">
        <f>-'res_raw_25442024'!$E$10</f>
        <v/>
      </c>
      <c r="D12" s="24">
        <f>-'res_raw_25442024'!$D$10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IF(ABS((SUM(B9:B12))-'res_raw_25442024'!$F$11)&lt;=2,SUM(B9:B12),'res_raw_25442024'!$F$11)</f>
        <v/>
      </c>
      <c r="C13" s="27">
        <f>IF(ABS((SUM(C9:C12))-'res_raw_25442024'!$E$11)&lt;=2,SUM(C9:C12),'res_raw_25442024'!$E$11)</f>
        <v/>
      </c>
      <c r="D13" s="27">
        <f>IF(ABS((SUM(D9:D12))-'res_raw_25442024'!$D$11)&lt;=2,SUM(D9:D12),'res_raw_25442024'!$D$11)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N('res_raw_25442024'!$F$12)+N('res_raw_25442024'!$F$13)</f>
        <v/>
      </c>
      <c r="C14" s="24">
        <f>N('res_raw_25442024'!$E$12)+N('res_raw_25442024'!$E$13)</f>
        <v/>
      </c>
      <c r="D14" s="24">
        <f>N('res_raw_25442024'!$D$12)+N('res_raw_25442024'!$D$13)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-'res_raw_25442024'!$F$14</f>
        <v/>
      </c>
      <c r="C15" s="24">
        <f>-'res_raw_25442024'!$E$14</f>
        <v/>
      </c>
      <c r="D15" s="24">
        <f>-'res_raw_25442024'!$D$14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IF(ABS((SUM(B13:B15))-'res_raw_25442024'!$F$16)&lt;=2,SUM(B13:B15),'res_raw_25442024'!$F$16)</f>
        <v/>
      </c>
      <c r="C16" s="27">
        <f>IF(ABS((SUM(C13:C15))-'res_raw_25442024'!$E$16)&lt;=2,SUM(C13:C15),'res_raw_25442024'!$E$16)</f>
        <v/>
      </c>
      <c r="D16" s="27">
        <f>IF(ABS((SUM(D13:D15))-'res_raw_25442024'!$D$16)&lt;=2,SUM(D13:D15),'res_raw_25442024'!$D$16)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'balance_raw_25442024'!$F$15</f>
        <v/>
      </c>
      <c r="C19" s="24">
        <f>'balance_raw_25442024'!$E$15</f>
        <v/>
      </c>
      <c r="D19" s="24">
        <f>'balance_raw_25442024'!$D$15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'balance_raw_25442024'!$F$30</f>
        <v/>
      </c>
      <c r="C20" s="24">
        <f>'balance_raw_25442024'!$E$30</f>
        <v/>
      </c>
      <c r="D20" s="24">
        <f>'balance_raw_25442024'!$D$30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'balance_raw_25442024'!$F$38</f>
        <v/>
      </c>
      <c r="C23" s="24">
        <f>'balance_raw_25442024'!$E$38</f>
        <v/>
      </c>
      <c r="D23" s="24">
        <f>'balance_raw_25442024'!$D$38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'balance_raw_25442024'!$F$58-'balance_raw_25442024'!$F$38</f>
        <v/>
      </c>
      <c r="C24" s="24">
        <f>'balance_raw_25442024'!$E$58-'balance_raw_25442024'!$E$38</f>
        <v/>
      </c>
      <c r="D24" s="24">
        <f>'balance_raw_25442024'!$D$58-'balance_raw_25442024'!$D$38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'balance_raw_25442024'!$F$19</f>
        <v/>
      </c>
      <c r="C28" s="24">
        <f>'balance_raw_25442024'!$E$19</f>
        <v/>
      </c>
      <c r="D28" s="24">
        <f>'balance_raw_25442024'!$D$19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'balance_raw_25442024'!$F$20</f>
        <v/>
      </c>
      <c r="C29" s="24">
        <f>'balance_raw_25442024'!$E$20</f>
        <v/>
      </c>
      <c r="D29" s="24">
        <f>'balance_raw_25442024'!$D$20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'balance_raw_25442024'!$F$56</f>
        <v/>
      </c>
      <c r="C30" s="24">
        <f>'balance_raw_25442024'!$E$56</f>
        <v/>
      </c>
      <c r="D30" s="24">
        <f>'balance_raw_25442024'!$D$56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IF('balance_raw_25442024'!$F$31="","—",IF(ABS(B21-'balance_raw_25442024'!$F$31)&lt;=1,"✓ OK","❌ "&amp;TEXT(B21-'balance_raw_25442024'!$F$31,"+#,##0;-#,##0")&amp;" t.kr."))</f>
        <v/>
      </c>
      <c r="C61" s="29">
        <f>IF('balance_raw_25442024'!$E$31="","—",IF(ABS(C21-'balance_raw_25442024'!$E$31)&lt;=1,"✓ OK","❌ "&amp;TEXT(C21-'balance_raw_25442024'!$E$31,"+#,##0;-#,##0")&amp;" t.kr."))</f>
        <v/>
      </c>
      <c r="D61" s="29">
        <f>IF('balance_raw_25442024'!$D$31="","—",IF(ABS(D21-'balance_raw_25442024'!$D$31)&lt;=1,"✓ OK","❌ "&amp;TEXT(D21-'balance_raw_25442024'!$D$31,"+#,##0;-#,##0")&amp;"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IF('balance_raw_25442024'!$F$58="","—",IF(ABS(B25-'balance_raw_25442024'!$F$58)&lt;=1,"✓ OK","❌ "&amp;TEXT(B25-'balance_raw_25442024'!$F$58,"+#,##0;-#,##0")&amp;" t.kr."))</f>
        <v/>
      </c>
      <c r="C62" s="29">
        <f>IF('balance_raw_25442024'!$E$58="","—",IF(ABS(C25-'balance_raw_25442024'!$E$58)&lt;=1,"✓ OK","❌ "&amp;TEXT(C25-'balance_raw_25442024'!$E$58,"+#,##0;-#,##0")&amp;" t.kr."))</f>
        <v/>
      </c>
      <c r="D62" s="29">
        <f>IF('balance_raw_25442024'!$D$58="","—",IF(ABS(D25-'balance_raw_25442024'!$D$58)&lt;=1,"✓ OK","❌ "&amp;TEXT(D25-'balance_raw_25442024'!$D$58,"+#,##0;-#,##0")&amp;"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IF('res_raw_25442024'!$F$6="","—",IF(ABS(B9-'res_raw_25442024'!$F$6)&lt;=1,"✓ OK","❌ "&amp;TEXT(B9-'res_raw_25442024'!$F$6,"+#,##0;-#,##0")&amp;" t.kr."))</f>
        <v/>
      </c>
      <c r="C64" s="29">
        <f>IF('res_raw_25442024'!$E$6="","—",IF(ABS(C9-'res_raw_25442024'!$E$6)&lt;=1,"✓ OK","❌ "&amp;TEXT(C9-'res_raw_25442024'!$E$6,"+#,##0;-#,##0")&amp;" t.kr."))</f>
        <v/>
      </c>
      <c r="D64" s="29">
        <f>IF('res_raw_25442024'!$D$6="","—",IF(ABS(D9-'res_raw_25442024'!$D$6)&lt;=1,"✓ OK","❌ "&amp;TEXT(D9-'res_raw_25442024'!$D$6,"+#,##0;-#,##0")&amp;"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IF('res_raw_25442024'!$F$11="","—",IF(ABS(B13-'res_raw_25442024'!$F$11)&lt;=1,"✓ OK","❌ "&amp;TEXT(B13-'res_raw_25442024'!$F$11,"+#,##0;-#,##0")&amp;" t.kr."))</f>
        <v/>
      </c>
      <c r="C65" s="29">
        <f>IF('res_raw_25442024'!$E$11="","—",IF(ABS(C13-'res_raw_25442024'!$E$11)&lt;=1,"✓ OK","❌ "&amp;TEXT(C13-'res_raw_25442024'!$E$11,"+#,##0;-#,##0")&amp;" t.kr."))</f>
        <v/>
      </c>
      <c r="D65" s="29">
        <f>IF('res_raw_25442024'!$D$11="","—",IF(ABS(D13-'res_raw_25442024'!$D$11)&lt;=1,"✓ OK","❌ "&amp;TEXT(D13-'res_raw_25442024'!$D$11,"+#,##0;-#,##0")&amp;"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IF('res_raw_25442024'!$F$16="","—",IF(ABS(B16-'res_raw_25442024'!$F$16)&lt;=1,"✓ OK","❌ "&amp;TEXT(B16-'res_raw_25442024'!$F$16,"+#,##0;-#,##0")&amp;" t.kr."))</f>
        <v/>
      </c>
      <c r="C66" s="29">
        <f>IF('res_raw_25442024'!$E$16="","—",IF(ABS(C16-'res_raw_25442024'!$E$16)&lt;=1,"✓ OK","❌ "&amp;TEXT(C16-'res_raw_25442024'!$E$16,"+#,##0;-#,##0")&amp;" t.kr."))</f>
        <v/>
      </c>
      <c r="D66" s="29">
        <f>IF('res_raw_25442024'!$D$16="","—",IF(ABS(D16-'res_raw_25442024'!$D$16)&lt;=1,"✓ OK","❌ "&amp;TEXT(D16-'res_raw_25442024'!$D$16,"+#,##0;-#,##0")&amp;"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Gasa Group Denmark A/S (CVR 25442024)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>
        <v>2392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fsa:ExtraordinaryDividendDistributedAfterEndOfReportingPeriodGross</t>
        </is>
      </c>
      <c r="C4" s="37" t="inlineStr">
        <is>
          <t>fsa:ExtraordinaryDividendDistributedAfterEndOfReportingPeriodGross</t>
        </is>
      </c>
      <c r="D4" s="38" t="n"/>
      <c r="E4" s="38" t="n"/>
      <c r="F4" s="38" t="n"/>
      <c r="G4" s="38" t="n">
        <v>80000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fsa:ProvisionsForInvestmentsInGroupEnterprises</t>
        </is>
      </c>
      <c r="C5" s="34" t="inlineStr">
        <is>
          <t>fsa:ProvisionsForInvestmentsInGroupEnterprises</t>
        </is>
      </c>
      <c r="D5" s="35" t="n">
        <v>1453</v>
      </c>
      <c r="E5" s="35" t="n">
        <v>1230</v>
      </c>
      <c r="F5" s="35" t="n">
        <v>0</v>
      </c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2026-10-02T21:56:33Z</dcterms:created>
  <dcterms:modified xmlns:dcterms="http://purl.org/dc/terms/" xmlns:xsi="http://www.w3.org/2001/XMLSchema-instance" xsi:type="dcterms:W3CDTF">2026-10-02T21:56:33Z</dcterms:modified>
</cp:coreProperties>
</file>