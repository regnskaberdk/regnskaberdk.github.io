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535699" sheetId="1" state="visible" r:id="rId1"/>
    <sheet xmlns:r="http://schemas.openxmlformats.org/officeDocument/2006/relationships" name="res_raw_37535699" sheetId="2" state="visible" r:id="rId2"/>
    <sheet xmlns:r="http://schemas.openxmlformats.org/officeDocument/2006/relationships" name="balance_raw_37535699" sheetId="3" state="visible" r:id="rId3"/>
    <sheet xmlns:r="http://schemas.openxmlformats.org/officeDocument/2006/relationships" name="pengestrom_raw_37535699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Too Good To Go Holding ApS (CVR 37535699) — Regnskabsanalyse – Resultatopgørelse &amp; Balance (valuta pr. år - se kolonneoverskrifter)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valuta pr. år - se kolonneoverskrifter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'res_raw_37535699'!$B$2</f>
        <v/>
      </c>
      <c r="C4" s="5">
        <f>'res_raw_37535699'!$C$2</f>
        <v/>
      </c>
      <c r="D4" s="5">
        <f>'res_raw_37535699'!$D$2</f>
        <v/>
      </c>
      <c r="E4" s="5">
        <f>'res_raw_37535699'!$E$2</f>
        <v/>
      </c>
      <c r="F4" s="5">
        <f>'res_raw_37535699'!$F$2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'res_raw_37535699'!$B$3</f>
        <v/>
      </c>
      <c r="C5" s="8">
        <f>'res_raw_37535699'!$C$3</f>
        <v/>
      </c>
      <c r="D5" s="8">
        <f>'res_raw_37535699'!$D$3</f>
        <v/>
      </c>
      <c r="E5" s="8">
        <f>'res_raw_37535699'!$E$3</f>
        <v/>
      </c>
      <c r="F5" s="8">
        <f>'res_raw_37535699'!$F$3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'res_raw_37535699'!$B$4</f>
        <v/>
      </c>
      <c r="C6" s="5">
        <f>'res_raw_37535699'!$C$4</f>
        <v/>
      </c>
      <c r="D6" s="5">
        <f>'res_raw_37535699'!$D$4</f>
        <v/>
      </c>
      <c r="E6" s="5">
        <f>'res_raw_37535699'!$E$4</f>
        <v/>
      </c>
      <c r="F6" s="5">
        <f>'res_raw_37535699'!$F$4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'res_raw_37535699'!$B$5</f>
        <v/>
      </c>
      <c r="C7" s="8">
        <f>'res_raw_37535699'!$C$5</f>
        <v/>
      </c>
      <c r="D7" s="8">
        <f>'res_raw_37535699'!$D$5</f>
        <v/>
      </c>
      <c r="E7" s="8">
        <f>'res_raw_37535699'!$E$5</f>
        <v/>
      </c>
      <c r="F7" s="8">
        <f>'res_raw_37535699'!$F$5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'res_raw_37535699'!$B$6</f>
        <v/>
      </c>
      <c r="C8" s="11">
        <f>'res_raw_37535699'!$C$6</f>
        <v/>
      </c>
      <c r="D8" s="11">
        <f>'res_raw_37535699'!$D$6</f>
        <v/>
      </c>
      <c r="E8" s="11">
        <f>'res_raw_37535699'!$E$6</f>
        <v/>
      </c>
      <c r="F8" s="11">
        <f>'res_raw_37535699'!$F$6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'res_raw_37535699'!$B$7</f>
        <v/>
      </c>
      <c r="C9" s="8">
        <f>'res_raw_37535699'!$C$7</f>
        <v/>
      </c>
      <c r="D9" s="8">
        <f>'res_raw_37535699'!$D$7</f>
        <v/>
      </c>
      <c r="E9" s="8">
        <f>'res_raw_37535699'!$E$7</f>
        <v/>
      </c>
      <c r="F9" s="8">
        <f>'res_raw_37535699'!$F$7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'res_raw_37535699'!$B$9</f>
        <v/>
      </c>
      <c r="C11" s="8">
        <f>'res_raw_37535699'!$C$9</f>
        <v/>
      </c>
      <c r="D11" s="8">
        <f>'res_raw_37535699'!$D$9</f>
        <v/>
      </c>
      <c r="E11" s="8">
        <f>'res_raw_37535699'!$E$9</f>
        <v/>
      </c>
      <c r="F11" s="8">
        <f>'res_raw_37535699'!$F$9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'res_raw_37535699'!$B$10</f>
        <v/>
      </c>
      <c r="C12" s="5">
        <f>'res_raw_37535699'!$C$10</f>
        <v/>
      </c>
      <c r="D12" s="5">
        <f>'res_raw_37535699'!$D$10</f>
        <v/>
      </c>
      <c r="E12" s="5">
        <f>'res_raw_37535699'!$E$10</f>
        <v/>
      </c>
      <c r="F12" s="5">
        <f>'res_raw_37535699'!$F$10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'res_raw_37535699'!$B$11</f>
        <v/>
      </c>
      <c r="C13" s="11">
        <f>'res_raw_37535699'!$C$11</f>
        <v/>
      </c>
      <c r="D13" s="11">
        <f>'res_raw_37535699'!$D$11</f>
        <v/>
      </c>
      <c r="E13" s="11">
        <f>'res_raw_37535699'!$E$11</f>
        <v/>
      </c>
      <c r="F13" s="11">
        <f>'res_raw_37535699'!$F$11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'res_raw_37535699'!$B$12</f>
        <v/>
      </c>
      <c r="C14" s="5">
        <f>'res_raw_37535699'!$C$12</f>
        <v/>
      </c>
      <c r="D14" s="5">
        <f>'res_raw_37535699'!$D$12</f>
        <v/>
      </c>
      <c r="E14" s="5">
        <f>'res_raw_37535699'!$E$12</f>
        <v/>
      </c>
      <c r="F14" s="5">
        <f>'res_raw_37535699'!$F$12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'res_raw_37535699'!$B$13</f>
        <v/>
      </c>
      <c r="C15" s="8">
        <f>'res_raw_37535699'!$C$13</f>
        <v/>
      </c>
      <c r="D15" s="8">
        <f>'res_raw_37535699'!$D$13</f>
        <v/>
      </c>
      <c r="E15" s="8">
        <f>'res_raw_37535699'!$E$13</f>
        <v/>
      </c>
      <c r="F15" s="8">
        <f>'res_raw_37535699'!$F$13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'res_raw_37535699'!$B$14</f>
        <v/>
      </c>
      <c r="C16" s="5">
        <f>'res_raw_37535699'!$C$14</f>
        <v/>
      </c>
      <c r="D16" s="5">
        <f>'res_raw_37535699'!$D$14</f>
        <v/>
      </c>
      <c r="E16" s="5">
        <f>'res_raw_37535699'!$E$14</f>
        <v/>
      </c>
      <c r="F16" s="5">
        <f>'res_raw_37535699'!$F$14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'res_raw_37535699'!$B$15</f>
        <v/>
      </c>
      <c r="C17" s="11">
        <f>'res_raw_37535699'!$C$15</f>
        <v/>
      </c>
      <c r="D17" s="11">
        <f>'res_raw_37535699'!$D$15</f>
        <v/>
      </c>
      <c r="E17" s="11">
        <f>'res_raw_37535699'!$E$15</f>
        <v/>
      </c>
      <c r="F17" s="11">
        <f>'res_raw_37535699'!$F$15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'res_raw_37535699'!$B$16</f>
        <v/>
      </c>
      <c r="C18" s="11">
        <f>'res_raw_37535699'!$C$16</f>
        <v/>
      </c>
      <c r="D18" s="11">
        <f>'res_raw_37535699'!$D$16</f>
        <v/>
      </c>
      <c r="E18" s="11">
        <f>'res_raw_37535699'!$E$16</f>
        <v/>
      </c>
      <c r="F18" s="11">
        <f>'res_raw_37535699'!$F$16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'res_raw_37535699'!$B$17</f>
        <v/>
      </c>
      <c r="C19" s="8">
        <f>'res_raw_37535699'!$C$17</f>
        <v/>
      </c>
      <c r="D19" s="8">
        <f>'res_raw_37535699'!$D$17</f>
        <v/>
      </c>
      <c r="E19" s="8">
        <f>'res_raw_37535699'!$E$17</f>
        <v/>
      </c>
      <c r="F19" s="8">
        <f>'res_raw_37535699'!$F$17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'res_raw_37535699'!$B$18</f>
        <v/>
      </c>
      <c r="C20" s="11">
        <f>'res_raw_37535699'!$C$18</f>
        <v/>
      </c>
      <c r="D20" s="11">
        <f>'res_raw_37535699'!$D$18</f>
        <v/>
      </c>
      <c r="E20" s="11">
        <f>'res_raw_37535699'!$E$18</f>
        <v/>
      </c>
      <c r="F20" s="11">
        <f>'res_raw_37535699'!$F$18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valuta pr. år - se kolonneoverskrifter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'balance_raw_37535699'!$B$2</f>
        <v/>
      </c>
      <c r="C23" s="8">
        <f>'balance_raw_37535699'!$C$2</f>
        <v/>
      </c>
      <c r="D23" s="8">
        <f>'balance_raw_37535699'!$D$2</f>
        <v/>
      </c>
      <c r="E23" s="8">
        <f>'balance_raw_37535699'!$E$2</f>
        <v/>
      </c>
      <c r="F23" s="8">
        <f>'balance_raw_37535699'!$F$2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'balance_raw_37535699'!$B$3</f>
        <v/>
      </c>
      <c r="C24" s="5">
        <f>'balance_raw_37535699'!$C$3</f>
        <v/>
      </c>
      <c r="D24" s="5">
        <f>'balance_raw_37535699'!$D$3</f>
        <v/>
      </c>
      <c r="E24" s="5">
        <f>'balance_raw_37535699'!$E$3</f>
        <v/>
      </c>
      <c r="F24" s="5">
        <f>'balance_raw_37535699'!$F$3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'balance_raw_37535699'!$B$4</f>
        <v/>
      </c>
      <c r="C25" s="8">
        <f>'balance_raw_37535699'!$C$4</f>
        <v/>
      </c>
      <c r="D25" s="8">
        <f>'balance_raw_37535699'!$D$4</f>
        <v/>
      </c>
      <c r="E25" s="8">
        <f>'balance_raw_37535699'!$E$4</f>
        <v/>
      </c>
      <c r="F25" s="8">
        <f>'balance_raw_37535699'!$F$4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'balance_raw_37535699'!$B$5</f>
        <v/>
      </c>
      <c r="C26" s="11">
        <f>'balance_raw_37535699'!$C$5</f>
        <v/>
      </c>
      <c r="D26" s="11">
        <f>'balance_raw_37535699'!$D$5</f>
        <v/>
      </c>
      <c r="E26" s="11">
        <f>'balance_raw_37535699'!$E$5</f>
        <v/>
      </c>
      <c r="F26" s="11">
        <f>'balance_raw_37535699'!$F$5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'balance_raw_37535699'!$B$6</f>
        <v/>
      </c>
      <c r="C27" s="8">
        <f>'balance_raw_37535699'!$C$6</f>
        <v/>
      </c>
      <c r="D27" s="8">
        <f>'balance_raw_37535699'!$D$6</f>
        <v/>
      </c>
      <c r="E27" s="8">
        <f>'balance_raw_37535699'!$E$6</f>
        <v/>
      </c>
      <c r="F27" s="8">
        <f>'balance_raw_37535699'!$F$6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'balance_raw_37535699'!$B$7</f>
        <v/>
      </c>
      <c r="C28" s="5">
        <f>'balance_raw_37535699'!$C$7</f>
        <v/>
      </c>
      <c r="D28" s="5">
        <f>'balance_raw_37535699'!$D$7</f>
        <v/>
      </c>
      <c r="E28" s="5">
        <f>'balance_raw_37535699'!$E$7</f>
        <v/>
      </c>
      <c r="F28" s="5">
        <f>'balance_raw_37535699'!$F$7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'balance_raw_37535699'!$B$8</f>
        <v/>
      </c>
      <c r="C29" s="8">
        <f>'balance_raw_37535699'!$C$8</f>
        <v/>
      </c>
      <c r="D29" s="8">
        <f>'balance_raw_37535699'!$D$8</f>
        <v/>
      </c>
      <c r="E29" s="8">
        <f>'balance_raw_37535699'!$E$8</f>
        <v/>
      </c>
      <c r="F29" s="8">
        <f>'balance_raw_37535699'!$F$8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'balance_raw_37535699'!$B$9</f>
        <v/>
      </c>
      <c r="C30" s="5">
        <f>'balance_raw_37535699'!$C$9</f>
        <v/>
      </c>
      <c r="D30" s="5">
        <f>'balance_raw_37535699'!$D$9</f>
        <v/>
      </c>
      <c r="E30" s="5">
        <f>'balance_raw_37535699'!$E$9</f>
        <v/>
      </c>
      <c r="F30" s="5">
        <f>'balance_raw_37535699'!$F$9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'balance_raw_37535699'!$B$10</f>
        <v/>
      </c>
      <c r="C31" s="8">
        <f>'balance_raw_37535699'!$C$10</f>
        <v/>
      </c>
      <c r="D31" s="8">
        <f>'balance_raw_37535699'!$D$10</f>
        <v/>
      </c>
      <c r="E31" s="8">
        <f>'balance_raw_37535699'!$E$10</f>
        <v/>
      </c>
      <c r="F31" s="8">
        <f>'balance_raw_37535699'!$F$10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'balance_raw_37535699'!$B$11</f>
        <v/>
      </c>
      <c r="C32" s="11">
        <f>'balance_raw_37535699'!$C$11</f>
        <v/>
      </c>
      <c r="D32" s="11">
        <f>'balance_raw_37535699'!$D$11</f>
        <v/>
      </c>
      <c r="E32" s="11">
        <f>'balance_raw_37535699'!$E$11</f>
        <v/>
      </c>
      <c r="F32" s="11">
        <f>'balance_raw_37535699'!$F$11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'balance_raw_37535699'!$B$12</f>
        <v/>
      </c>
      <c r="C33" s="8">
        <f>'balance_raw_37535699'!$C$12</f>
        <v/>
      </c>
      <c r="D33" s="8">
        <f>'balance_raw_37535699'!$D$12</f>
        <v/>
      </c>
      <c r="E33" s="8">
        <f>'balance_raw_37535699'!$E$12</f>
        <v/>
      </c>
      <c r="F33" s="8">
        <f>'balance_raw_37535699'!$F$12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'balance_raw_37535699'!$B$13</f>
        <v/>
      </c>
      <c r="C34" s="5">
        <f>'balance_raw_37535699'!$C$13</f>
        <v/>
      </c>
      <c r="D34" s="5">
        <f>'balance_raw_37535699'!$D$13</f>
        <v/>
      </c>
      <c r="E34" s="5">
        <f>'balance_raw_37535699'!$E$13</f>
        <v/>
      </c>
      <c r="F34" s="5">
        <f>'balance_raw_37535699'!$F$13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'balance_raw_37535699'!$B$14</f>
        <v/>
      </c>
      <c r="C35" s="11">
        <f>'balance_raw_37535699'!$C$14</f>
        <v/>
      </c>
      <c r="D35" s="11">
        <f>'balance_raw_37535699'!$D$14</f>
        <v/>
      </c>
      <c r="E35" s="11">
        <f>'balance_raw_37535699'!$E$14</f>
        <v/>
      </c>
      <c r="F35" s="11">
        <f>'balance_raw_37535699'!$F$14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'balance_raw_37535699'!$B$15</f>
        <v/>
      </c>
      <c r="C36" s="11">
        <f>'balance_raw_37535699'!$C$15</f>
        <v/>
      </c>
      <c r="D36" s="11">
        <f>'balance_raw_37535699'!$D$15</f>
        <v/>
      </c>
      <c r="E36" s="11">
        <f>'balance_raw_37535699'!$E$15</f>
        <v/>
      </c>
      <c r="F36" s="11">
        <f>'balance_raw_37535699'!$F$15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'balance_raw_37535699'!$B$16</f>
        <v/>
      </c>
      <c r="C37" s="8">
        <f>'balance_raw_37535699'!$C$16</f>
        <v/>
      </c>
      <c r="D37" s="8">
        <f>'balance_raw_37535699'!$D$16</f>
        <v/>
      </c>
      <c r="E37" s="8">
        <f>'balance_raw_37535699'!$E$16</f>
        <v/>
      </c>
      <c r="F37" s="8">
        <f>'balance_raw_37535699'!$F$16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'balance_raw_37535699'!$B$17</f>
        <v/>
      </c>
      <c r="C38" s="5">
        <f>'balance_raw_37535699'!$C$17</f>
        <v/>
      </c>
      <c r="D38" s="5">
        <f>'balance_raw_37535699'!$D$17</f>
        <v/>
      </c>
      <c r="E38" s="5">
        <f>'balance_raw_37535699'!$E$17</f>
        <v/>
      </c>
      <c r="F38" s="5">
        <f>'balance_raw_37535699'!$F$17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'balance_raw_37535699'!$B$18</f>
        <v/>
      </c>
      <c r="C39" s="8">
        <f>'balance_raw_37535699'!$C$18</f>
        <v/>
      </c>
      <c r="D39" s="8">
        <f>'balance_raw_37535699'!$D$18</f>
        <v/>
      </c>
      <c r="E39" s="8">
        <f>'balance_raw_37535699'!$E$18</f>
        <v/>
      </c>
      <c r="F39" s="8">
        <f>'balance_raw_37535699'!$F$18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'balance_raw_37535699'!$B$19</f>
        <v/>
      </c>
      <c r="C40" s="11">
        <f>'balance_raw_37535699'!$C$19</f>
        <v/>
      </c>
      <c r="D40" s="11">
        <f>'balance_raw_37535699'!$D$19</f>
        <v/>
      </c>
      <c r="E40" s="11">
        <f>'balance_raw_37535699'!$E$19</f>
        <v/>
      </c>
      <c r="F40" s="11">
        <f>'balance_raw_37535699'!$F$19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'balance_raw_37535699'!$B$20</f>
        <v/>
      </c>
      <c r="C41" s="8">
        <f>'balance_raw_37535699'!$C$20</f>
        <v/>
      </c>
      <c r="D41" s="8">
        <f>'balance_raw_37535699'!$D$20</f>
        <v/>
      </c>
      <c r="E41" s="8">
        <f>'balance_raw_37535699'!$E$20</f>
        <v/>
      </c>
      <c r="F41" s="8">
        <f>'balance_raw_37535699'!$F$20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'balance_raw_37535699'!$B$21</f>
        <v/>
      </c>
      <c r="C42" s="5">
        <f>'balance_raw_37535699'!$C$21</f>
        <v/>
      </c>
      <c r="D42" s="5">
        <f>'balance_raw_37535699'!$D$21</f>
        <v/>
      </c>
      <c r="E42" s="5">
        <f>'balance_raw_37535699'!$E$21</f>
        <v/>
      </c>
      <c r="F42" s="5">
        <f>'balance_raw_37535699'!$F$21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'balance_raw_37535699'!$B$22</f>
        <v/>
      </c>
      <c r="C43" s="8">
        <f>'balance_raw_37535699'!$C$22</f>
        <v/>
      </c>
      <c r="D43" s="8">
        <f>'balance_raw_37535699'!$D$22</f>
        <v/>
      </c>
      <c r="E43" s="8">
        <f>'balance_raw_37535699'!$E$22</f>
        <v/>
      </c>
      <c r="F43" s="8">
        <f>'balance_raw_37535699'!$F$22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'balance_raw_37535699'!$B$23</f>
        <v/>
      </c>
      <c r="C44" s="5">
        <f>'balance_raw_37535699'!$C$23</f>
        <v/>
      </c>
      <c r="D44" s="5">
        <f>'balance_raw_37535699'!$D$23</f>
        <v/>
      </c>
      <c r="E44" s="5">
        <f>'balance_raw_37535699'!$E$23</f>
        <v/>
      </c>
      <c r="F44" s="5">
        <f>'balance_raw_37535699'!$F$23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'balance_raw_37535699'!$B$24</f>
        <v/>
      </c>
      <c r="C45" s="8">
        <f>'balance_raw_37535699'!$C$24</f>
        <v/>
      </c>
      <c r="D45" s="8">
        <f>'balance_raw_37535699'!$D$24</f>
        <v/>
      </c>
      <c r="E45" s="8">
        <f>'balance_raw_37535699'!$E$24</f>
        <v/>
      </c>
      <c r="F45" s="8">
        <f>'balance_raw_37535699'!$F$24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'balance_raw_37535699'!$B$25</f>
        <v/>
      </c>
      <c r="C46" s="5">
        <f>'balance_raw_37535699'!$C$25</f>
        <v/>
      </c>
      <c r="D46" s="5">
        <f>'balance_raw_37535699'!$D$25</f>
        <v/>
      </c>
      <c r="E46" s="5">
        <f>'balance_raw_37535699'!$E$25</f>
        <v/>
      </c>
      <c r="F46" s="5">
        <f>'balance_raw_37535699'!$F$25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'balance_raw_37535699'!$B$26</f>
        <v/>
      </c>
      <c r="C47" s="8">
        <f>'balance_raw_37535699'!$C$26</f>
        <v/>
      </c>
      <c r="D47" s="8">
        <f>'balance_raw_37535699'!$D$26</f>
        <v/>
      </c>
      <c r="E47" s="8">
        <f>'balance_raw_37535699'!$E$26</f>
        <v/>
      </c>
      <c r="F47" s="8">
        <f>'balance_raw_37535699'!$F$26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'balance_raw_37535699'!$B$27</f>
        <v/>
      </c>
      <c r="C48" s="11">
        <f>'balance_raw_37535699'!$C$27</f>
        <v/>
      </c>
      <c r="D48" s="11">
        <f>'balance_raw_37535699'!$D$27</f>
        <v/>
      </c>
      <c r="E48" s="11">
        <f>'balance_raw_37535699'!$E$27</f>
        <v/>
      </c>
      <c r="F48" s="11">
        <f>'balance_raw_37535699'!$F$27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'balance_raw_37535699'!$B$28</f>
        <v/>
      </c>
      <c r="C49" s="8">
        <f>'balance_raw_37535699'!$C$28</f>
        <v/>
      </c>
      <c r="D49" s="8">
        <f>'balance_raw_37535699'!$D$28</f>
        <v/>
      </c>
      <c r="E49" s="8">
        <f>'balance_raw_37535699'!$E$28</f>
        <v/>
      </c>
      <c r="F49" s="8">
        <f>'balance_raw_37535699'!$F$28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'balance_raw_37535699'!$B$29</f>
        <v/>
      </c>
      <c r="C50" s="5">
        <f>'balance_raw_37535699'!$C$29</f>
        <v/>
      </c>
      <c r="D50" s="5">
        <f>'balance_raw_37535699'!$D$29</f>
        <v/>
      </c>
      <c r="E50" s="5">
        <f>'balance_raw_37535699'!$E$29</f>
        <v/>
      </c>
      <c r="F50" s="5">
        <f>'balance_raw_37535699'!$F$29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'balance_raw_37535699'!$B$30</f>
        <v/>
      </c>
      <c r="C51" s="11">
        <f>'balance_raw_37535699'!$C$30</f>
        <v/>
      </c>
      <c r="D51" s="11">
        <f>'balance_raw_37535699'!$D$30</f>
        <v/>
      </c>
      <c r="E51" s="11">
        <f>'balance_raw_37535699'!$E$30</f>
        <v/>
      </c>
      <c r="F51" s="11">
        <f>'balance_raw_37535699'!$F$30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'balance_raw_37535699'!$B$31</f>
        <v/>
      </c>
      <c r="C52" s="11">
        <f>'balance_raw_37535699'!$C$31</f>
        <v/>
      </c>
      <c r="D52" s="11">
        <f>'balance_raw_37535699'!$D$31</f>
        <v/>
      </c>
      <c r="E52" s="11">
        <f>'balance_raw_37535699'!$E$31</f>
        <v/>
      </c>
      <c r="F52" s="11">
        <f>'balance_raw_37535699'!$F$31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valuta pr. år - se kolonneoverskrifter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'balance_raw_37535699'!$B$32</f>
        <v/>
      </c>
      <c r="C55" s="8">
        <f>'balance_raw_37535699'!$C$32</f>
        <v/>
      </c>
      <c r="D55" s="8">
        <f>'balance_raw_37535699'!$D$32</f>
        <v/>
      </c>
      <c r="E55" s="8">
        <f>'balance_raw_37535699'!$E$32</f>
        <v/>
      </c>
      <c r="F55" s="8">
        <f>'balance_raw_37535699'!$F$32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'balance_raw_37535699'!$B$33</f>
        <v/>
      </c>
      <c r="C56" s="5">
        <f>'balance_raw_37535699'!$C$33</f>
        <v/>
      </c>
      <c r="D56" s="5">
        <f>'balance_raw_37535699'!$D$33</f>
        <v/>
      </c>
      <c r="E56" s="5">
        <f>'balance_raw_37535699'!$E$33</f>
        <v/>
      </c>
      <c r="F56" s="5">
        <f>'balance_raw_37535699'!$F$33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'balance_raw_37535699'!$B$34</f>
        <v/>
      </c>
      <c r="C57" s="8">
        <f>'balance_raw_37535699'!$C$34</f>
        <v/>
      </c>
      <c r="D57" s="8">
        <f>'balance_raw_37535699'!$D$34</f>
        <v/>
      </c>
      <c r="E57" s="8">
        <f>'balance_raw_37535699'!$E$34</f>
        <v/>
      </c>
      <c r="F57" s="8">
        <f>'balance_raw_37535699'!$F$34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'balance_raw_37535699'!$B$35</f>
        <v/>
      </c>
      <c r="C58" s="5">
        <f>'balance_raw_37535699'!$C$35</f>
        <v/>
      </c>
      <c r="D58" s="5">
        <f>'balance_raw_37535699'!$D$35</f>
        <v/>
      </c>
      <c r="E58" s="5">
        <f>'balance_raw_37535699'!$E$35</f>
        <v/>
      </c>
      <c r="F58" s="5">
        <f>'balance_raw_37535699'!$F$35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'balance_raw_37535699'!$B$36</f>
        <v/>
      </c>
      <c r="C59" s="8">
        <f>'balance_raw_37535699'!$C$36</f>
        <v/>
      </c>
      <c r="D59" s="8">
        <f>'balance_raw_37535699'!$D$36</f>
        <v/>
      </c>
      <c r="E59" s="8">
        <f>'balance_raw_37535699'!$E$36</f>
        <v/>
      </c>
      <c r="F59" s="8">
        <f>'balance_raw_37535699'!$F$36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'balance_raw_37535699'!$B$37</f>
        <v/>
      </c>
      <c r="C60" s="5">
        <f>'balance_raw_37535699'!$C$37</f>
        <v/>
      </c>
      <c r="D60" s="5">
        <f>'balance_raw_37535699'!$D$37</f>
        <v/>
      </c>
      <c r="E60" s="5">
        <f>'balance_raw_37535699'!$E$37</f>
        <v/>
      </c>
      <c r="F60" s="5">
        <f>'balance_raw_37535699'!$F$37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'balance_raw_37535699'!$B$38</f>
        <v/>
      </c>
      <c r="C61" s="11">
        <f>'balance_raw_37535699'!$C$38</f>
        <v/>
      </c>
      <c r="D61" s="11">
        <f>'balance_raw_37535699'!$D$38</f>
        <v/>
      </c>
      <c r="E61" s="11">
        <f>'balance_raw_37535699'!$E$38</f>
        <v/>
      </c>
      <c r="F61" s="11">
        <f>'balance_raw_37535699'!$F$38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'balance_raw_37535699'!$B$39</f>
        <v/>
      </c>
      <c r="C62" s="5">
        <f>'balance_raw_37535699'!$C$39</f>
        <v/>
      </c>
      <c r="D62" s="5">
        <f>'balance_raw_37535699'!$D$39</f>
        <v/>
      </c>
      <c r="E62" s="5">
        <f>'balance_raw_37535699'!$E$39</f>
        <v/>
      </c>
      <c r="F62" s="5">
        <f>'balance_raw_37535699'!$F$39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'balance_raw_37535699'!$B$40</f>
        <v/>
      </c>
      <c r="C63" s="11">
        <f>'balance_raw_37535699'!$C$40</f>
        <v/>
      </c>
      <c r="D63" s="11">
        <f>'balance_raw_37535699'!$D$40</f>
        <v/>
      </c>
      <c r="E63" s="11">
        <f>'balance_raw_37535699'!$E$40</f>
        <v/>
      </c>
      <c r="F63" s="11">
        <f>'balance_raw_37535699'!$F$40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'balance_raw_37535699'!$B$41</f>
        <v/>
      </c>
      <c r="C64" s="5">
        <f>'balance_raw_37535699'!$C$41</f>
        <v/>
      </c>
      <c r="D64" s="5">
        <f>'balance_raw_37535699'!$D$41</f>
        <v/>
      </c>
      <c r="E64" s="5">
        <f>'balance_raw_37535699'!$E$41</f>
        <v/>
      </c>
      <c r="F64" s="5">
        <f>'balance_raw_37535699'!$F$41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'balance_raw_37535699'!$B$42</f>
        <v/>
      </c>
      <c r="C65" s="8">
        <f>'balance_raw_37535699'!$C$42</f>
        <v/>
      </c>
      <c r="D65" s="8">
        <f>'balance_raw_37535699'!$D$42</f>
        <v/>
      </c>
      <c r="E65" s="8">
        <f>'balance_raw_37535699'!$E$42</f>
        <v/>
      </c>
      <c r="F65" s="8">
        <f>'balance_raw_37535699'!$F$42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'balance_raw_37535699'!$B$43</f>
        <v/>
      </c>
      <c r="C66" s="5">
        <f>'balance_raw_37535699'!$C$43</f>
        <v/>
      </c>
      <c r="D66" s="5">
        <f>'balance_raw_37535699'!$D$43</f>
        <v/>
      </c>
      <c r="E66" s="5">
        <f>'balance_raw_37535699'!$E$43</f>
        <v/>
      </c>
      <c r="F66" s="5">
        <f>'balance_raw_37535699'!$F$43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'balance_raw_37535699'!$B$44</f>
        <v/>
      </c>
      <c r="C67" s="8">
        <f>'balance_raw_37535699'!$C$44</f>
        <v/>
      </c>
      <c r="D67" s="8">
        <f>'balance_raw_37535699'!$D$44</f>
        <v/>
      </c>
      <c r="E67" s="8">
        <f>'balance_raw_37535699'!$E$44</f>
        <v/>
      </c>
      <c r="F67" s="8">
        <f>'balance_raw_37535699'!$F$44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'balance_raw_37535699'!$B$45</f>
        <v/>
      </c>
      <c r="C68" s="11">
        <f>'balance_raw_37535699'!$C$45</f>
        <v/>
      </c>
      <c r="D68" s="11">
        <f>'balance_raw_37535699'!$D$45</f>
        <v/>
      </c>
      <c r="E68" s="11">
        <f>'balance_raw_37535699'!$E$45</f>
        <v/>
      </c>
      <c r="F68" s="11">
        <f>'balance_raw_37535699'!$F$45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'balance_raw_37535699'!$B$46</f>
        <v/>
      </c>
      <c r="C69" s="8">
        <f>'balance_raw_37535699'!$C$46</f>
        <v/>
      </c>
      <c r="D69" s="8">
        <f>'balance_raw_37535699'!$D$46</f>
        <v/>
      </c>
      <c r="E69" s="8">
        <f>'balance_raw_37535699'!$E$46</f>
        <v/>
      </c>
      <c r="F69" s="8">
        <f>'balance_raw_37535699'!$F$46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'balance_raw_37535699'!$B$47</f>
        <v/>
      </c>
      <c r="C70" s="5">
        <f>'balance_raw_37535699'!$C$47</f>
        <v/>
      </c>
      <c r="D70" s="5">
        <f>'balance_raw_37535699'!$D$47</f>
        <v/>
      </c>
      <c r="E70" s="5">
        <f>'balance_raw_37535699'!$E$47</f>
        <v/>
      </c>
      <c r="F70" s="5">
        <f>'balance_raw_37535699'!$F$47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'balance_raw_37535699'!$B$48</f>
        <v/>
      </c>
      <c r="C71" s="8">
        <f>'balance_raw_37535699'!$C$48</f>
        <v/>
      </c>
      <c r="D71" s="8">
        <f>'balance_raw_37535699'!$D$48</f>
        <v/>
      </c>
      <c r="E71" s="8">
        <f>'balance_raw_37535699'!$E$48</f>
        <v/>
      </c>
      <c r="F71" s="8">
        <f>'balance_raw_37535699'!$F$48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'balance_raw_37535699'!$B$49</f>
        <v/>
      </c>
      <c r="C72" s="5">
        <f>'balance_raw_37535699'!$C$49</f>
        <v/>
      </c>
      <c r="D72" s="5">
        <f>'balance_raw_37535699'!$D$49</f>
        <v/>
      </c>
      <c r="E72" s="5">
        <f>'balance_raw_37535699'!$E$49</f>
        <v/>
      </c>
      <c r="F72" s="5">
        <f>'balance_raw_37535699'!$F$49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'balance_raw_37535699'!$B$50</f>
        <v/>
      </c>
      <c r="C73" s="8">
        <f>'balance_raw_37535699'!$C$50</f>
        <v/>
      </c>
      <c r="D73" s="8">
        <f>'balance_raw_37535699'!$D$50</f>
        <v/>
      </c>
      <c r="E73" s="8">
        <f>'balance_raw_37535699'!$E$50</f>
        <v/>
      </c>
      <c r="F73" s="8">
        <f>'balance_raw_37535699'!$F$50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'balance_raw_37535699'!$B$51</f>
        <v/>
      </c>
      <c r="C74" s="5">
        <f>'balance_raw_37535699'!$C$51</f>
        <v/>
      </c>
      <c r="D74" s="5">
        <f>'balance_raw_37535699'!$D$51</f>
        <v/>
      </c>
      <c r="E74" s="5">
        <f>'balance_raw_37535699'!$E$51</f>
        <v/>
      </c>
      <c r="F74" s="5">
        <f>'balance_raw_37535699'!$F$51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'balance_raw_37535699'!$B$52</f>
        <v/>
      </c>
      <c r="C75" s="8">
        <f>'balance_raw_37535699'!$C$52</f>
        <v/>
      </c>
      <c r="D75" s="8">
        <f>'balance_raw_37535699'!$D$52</f>
        <v/>
      </c>
      <c r="E75" s="8">
        <f>'balance_raw_37535699'!$E$52</f>
        <v/>
      </c>
      <c r="F75" s="8">
        <f>'balance_raw_37535699'!$F$52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'balance_raw_37535699'!$B$53</f>
        <v/>
      </c>
      <c r="C76" s="5">
        <f>'balance_raw_37535699'!$C$53</f>
        <v/>
      </c>
      <c r="D76" s="5">
        <f>'balance_raw_37535699'!$D$53</f>
        <v/>
      </c>
      <c r="E76" s="5">
        <f>'balance_raw_37535699'!$E$53</f>
        <v/>
      </c>
      <c r="F76" s="5">
        <f>'balance_raw_37535699'!$F$53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'balance_raw_37535699'!$B$54</f>
        <v/>
      </c>
      <c r="C77" s="8">
        <f>'balance_raw_37535699'!$C$54</f>
        <v/>
      </c>
      <c r="D77" s="8">
        <f>'balance_raw_37535699'!$D$54</f>
        <v/>
      </c>
      <c r="E77" s="8">
        <f>'balance_raw_37535699'!$E$54</f>
        <v/>
      </c>
      <c r="F77" s="8">
        <f>'balance_raw_37535699'!$F$54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'balance_raw_37535699'!$B$55</f>
        <v/>
      </c>
      <c r="C78" s="5">
        <f>'balance_raw_37535699'!$C$55</f>
        <v/>
      </c>
      <c r="D78" s="5">
        <f>'balance_raw_37535699'!$D$55</f>
        <v/>
      </c>
      <c r="E78" s="5">
        <f>'balance_raw_37535699'!$E$55</f>
        <v/>
      </c>
      <c r="F78" s="5">
        <f>'balance_raw_37535699'!$F$55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'balance_raw_37535699'!$B$56</f>
        <v/>
      </c>
      <c r="C79" s="8">
        <f>'balance_raw_37535699'!$C$56</f>
        <v/>
      </c>
      <c r="D79" s="8">
        <f>'balance_raw_37535699'!$D$56</f>
        <v/>
      </c>
      <c r="E79" s="8">
        <f>'balance_raw_37535699'!$E$56</f>
        <v/>
      </c>
      <c r="F79" s="8">
        <f>'balance_raw_37535699'!$F$56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'balance_raw_37535699'!$B$57</f>
        <v/>
      </c>
      <c r="C80" s="11">
        <f>'balance_raw_37535699'!$C$57</f>
        <v/>
      </c>
      <c r="D80" s="11">
        <f>'balance_raw_37535699'!$D$57</f>
        <v/>
      </c>
      <c r="E80" s="11">
        <f>'balance_raw_37535699'!$E$57</f>
        <v/>
      </c>
      <c r="F80" s="11">
        <f>'balance_raw_37535699'!$F$57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'balance_raw_37535699'!$B$58</f>
        <v/>
      </c>
      <c r="C81" s="11">
        <f>'balance_raw_37535699'!$C$58</f>
        <v/>
      </c>
      <c r="D81" s="11">
        <f>'balance_raw_37535699'!$D$58</f>
        <v/>
      </c>
      <c r="E81" s="11">
        <f>'balance_raw_37535699'!$E$58</f>
        <v/>
      </c>
      <c r="F81" s="11">
        <f>'balance_raw_37535699'!$F$58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'balance_raw_37535699'!$B$59</f>
        <v/>
      </c>
      <c r="C82" s="11">
        <f>'balance_raw_37535699'!$C$59</f>
        <v/>
      </c>
      <c r="D82" s="11">
        <f>'balance_raw_37535699'!$D$59</f>
        <v/>
      </c>
      <c r="E82" s="11">
        <f>'balance_raw_37535699'!$E$59</f>
        <v/>
      </c>
      <c r="F82" s="11">
        <f>'balance_raw_37535699'!$F$59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'res_raw_37535699'!$B$19</f>
        <v/>
      </c>
      <c r="C85" s="8">
        <f>'res_raw_37535699'!$C$19</f>
        <v/>
      </c>
      <c r="D85" s="8">
        <f>'res_raw_37535699'!$D$19</f>
        <v/>
      </c>
      <c r="E85" s="8">
        <f>'res_raw_37535699'!$E$19</f>
        <v/>
      </c>
      <c r="F85" s="8">
        <f>'res_raw_37535699'!$F$19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'res_raw_37535699'!$B$20</f>
        <v/>
      </c>
      <c r="C86" s="5">
        <f>'res_raw_37535699'!$C$20</f>
        <v/>
      </c>
      <c r="D86" s="5">
        <f>'res_raw_37535699'!$D$20</f>
        <v/>
      </c>
      <c r="E86" s="5">
        <f>'res_raw_37535699'!$E$20</f>
        <v/>
      </c>
      <c r="F86" s="5">
        <f>'res_raw_37535699'!$F$20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valuta pr. år - se kolonneoverskrifter</t>
        </is>
      </c>
    </row>
    <row r="102">
      <c r="A102" s="16" t="inlineStr">
        <is>
          <t>Pengestrømme fra driftsaktivitet</t>
        </is>
      </c>
      <c r="B102" s="17">
        <f>'pengestrom_raw_37535699'!$B$2</f>
        <v/>
      </c>
      <c r="C102" s="17">
        <f>'pengestrom_raw_37535699'!$C$2</f>
        <v/>
      </c>
      <c r="D102" s="17">
        <f>'pengestrom_raw_37535699'!$D$2</f>
        <v/>
      </c>
      <c r="E102" s="17">
        <f>'pengestrom_raw_37535699'!$E$2</f>
        <v/>
      </c>
      <c r="F102" s="17">
        <f>'pengestrom_raw_37535699'!$F$2</f>
        <v/>
      </c>
    </row>
    <row r="103">
      <c r="A103" s="16" t="inlineStr">
        <is>
          <t>Pengestrømme fra investeringsaktivitet</t>
        </is>
      </c>
      <c r="B103" s="17">
        <f>'pengestrom_raw_37535699'!$B$3</f>
        <v/>
      </c>
      <c r="C103" s="17">
        <f>'pengestrom_raw_37535699'!$C$3</f>
        <v/>
      </c>
      <c r="D103" s="17">
        <f>'pengestrom_raw_37535699'!$D$3</f>
        <v/>
      </c>
      <c r="E103" s="17">
        <f>'pengestrom_raw_37535699'!$E$3</f>
        <v/>
      </c>
      <c r="F103" s="17">
        <f>'pengestrom_raw_37535699'!$F$3</f>
        <v/>
      </c>
    </row>
    <row r="104">
      <c r="A104" s="16" t="inlineStr">
        <is>
          <t>Pengestrømme fra finansieringsaktivitet</t>
        </is>
      </c>
      <c r="B104" s="17">
        <f>'pengestrom_raw_37535699'!$B$4</f>
        <v/>
      </c>
      <c r="C104" s="17">
        <f>'pengestrom_raw_37535699'!$C$4</f>
        <v/>
      </c>
      <c r="D104" s="17">
        <f>'pengestrom_raw_37535699'!$D$4</f>
        <v/>
      </c>
      <c r="E104" s="17">
        <f>'pengestrom_raw_37535699'!$E$4</f>
        <v/>
      </c>
      <c r="F104" s="17">
        <f>'pengestrom_raw_37535699'!$F$4</f>
        <v/>
      </c>
    </row>
    <row r="105">
      <c r="A105" s="16" t="inlineStr">
        <is>
          <t>Årets pengestrøm (rapporteret)</t>
        </is>
      </c>
      <c r="B105" s="17">
        <f>'pengestrom_raw_37535699'!$B$5</f>
        <v/>
      </c>
      <c r="C105" s="17">
        <f>'pengestrom_raw_37535699'!$C$5</f>
        <v/>
      </c>
      <c r="D105" s="17">
        <f>'pengestrom_raw_37535699'!$D$5</f>
        <v/>
      </c>
      <c r="E105" s="17">
        <f>'pengestrom_raw_37535699'!$E$5</f>
        <v/>
      </c>
      <c r="F105" s="17">
        <f>'pengestrom_raw_37535699'!$F$5</f>
        <v/>
      </c>
    </row>
    <row r="106">
      <c r="A106" s="16" t="inlineStr">
        <is>
          <t>Krydstjek: drift + inv. + fin. = årets pengestrøm</t>
        </is>
      </c>
      <c r="B106">
        <f>IF(ABS(('pengestrom_raw_37535699'!$B$2+'pengestrom_raw_37535699'!$B$3+'pengestrom_raw_37535699'!$B$4)-'pengestrom_raw_37535699'!$B$5)&lt;=2,"✓","⚠ "&amp;TEXT(('pengestrom_raw_37535699'!$B$2+'pengestrom_raw_37535699'!$B$3+'pengestrom_raw_37535699'!$B$4)-'pengestrom_raw_37535699'!$B$5,"+#,##0;-#,##0"))</f>
        <v/>
      </c>
      <c r="C106">
        <f>IF(ABS(('pengestrom_raw_37535699'!$C$2+'pengestrom_raw_37535699'!$C$3+'pengestrom_raw_37535699'!$C$4)-'pengestrom_raw_37535699'!$C$5)&lt;=2,"✓","⚠ "&amp;TEXT(('pengestrom_raw_37535699'!$C$2+'pengestrom_raw_37535699'!$C$3+'pengestrom_raw_37535699'!$C$4)-'pengestrom_raw_37535699'!$C$5,"+#,##0;-#,##0"))</f>
        <v/>
      </c>
      <c r="D106">
        <f>IF(ABS(('pengestrom_raw_37535699'!$D$2+'pengestrom_raw_37535699'!$D$3+'pengestrom_raw_37535699'!$D$4)-'pengestrom_raw_37535699'!$D$5)&lt;=2,"✓","⚠ "&amp;TEXT(('pengestrom_raw_37535699'!$D$2+'pengestrom_raw_37535699'!$D$3+'pengestrom_raw_37535699'!$D$4)-'pengestrom_raw_37535699'!$D$5,"+#,##0;-#,##0"))</f>
        <v/>
      </c>
      <c r="E106">
        <f>IF(ABS(('pengestrom_raw_37535699'!$E$2+'pengestrom_raw_37535699'!$E$3+'pengestrom_raw_37535699'!$E$4)-'pengestrom_raw_37535699'!$E$5)&lt;=2,"✓","⚠ "&amp;TEXT(('pengestrom_raw_37535699'!$E$2+'pengestrom_raw_37535699'!$E$3+'pengestrom_raw_37535699'!$E$4)-'pengestrom_raw_37535699'!$E$5,"+#,##0;-#,##0"))</f>
        <v/>
      </c>
      <c r="F106">
        <f>IF(ABS(('pengestrom_raw_37535699'!$F$2+'pengestrom_raw_37535699'!$F$3+'pengestrom_raw_37535699'!$F$4)-'pengestrom_raw_37535699'!$F$5)&lt;=2,"✓","⚠ "&amp;TEXT(('pengestrom_raw_37535699'!$F$2+'pengestrom_raw_37535699'!$F$3+'pengestrom_raw_37535699'!$F$4)-'pengestrom_raw_37535699'!$F$5,"+#,##0;-#,##0"))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Too Good To Go Holding ApS (CVR 37535699) — Resultatopgørelse &amp; nøgleoplysninger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493252</v>
      </c>
      <c r="C2" s="17" t="n">
        <v>102565</v>
      </c>
      <c r="D2" s="17" t="n">
        <v>146535</v>
      </c>
      <c r="E2" s="17" t="n">
        <v>193421</v>
      </c>
      <c r="F2" s="17" t="n">
        <v>249321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>
        <v>3858</v>
      </c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354048</v>
      </c>
      <c r="C5" s="17" t="n">
        <v>33049</v>
      </c>
      <c r="D5" s="17" t="n">
        <v>30378</v>
      </c>
      <c r="E5" s="17" t="n">
        <v>37598</v>
      </c>
      <c r="F5" s="17" t="n">
        <v>48495</v>
      </c>
    </row>
    <row r="6">
      <c r="A6" s="15" t="inlineStr">
        <is>
          <t>Bruttoresultat</t>
        </is>
      </c>
      <c r="B6" s="17" t="n">
        <v>135346</v>
      </c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462151</v>
      </c>
      <c r="C7" s="17" t="n">
        <v>90749</v>
      </c>
      <c r="D7" s="17" t="n">
        <v>89078</v>
      </c>
      <c r="E7" s="17" t="n">
        <v>101007</v>
      </c>
      <c r="F7" s="17" t="n">
        <v>112424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17778</v>
      </c>
      <c r="C9" s="17" t="n">
        <v>7221</v>
      </c>
      <c r="D9" s="17" t="n">
        <v>7921</v>
      </c>
      <c r="E9" s="17" t="n">
        <v>8076</v>
      </c>
      <c r="F9" s="17" t="n">
        <v>11826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-344583</v>
      </c>
      <c r="C11" s="17" t="n">
        <v>-39384</v>
      </c>
      <c r="D11" s="17" t="n">
        <v>-1806</v>
      </c>
      <c r="E11" s="17" t="n">
        <v>1797</v>
      </c>
      <c r="F11" s="17" t="n">
        <v>-5414</v>
      </c>
    </row>
    <row r="12">
      <c r="A12" s="16" t="inlineStr">
        <is>
          <t>Indtægter af kapitalandele, dattervirksomheder</t>
        </is>
      </c>
      <c r="B12" s="17" t="n">
        <v>-342020</v>
      </c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4117</v>
      </c>
      <c r="C13" s="17" t="n">
        <v>10</v>
      </c>
      <c r="D13" s="17" t="n">
        <v>2497</v>
      </c>
      <c r="E13" s="17" t="n">
        <v>2708</v>
      </c>
      <c r="F13" s="17" t="n">
        <v>7320</v>
      </c>
    </row>
    <row r="14">
      <c r="A14" s="16" t="inlineStr">
        <is>
          <t>Finansielle omkostninger</t>
        </is>
      </c>
      <c r="B14" s="17" t="n">
        <v>1734</v>
      </c>
      <c r="C14" s="17" t="n">
        <v>3167</v>
      </c>
      <c r="D14" s="17" t="n">
        <v>2975</v>
      </c>
      <c r="E14" s="17" t="n">
        <v>3335</v>
      </c>
      <c r="F14" s="17" t="n">
        <v>4561</v>
      </c>
    </row>
    <row r="15">
      <c r="A15" s="15" t="inlineStr">
        <is>
          <t>Finansielle poster, netto</t>
        </is>
      </c>
      <c r="B15" s="17" t="n">
        <v>2383</v>
      </c>
      <c r="C15" s="17" t="n">
        <v>-3157</v>
      </c>
      <c r="D15" s="17" t="n">
        <v>-478</v>
      </c>
      <c r="E15" s="17" t="n">
        <v>-627</v>
      </c>
      <c r="F15" s="17" t="n">
        <v>2759</v>
      </c>
    </row>
    <row r="16">
      <c r="A16" s="15" t="inlineStr">
        <is>
          <t>Resultat før skat</t>
        </is>
      </c>
      <c r="B16" s="17" t="n">
        <v>-342200</v>
      </c>
      <c r="C16" s="17" t="n">
        <v>-42541</v>
      </c>
      <c r="D16" s="17" t="n">
        <v>-2284</v>
      </c>
      <c r="E16" s="17" t="n">
        <v>1170</v>
      </c>
      <c r="F16" s="17" t="n">
        <v>-2655</v>
      </c>
    </row>
    <row r="17">
      <c r="A17" s="16" t="inlineStr">
        <is>
          <t>Skat af årets resultat</t>
        </is>
      </c>
      <c r="B17" s="17" t="n">
        <v>1601</v>
      </c>
      <c r="C17" s="17" t="n">
        <v>-4905</v>
      </c>
      <c r="D17" s="17" t="n">
        <v>1462</v>
      </c>
      <c r="E17" s="17" t="n">
        <v>2481</v>
      </c>
      <c r="F17" s="17" t="n">
        <v>2101</v>
      </c>
    </row>
    <row r="18">
      <c r="A18" s="15" t="inlineStr">
        <is>
          <t>Årets resultat</t>
        </is>
      </c>
      <c r="B18" s="17" t="n">
        <v>-343801</v>
      </c>
      <c r="C18" s="17" t="n">
        <v>-37636</v>
      </c>
      <c r="D18" s="17" t="n">
        <v>-3746</v>
      </c>
      <c r="E18" s="17" t="n">
        <v>-1311</v>
      </c>
      <c r="F18" s="17" t="n">
        <v>-4756</v>
      </c>
    </row>
    <row r="19">
      <c r="A19" s="16" t="inlineStr">
        <is>
          <t>Gns. antal medarbejdere</t>
        </is>
      </c>
      <c r="B19" s="17" t="n">
        <v>980</v>
      </c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774</v>
      </c>
      <c r="C20" s="17" t="n">
        <v>481</v>
      </c>
      <c r="D20" s="17" t="n">
        <v>412</v>
      </c>
      <c r="E20" s="17" t="n">
        <v>658</v>
      </c>
      <c r="F20" s="17" t="n">
        <v>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Too Good To Go Holding ApS (CVR 37535699) — Balance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16683</v>
      </c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2558</v>
      </c>
      <c r="C4" s="17" t="n">
        <v>2520</v>
      </c>
      <c r="D4" s="17" t="n">
        <v>2515</v>
      </c>
      <c r="E4" s="17" t="n">
        <v>2513</v>
      </c>
      <c r="F4" s="17" t="n">
        <v>2509</v>
      </c>
    </row>
    <row r="5">
      <c r="A5" s="15" t="inlineStr">
        <is>
          <t>Immaterielle anlægsaktiver</t>
        </is>
      </c>
      <c r="B5" s="17" t="n">
        <v>22221</v>
      </c>
      <c r="C5" s="17" t="n">
        <v>5611</v>
      </c>
      <c r="D5" s="17" t="n">
        <v>6856</v>
      </c>
      <c r="E5" s="17" t="n">
        <v>10653</v>
      </c>
      <c r="F5" s="17" t="n">
        <v>14380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4419</v>
      </c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>
        <v>3757</v>
      </c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8176</v>
      </c>
      <c r="C11" s="17" t="n">
        <v>876</v>
      </c>
      <c r="D11" s="17" t="n">
        <v>719</v>
      </c>
      <c r="E11" s="17" t="n">
        <v>814</v>
      </c>
      <c r="F11" s="17" t="n">
        <v>897</v>
      </c>
    </row>
    <row r="12">
      <c r="A12" s="16" t="inlineStr">
        <is>
          <t>Kapitalandele, dattervirksomheder</t>
        </is>
      </c>
      <c r="B12" s="17" t="n">
        <v>50100</v>
      </c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11399</v>
      </c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11399</v>
      </c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41796</v>
      </c>
      <c r="C15" s="17" t="n">
        <v>28200</v>
      </c>
      <c r="D15" s="17" t="n">
        <v>28878</v>
      </c>
      <c r="E15" s="17" t="n">
        <v>33239</v>
      </c>
      <c r="F15" s="17" t="n">
        <v>36362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1332</v>
      </c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1332</v>
      </c>
      <c r="C19" s="17" t="n">
        <v>197</v>
      </c>
      <c r="D19" s="17" t="n">
        <v>1373</v>
      </c>
      <c r="E19" s="17" t="n">
        <v>5703</v>
      </c>
      <c r="F19" s="17" t="n">
        <v>6588</v>
      </c>
    </row>
    <row r="20">
      <c r="A20" s="16" t="inlineStr">
        <is>
          <t>Tilgodehavender fra salg og tjenesteydelser</t>
        </is>
      </c>
      <c r="B20" s="17" t="n">
        <v>10561</v>
      </c>
      <c r="C20" s="17" t="n">
        <v>2776</v>
      </c>
      <c r="D20" s="17" t="n">
        <v>4647</v>
      </c>
      <c r="E20" s="17" t="n">
        <v>3459</v>
      </c>
      <c r="F20" s="17" t="n">
        <v>4850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4110</v>
      </c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>
        <v>8849</v>
      </c>
      <c r="C23" s="17" t="n">
        <v>1559</v>
      </c>
      <c r="D23" s="17" t="n">
        <v>1961</v>
      </c>
      <c r="E23" s="17" t="n">
        <v>2490</v>
      </c>
      <c r="F23" s="17" t="n">
        <v>3092</v>
      </c>
    </row>
    <row r="24">
      <c r="A24" s="16" t="inlineStr">
        <is>
          <t>Udskudt skatteaktiv</t>
        </is>
      </c>
      <c r="B24" s="17" t="n"/>
      <c r="C24" s="17" t="n">
        <v>8020</v>
      </c>
      <c r="D24" s="17" t="n">
        <v>8398</v>
      </c>
      <c r="E24" s="17" t="n">
        <v>9186</v>
      </c>
      <c r="F24" s="17" t="n">
        <v>6877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0</v>
      </c>
      <c r="C26" s="17" t="n">
        <v>0</v>
      </c>
      <c r="D26" s="17" t="n"/>
      <c r="E26" s="17" t="n"/>
      <c r="F26" s="17" t="n"/>
    </row>
    <row r="27">
      <c r="A27" s="15" t="inlineStr">
        <is>
          <t>Tilgodehavender</t>
        </is>
      </c>
      <c r="B27" s="17" t="n">
        <v>23520</v>
      </c>
      <c r="C27" s="17" t="n">
        <v>53</v>
      </c>
      <c r="D27" s="17" t="n">
        <v>83</v>
      </c>
      <c r="E27" s="17" t="n">
        <v>742</v>
      </c>
      <c r="F27" s="17" t="n">
        <v>977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240762</v>
      </c>
      <c r="C29" s="17" t="n">
        <v>79762</v>
      </c>
      <c r="D29" s="17" t="n">
        <v>58609</v>
      </c>
      <c r="E29" s="17" t="n">
        <v>69539</v>
      </c>
      <c r="F29" s="17" t="n">
        <v>80644</v>
      </c>
    </row>
    <row r="30">
      <c r="A30" s="15" t="inlineStr">
        <is>
          <t>Omsætningsaktiver</t>
        </is>
      </c>
      <c r="B30" s="17" t="n">
        <v>265614</v>
      </c>
      <c r="C30" s="17" t="n">
        <v>84347</v>
      </c>
      <c r="D30" s="17" t="n">
        <v>104864</v>
      </c>
      <c r="E30" s="17" t="n">
        <v>120046</v>
      </c>
      <c r="F30" s="17" t="n">
        <v>134244</v>
      </c>
    </row>
    <row r="31">
      <c r="A31" s="15" t="inlineStr">
        <is>
          <t>Aktiver</t>
        </is>
      </c>
      <c r="B31" s="17" t="n">
        <v>307410</v>
      </c>
      <c r="C31" s="17" t="n">
        <v>112547</v>
      </c>
      <c r="D31" s="17" t="n">
        <v>133742</v>
      </c>
      <c r="E31" s="17" t="n">
        <v>153285</v>
      </c>
      <c r="F31" s="17" t="n">
        <v>170607</v>
      </c>
    </row>
    <row r="32">
      <c r="A32" s="16" t="inlineStr">
        <is>
          <t>Selskabskapital</t>
        </is>
      </c>
      <c r="B32" s="17" t="n">
        <v>234</v>
      </c>
      <c r="C32" s="17" t="n">
        <v>34</v>
      </c>
      <c r="D32" s="17" t="n">
        <v>34</v>
      </c>
      <c r="E32" s="17" t="n">
        <v>34</v>
      </c>
      <c r="F32" s="17" t="n">
        <v>34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14785</v>
      </c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-71697</v>
      </c>
      <c r="C37" s="17" t="n">
        <v>20165</v>
      </c>
      <c r="D37" s="17" t="n">
        <v>24062</v>
      </c>
      <c r="E37" s="17" t="n">
        <v>29739</v>
      </c>
      <c r="F37" s="17" t="n">
        <v>28033</v>
      </c>
    </row>
    <row r="38">
      <c r="A38" s="15" t="inlineStr">
        <is>
          <t>Egenkapital i alt</t>
        </is>
      </c>
      <c r="B38" s="17" t="n">
        <v>-56678</v>
      </c>
      <c r="C38" s="17" t="n">
        <v>20002</v>
      </c>
      <c r="D38" s="17" t="n">
        <v>23804</v>
      </c>
      <c r="E38" s="17" t="n">
        <v>28919</v>
      </c>
      <c r="F38" s="17" t="n">
        <v>26088</v>
      </c>
    </row>
    <row r="39">
      <c r="A39" s="16" t="inlineStr">
        <is>
          <t>Hensættelse til udskudt skat</t>
        </is>
      </c>
      <c r="B39" s="17" t="n"/>
      <c r="C39" s="17" t="n">
        <v>470</v>
      </c>
      <c r="D39" s="17" t="n">
        <v>375</v>
      </c>
      <c r="E39" s="17" t="n">
        <v>379</v>
      </c>
      <c r="F39" s="17" t="n">
        <v>375</v>
      </c>
    </row>
    <row r="40">
      <c r="A40" s="15" t="inlineStr">
        <is>
          <t>Hensatte forpligtelser</t>
        </is>
      </c>
      <c r="B40" s="17" t="n"/>
      <c r="C40" s="17" t="n">
        <v>470</v>
      </c>
      <c r="D40" s="17" t="n">
        <v>375</v>
      </c>
      <c r="E40" s="17" t="n">
        <v>379</v>
      </c>
      <c r="F40" s="17" t="n">
        <v>375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94003</v>
      </c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>
        <v>5670</v>
      </c>
      <c r="D43" s="17" t="n">
        <v>4428</v>
      </c>
      <c r="E43" s="17" t="n">
        <v>4801</v>
      </c>
      <c r="F43" s="17" t="n">
        <v>3678</v>
      </c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94003</v>
      </c>
      <c r="C45" s="17" t="n">
        <v>27202</v>
      </c>
      <c r="D45" s="17" t="n">
        <v>29768</v>
      </c>
      <c r="E45" s="17" t="n">
        <v>32381</v>
      </c>
      <c r="F45" s="17" t="n">
        <v>32653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>
        <v>3986</v>
      </c>
      <c r="D49" s="17" t="n">
        <v>4300</v>
      </c>
      <c r="E49" s="17" t="n">
        <v>3411</v>
      </c>
      <c r="F49" s="17" t="n">
        <v>5755</v>
      </c>
    </row>
    <row r="50">
      <c r="A50" s="16" t="inlineStr">
        <is>
          <t>Leverandører af varer og tjenesteydelser</t>
        </is>
      </c>
      <c r="B50" s="17" t="n">
        <v>227444</v>
      </c>
      <c r="C50" s="17" t="n">
        <v>42929</v>
      </c>
      <c r="D50" s="17" t="n">
        <v>53419</v>
      </c>
      <c r="E50" s="17" t="n">
        <v>66101</v>
      </c>
      <c r="F50" s="17" t="n">
        <v>74071</v>
      </c>
    </row>
    <row r="51">
      <c r="A51" s="16" t="inlineStr">
        <is>
          <t>Gæld til tilknyttede virksomheder</t>
        </is>
      </c>
      <c r="B51" s="17" t="n">
        <v>124170</v>
      </c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607</v>
      </c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42034</v>
      </c>
      <c r="C55" s="17" t="n">
        <v>11589</v>
      </c>
      <c r="D55" s="17" t="n">
        <v>16389</v>
      </c>
      <c r="E55" s="17" t="n">
        <v>16156</v>
      </c>
      <c r="F55" s="17" t="n">
        <v>27971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270085</v>
      </c>
      <c r="C57" s="17" t="n">
        <v>59203</v>
      </c>
      <c r="D57" s="17" t="n">
        <v>75367</v>
      </c>
      <c r="E57" s="17" t="n">
        <v>86805</v>
      </c>
      <c r="F57" s="17" t="n">
        <v>107812</v>
      </c>
    </row>
    <row r="58">
      <c r="A58" s="15" t="inlineStr">
        <is>
          <t>Gældsforpligtelser</t>
        </is>
      </c>
      <c r="B58" s="17" t="n">
        <v>364088</v>
      </c>
      <c r="C58" s="17" t="n">
        <v>92545</v>
      </c>
      <c r="D58" s="17" t="n">
        <v>109938</v>
      </c>
      <c r="E58" s="17" t="n">
        <v>124366</v>
      </c>
      <c r="F58" s="17" t="n">
        <v>144518</v>
      </c>
    </row>
    <row r="59">
      <c r="A59" s="15" t="inlineStr">
        <is>
          <t>Passiver</t>
        </is>
      </c>
      <c r="B59" s="17" t="n">
        <v>307410</v>
      </c>
      <c r="C59" s="17" t="n">
        <v>112547</v>
      </c>
      <c r="D59" s="17" t="n">
        <v>133742</v>
      </c>
      <c r="E59" s="17" t="n">
        <v>153285</v>
      </c>
      <c r="F59" s="17" t="n">
        <v>170607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Too Good To Go Holding ApS (CVR 37535699) — Pengestrømsopgørelse (valuta pr. år - se kolonneoverskrifter)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-232634</v>
      </c>
      <c r="C2" s="17" t="n">
        <v>-3416</v>
      </c>
      <c r="D2" s="17" t="n">
        <v>25444</v>
      </c>
      <c r="E2" s="17" t="n">
        <v>23349</v>
      </c>
      <c r="F2" s="17" t="n">
        <v>26444</v>
      </c>
    </row>
    <row r="3">
      <c r="A3" s="16" t="inlineStr">
        <is>
          <t>Pengestrømme fra investeringsaktivitet</t>
        </is>
      </c>
      <c r="B3" s="17" t="n">
        <v>-19789</v>
      </c>
      <c r="C3" s="17" t="n">
        <v>-5275</v>
      </c>
      <c r="D3" s="17" t="n">
        <v>-4669</v>
      </c>
      <c r="E3" s="17" t="n">
        <v>-7455</v>
      </c>
      <c r="F3" s="17" t="n">
        <v>-9023</v>
      </c>
    </row>
    <row r="4">
      <c r="A4" s="16" t="inlineStr">
        <is>
          <t>Pengestrømme fra finansieringsaktivitet</t>
        </is>
      </c>
      <c r="B4" s="17" t="n">
        <v>251100</v>
      </c>
      <c r="C4" s="17" t="n">
        <v>56230</v>
      </c>
      <c r="D4" s="17" t="n">
        <v>-42321</v>
      </c>
      <c r="E4" s="17" t="n">
        <v>-5115</v>
      </c>
      <c r="F4" s="17" t="n">
        <v>-6376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Too Good To Go Holding ApS (CVR 37535699) — Regnskabs- og nøgletal (CVR: 37535699)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'res_raw_37535699'!$F$2</f>
        <v/>
      </c>
      <c r="C5" s="24">
        <f>'res_raw_37535699'!$E$2</f>
        <v/>
      </c>
      <c r="D5" s="24">
        <f>'res_raw_37535699'!$D$2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'res_raw_37535699'!$F$3</f>
        <v/>
      </c>
      <c r="C6" s="24">
        <f>'res_raw_37535699'!$E$3</f>
        <v/>
      </c>
      <c r="D6" s="24">
        <f>'res_raw_37535699'!$D$3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-'res_raw_37535699'!$F$4</f>
        <v/>
      </c>
      <c r="C7" s="24">
        <f>-'res_raw_37535699'!$E$4</f>
        <v/>
      </c>
      <c r="D7" s="24">
        <f>-'res_raw_37535699'!$D$4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-'res_raw_37535699'!$F$5</f>
        <v/>
      </c>
      <c r="C8" s="24">
        <f>-'res_raw_37535699'!$E$5</f>
        <v/>
      </c>
      <c r="D8" s="24">
        <f>-'res_raw_37535699'!$D$5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IF(ABS((SUM(B5:B8))-'res_raw_37535699'!$F$6)&lt;=2,SUM(B5:B8),'res_raw_37535699'!$F$6)</f>
        <v/>
      </c>
      <c r="C9" s="27">
        <f>IF(ABS((SUM(C5:C8))-'res_raw_37535699'!$E$6)&lt;=2,SUM(C5:C8),'res_raw_37535699'!$E$6)</f>
        <v/>
      </c>
      <c r="D9" s="27">
        <f>IF(ABS((SUM(D5:D8))-'res_raw_37535699'!$D$6)&lt;=2,SUM(D5:D8),'res_raw_37535699'!$D$6)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-'res_raw_37535699'!$F$7</f>
        <v/>
      </c>
      <c r="C10" s="24">
        <f>-'res_raw_37535699'!$E$7</f>
        <v/>
      </c>
      <c r="D10" s="24">
        <f>-'res_raw_37535699'!$D$7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-'res_raw_37535699'!$F$9</f>
        <v/>
      </c>
      <c r="C11" s="24">
        <f>-'res_raw_37535699'!$E$9</f>
        <v/>
      </c>
      <c r="D11" s="24">
        <f>-'res_raw_37535699'!$D$9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-'res_raw_37535699'!$F$10</f>
        <v/>
      </c>
      <c r="C12" s="24">
        <f>-'res_raw_37535699'!$E$10</f>
        <v/>
      </c>
      <c r="D12" s="24">
        <f>-'res_raw_37535699'!$D$10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IF(ABS((SUM(B9:B12))-'res_raw_37535699'!$F$11)&lt;=2,SUM(B9:B12),'res_raw_37535699'!$F$11)</f>
        <v/>
      </c>
      <c r="C13" s="27">
        <f>IF(ABS((SUM(C9:C12))-'res_raw_37535699'!$E$11)&lt;=2,SUM(C9:C12),'res_raw_37535699'!$E$11)</f>
        <v/>
      </c>
      <c r="D13" s="27">
        <f>IF(ABS((SUM(D9:D12))-'res_raw_37535699'!$D$11)&lt;=2,SUM(D9:D12),'res_raw_37535699'!$D$11)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N('res_raw_37535699'!$F$12)+N('res_raw_37535699'!$F$13)</f>
        <v/>
      </c>
      <c r="C14" s="24">
        <f>N('res_raw_37535699'!$E$12)+N('res_raw_37535699'!$E$13)</f>
        <v/>
      </c>
      <c r="D14" s="24">
        <f>N('res_raw_37535699'!$D$12)+N('res_raw_37535699'!$D$13)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-'res_raw_37535699'!$F$14</f>
        <v/>
      </c>
      <c r="C15" s="24">
        <f>-'res_raw_37535699'!$E$14</f>
        <v/>
      </c>
      <c r="D15" s="24">
        <f>-'res_raw_37535699'!$D$14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IF(ABS((SUM(B13:B15))-'res_raw_37535699'!$F$16)&lt;=2,SUM(B13:B15),'res_raw_37535699'!$F$16)</f>
        <v/>
      </c>
      <c r="C16" s="27">
        <f>IF(ABS((SUM(C13:C15))-'res_raw_37535699'!$E$16)&lt;=2,SUM(C13:C15),'res_raw_37535699'!$E$16)</f>
        <v/>
      </c>
      <c r="D16" s="27">
        <f>IF(ABS((SUM(D13:D15))-'res_raw_37535699'!$D$16)&lt;=2,SUM(D13:D15),'res_raw_37535699'!$D$16)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'balance_raw_37535699'!$F$15</f>
        <v/>
      </c>
      <c r="C19" s="24">
        <f>'balance_raw_37535699'!$E$15</f>
        <v/>
      </c>
      <c r="D19" s="24">
        <f>'balance_raw_37535699'!$D$15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'balance_raw_37535699'!$F$30</f>
        <v/>
      </c>
      <c r="C20" s="24">
        <f>'balance_raw_37535699'!$E$30</f>
        <v/>
      </c>
      <c r="D20" s="24">
        <f>'balance_raw_37535699'!$D$30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'balance_raw_37535699'!$F$38</f>
        <v/>
      </c>
      <c r="C23" s="24">
        <f>'balance_raw_37535699'!$E$38</f>
        <v/>
      </c>
      <c r="D23" s="24">
        <f>'balance_raw_37535699'!$D$38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'balance_raw_37535699'!$F$59-'balance_raw_37535699'!$F$38</f>
        <v/>
      </c>
      <c r="C24" s="24">
        <f>'balance_raw_37535699'!$E$59-'balance_raw_37535699'!$E$38</f>
        <v/>
      </c>
      <c r="D24" s="24">
        <f>'balance_raw_37535699'!$D$59-'balance_raw_37535699'!$D$38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'balance_raw_37535699'!$F$19</f>
        <v/>
      </c>
      <c r="C28" s="24">
        <f>'balance_raw_37535699'!$E$19</f>
        <v/>
      </c>
      <c r="D28" s="24">
        <f>'balance_raw_37535699'!$D$19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'balance_raw_37535699'!$F$20</f>
        <v/>
      </c>
      <c r="C29" s="24">
        <f>'balance_raw_37535699'!$E$20</f>
        <v/>
      </c>
      <c r="D29" s="24">
        <f>'balance_raw_37535699'!$D$20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'balance_raw_37535699'!$F$57</f>
        <v/>
      </c>
      <c r="C30" s="24">
        <f>'balance_raw_37535699'!$E$57</f>
        <v/>
      </c>
      <c r="D30" s="24">
        <f>'balance_raw_37535699'!$D$57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IF('balance_raw_37535699'!$F$31="","—",IF(ABS(B21-'balance_raw_37535699'!$F$31)&lt;=1,"✓ OK","❌ "&amp;TEXT(B21-'balance_raw_37535699'!$F$31,"+#,##0;-#,##0")&amp;" valuta pr. år - se kolonneoverskrifter"))</f>
        <v/>
      </c>
      <c r="C61" s="29">
        <f>IF('balance_raw_37535699'!$E$31="","—",IF(ABS(C21-'balance_raw_37535699'!$E$31)&lt;=1,"✓ OK","❌ "&amp;TEXT(C21-'balance_raw_37535699'!$E$31,"+#,##0;-#,##0")&amp;" valuta pr. år - se kolonneoverskrifter"))</f>
        <v/>
      </c>
      <c r="D61" s="29">
        <f>IF('balance_raw_37535699'!$D$31="","—",IF(ABS(D21-'balance_raw_37535699'!$D$31)&lt;=1,"✓ OK","❌ "&amp;TEXT(D21-'balance_raw_37535699'!$D$31,"+#,##0;-#,##0")&amp;" valuta pr. år - se kolonneoverskrifter"))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IF('balance_raw_37535699'!$F$59="","—",IF(ABS(B25-'balance_raw_37535699'!$F$59)&lt;=1,"✓ OK","❌ "&amp;TEXT(B25-'balance_raw_37535699'!$F$59,"+#,##0;-#,##0")&amp;" valuta pr. år - se kolonneoverskrifter"))</f>
        <v/>
      </c>
      <c r="C62" s="29">
        <f>IF('balance_raw_37535699'!$E$59="","—",IF(ABS(C25-'balance_raw_37535699'!$E$59)&lt;=1,"✓ OK","❌ "&amp;TEXT(C25-'balance_raw_37535699'!$E$59,"+#,##0;-#,##0")&amp;" valuta pr. år - se kolonneoverskrifter"))</f>
        <v/>
      </c>
      <c r="D62" s="29">
        <f>IF('balance_raw_37535699'!$D$59="","—",IF(ABS(D25-'balance_raw_37535699'!$D$59)&lt;=1,"✓ OK","❌ "&amp;TEXT(D25-'balance_raw_37535699'!$D$59,"+#,##0;-#,##0")&amp;" valuta pr. år - se kolonneoverskrifter"))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valuta pr. år - se kolonneoverskrifter")</f>
        <v/>
      </c>
      <c r="C63" s="29">
        <f>IF(ABS(C21-C25)&lt;=1,"✓ OK","❌ "&amp;TEXT(C21-C25,"+#,##0;-#,##0")&amp;" valuta pr. år - se kolonneoverskrifter")</f>
        <v/>
      </c>
      <c r="D63" s="29">
        <f>IF(ABS(D21-D25)&lt;=1,"✓ OK","❌ "&amp;TEXT(D21-D25,"+#,##0;-#,##0")&amp;" valuta pr. år - se kolonneoverskrifter")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IF('res_raw_37535699'!$F$6="","—",IF(ABS(B9-'res_raw_37535699'!$F$6)&lt;=1,"✓ OK","❌ "&amp;TEXT(B9-'res_raw_37535699'!$F$6,"+#,##0;-#,##0")&amp;" valuta pr. år - se kolonneoverskrifter"))</f>
        <v/>
      </c>
      <c r="C64" s="29">
        <f>IF('res_raw_37535699'!$E$6="","—",IF(ABS(C9-'res_raw_37535699'!$E$6)&lt;=1,"✓ OK","❌ "&amp;TEXT(C9-'res_raw_37535699'!$E$6,"+#,##0;-#,##0")&amp;" valuta pr. år - se kolonneoverskrifter"))</f>
        <v/>
      </c>
      <c r="D64" s="29">
        <f>IF('res_raw_37535699'!$D$6="","—",IF(ABS(D9-'res_raw_37535699'!$D$6)&lt;=1,"✓ OK","❌ "&amp;TEXT(D9-'res_raw_37535699'!$D$6,"+#,##0;-#,##0")&amp;" valuta pr. år - se kolonneoverskrifter"))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IF('res_raw_37535699'!$F$11="","—",IF(ABS(B13-'res_raw_37535699'!$F$11)&lt;=1,"✓ OK","❌ "&amp;TEXT(B13-'res_raw_37535699'!$F$11,"+#,##0;-#,##0")&amp;" valuta pr. år - se kolonneoverskrifter"))</f>
        <v/>
      </c>
      <c r="C65" s="29">
        <f>IF('res_raw_37535699'!$E$11="","—",IF(ABS(C13-'res_raw_37535699'!$E$11)&lt;=1,"✓ OK","❌ "&amp;TEXT(C13-'res_raw_37535699'!$E$11,"+#,##0;-#,##0")&amp;" valuta pr. år - se kolonneoverskrifter"))</f>
        <v/>
      </c>
      <c r="D65" s="29">
        <f>IF('res_raw_37535699'!$D$11="","—",IF(ABS(D13-'res_raw_37535699'!$D$11)&lt;=1,"✓ OK","❌ "&amp;TEXT(D13-'res_raw_37535699'!$D$11,"+#,##0;-#,##0")&amp;" valuta pr. år - se kolonneoverskrifter"))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IF('res_raw_37535699'!$F$16="","—",IF(ABS(B16-'res_raw_37535699'!$F$16)&lt;=1,"✓ OK","❌ "&amp;TEXT(B16-'res_raw_37535699'!$F$16,"+#,##0;-#,##0")&amp;" valuta pr. år - se kolonneoverskrifter"))</f>
        <v/>
      </c>
      <c r="C66" s="29">
        <f>IF('res_raw_37535699'!$E$16="","—",IF(ABS(C16-'res_raw_37535699'!$E$16)&lt;=1,"✓ OK","❌ "&amp;TEXT(C16-'res_raw_37535699'!$E$16,"+#,##0;-#,##0")&amp;" valuta pr. år - se kolonneoverskrifter"))</f>
        <v/>
      </c>
      <c r="D66" s="29">
        <f>IF('res_raw_37535699'!$D$16="","—",IF(ABS(D16-'res_raw_37535699'!$D$16)&lt;=1,"✓ OK","❌ "&amp;TEXT(D16-'res_raw_37535699'!$D$16,"+#,##0;-#,##0")&amp;" valuta pr. år - se kolonneoverskrifter"))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Too Good To Go Holding ApS (CVR 37535699)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>
        <v>157097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ifrs-full:CurrentInvestments</t>
        </is>
      </c>
      <c r="C4" s="37" t="inlineStr">
        <is>
          <t>ifrs-full:CurrentInvestments</t>
        </is>
      </c>
      <c r="D4" s="38" t="n"/>
      <c r="E4" s="38" t="n"/>
      <c r="F4" s="38" t="n">
        <v>38190</v>
      </c>
      <c r="G4" s="38" t="n">
        <v>38113</v>
      </c>
      <c r="H4" s="38" t="n">
        <v>38094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ifrs-full:ReserveOfExchangeDifferencesOnTranslation</t>
        </is>
      </c>
      <c r="C5" s="34" t="inlineStr">
        <is>
          <t>ifrs-full:ReserveOfExchangeDifferencesOnTranslation</t>
        </is>
      </c>
      <c r="D5" s="35" t="n"/>
      <c r="E5" s="35" t="n">
        <v>-197</v>
      </c>
      <c r="F5" s="35" t="n">
        <v>-292</v>
      </c>
      <c r="G5" s="35" t="n">
        <v>-854</v>
      </c>
      <c r="H5" s="35" t="n">
        <v>-1979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2026-10-02T21:58:33Z</dcterms:created>
  <dcterms:modified xmlns:dcterms="http://purl.org/dc/terms/" xmlns:xsi="http://www.w3.org/2001/XMLSchema-instance" xsi:type="dcterms:W3CDTF">2026-10-02T21:58:34Z</dcterms:modified>
</cp:coreProperties>
</file>