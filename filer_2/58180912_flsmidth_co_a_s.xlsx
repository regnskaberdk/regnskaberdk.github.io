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fls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'balance_raw'!$B$6</f>
        <v/>
      </c>
      <c r="C26" s="5">
        <f>'balance_raw'!$C$6</f>
        <v/>
      </c>
      <c r="D26" s="5">
        <f>'balance_raw'!$D$6</f>
        <v/>
      </c>
      <c r="E26" s="5">
        <f>'balance_raw'!$E$6</f>
        <v/>
      </c>
      <c r="F26" s="5">
        <f>'balance_raw'!$F$6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'balance_raw'!$B$14</f>
        <v/>
      </c>
      <c r="C34" s="8">
        <f>'balance_raw'!$C$14</f>
        <v/>
      </c>
      <c r="D34" s="8">
        <f>'balance_raw'!$D$14</f>
        <v/>
      </c>
      <c r="E34" s="8">
        <f>'balance_raw'!$E$14</f>
        <v/>
      </c>
      <c r="F34" s="8">
        <f>'balance_raw'!$F$14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'balance_raw'!$B$15</f>
        <v/>
      </c>
      <c r="C35" s="8">
        <f>'balance_raw'!$C$15</f>
        <v/>
      </c>
      <c r="D35" s="8">
        <f>'balance_raw'!$D$15</f>
        <v/>
      </c>
      <c r="E35" s="8">
        <f>'balance_raw'!$E$15</f>
        <v/>
      </c>
      <c r="F35" s="8">
        <f>'balance_raw'!$F$15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'balance_raw'!$B$21</f>
        <v/>
      </c>
      <c r="C41" s="11">
        <f>'balance_raw'!$C$21</f>
        <v/>
      </c>
      <c r="D41" s="11">
        <f>'balance_raw'!$D$21</f>
        <v/>
      </c>
      <c r="E41" s="11">
        <f>'balance_raw'!$E$21</f>
        <v/>
      </c>
      <c r="F41" s="11">
        <f>'balance_raw'!$F$21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'balance_raw'!$B$22</f>
        <v/>
      </c>
      <c r="C42" s="5">
        <f>'balance_raw'!$C$22</f>
        <v/>
      </c>
      <c r="D42" s="5">
        <f>'balance_raw'!$D$22</f>
        <v/>
      </c>
      <c r="E42" s="5">
        <f>'balance_raw'!$E$22</f>
        <v/>
      </c>
      <c r="F42" s="5">
        <f>'balance_raw'!$F$22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'balance_raw'!$B$23</f>
        <v/>
      </c>
      <c r="C43" s="11">
        <f>'balance_raw'!$C$23</f>
        <v/>
      </c>
      <c r="D43" s="11">
        <f>'balance_raw'!$D$23</f>
        <v/>
      </c>
      <c r="E43" s="11">
        <f>'balance_raw'!$E$23</f>
        <v/>
      </c>
      <c r="F43" s="11">
        <f>'balance_raw'!$F$23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'balance_raw'!$B$24</f>
        <v/>
      </c>
      <c r="C44" s="5">
        <f>'balance_raw'!$C$24</f>
        <v/>
      </c>
      <c r="D44" s="5">
        <f>'balance_raw'!$D$24</f>
        <v/>
      </c>
      <c r="E44" s="5">
        <f>'balance_raw'!$E$24</f>
        <v/>
      </c>
      <c r="F44" s="5">
        <f>'balance_raw'!$F$24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'balance_raw'!$B$25</f>
        <v/>
      </c>
      <c r="C45" s="11">
        <f>'balance_raw'!$C$25</f>
        <v/>
      </c>
      <c r="D45" s="11">
        <f>'balance_raw'!$D$25</f>
        <v/>
      </c>
      <c r="E45" s="11">
        <f>'balance_raw'!$E$25</f>
        <v/>
      </c>
      <c r="F45" s="11">
        <f>'balance_raw'!$F$25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'balance_raw'!$B$26</f>
        <v/>
      </c>
      <c r="C46" s="5">
        <f>'balance_raw'!$C$26</f>
        <v/>
      </c>
      <c r="D46" s="5">
        <f>'balance_raw'!$D$26</f>
        <v/>
      </c>
      <c r="E46" s="5">
        <f>'balance_raw'!$E$26</f>
        <v/>
      </c>
      <c r="F46" s="5">
        <f>'balance_raw'!$F$26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'balance_raw'!$B$27</f>
        <v/>
      </c>
      <c r="C47" s="8">
        <f>'balance_raw'!$C$27</f>
        <v/>
      </c>
      <c r="D47" s="8">
        <f>'balance_raw'!$D$27</f>
        <v/>
      </c>
      <c r="E47" s="8">
        <f>'balance_raw'!$E$27</f>
        <v/>
      </c>
      <c r="F47" s="8">
        <f>'balance_raw'!$F$27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'balance_raw'!$B$28</f>
        <v/>
      </c>
      <c r="C48" s="5">
        <f>'balance_raw'!$C$28</f>
        <v/>
      </c>
      <c r="D48" s="5">
        <f>'balance_raw'!$D$28</f>
        <v/>
      </c>
      <c r="E48" s="5">
        <f>'balance_raw'!$E$28</f>
        <v/>
      </c>
      <c r="F48" s="5">
        <f>'balance_raw'!$F$28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'balance_raw'!$B$29</f>
        <v/>
      </c>
      <c r="C49" s="11">
        <f>'balance_raw'!$C$29</f>
        <v/>
      </c>
      <c r="D49" s="11">
        <f>'balance_raw'!$D$29</f>
        <v/>
      </c>
      <c r="E49" s="11">
        <f>'balance_raw'!$E$29</f>
        <v/>
      </c>
      <c r="F49" s="11">
        <f>'balance_raw'!$F$29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'balance_raw'!$B$30</f>
        <v/>
      </c>
      <c r="C50" s="8">
        <f>'balance_raw'!$C$30</f>
        <v/>
      </c>
      <c r="D50" s="8">
        <f>'balance_raw'!$D$30</f>
        <v/>
      </c>
      <c r="E50" s="8">
        <f>'balance_raw'!$E$30</f>
        <v/>
      </c>
      <c r="F50" s="8">
        <f>'balance_raw'!$F$30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'balance_raw'!$B$31</f>
        <v/>
      </c>
      <c r="C51" s="8">
        <f>'balance_raw'!$C$31</f>
        <v/>
      </c>
      <c r="D51" s="8">
        <f>'balance_raw'!$D$31</f>
        <v/>
      </c>
      <c r="E51" s="8">
        <f>'balance_raw'!$E$31</f>
        <v/>
      </c>
      <c r="F51" s="8">
        <f>'balance_raw'!$F$31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'balance_raw'!$B$32</f>
        <v/>
      </c>
      <c r="C54" s="5">
        <f>'balance_raw'!$C$32</f>
        <v/>
      </c>
      <c r="D54" s="5">
        <f>'balance_raw'!$D$32</f>
        <v/>
      </c>
      <c r="E54" s="5">
        <f>'balance_raw'!$E$32</f>
        <v/>
      </c>
      <c r="F54" s="5">
        <f>'balance_raw'!$F$32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'balance_raw'!$B$34</f>
        <v/>
      </c>
      <c r="C56" s="5">
        <f>'balance_raw'!$C$34</f>
        <v/>
      </c>
      <c r="D56" s="5">
        <f>'balance_raw'!$D$34</f>
        <v/>
      </c>
      <c r="E56" s="5">
        <f>'balance_raw'!$E$34</f>
        <v/>
      </c>
      <c r="F56" s="5">
        <f>'balance_raw'!$F$34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'balance_raw'!$B$38</f>
        <v/>
      </c>
      <c r="C60" s="8">
        <f>'balance_raw'!$C$38</f>
        <v/>
      </c>
      <c r="D60" s="8">
        <f>'balance_raw'!$D$38</f>
        <v/>
      </c>
      <c r="E60" s="8">
        <f>'balance_raw'!$E$38</f>
        <v/>
      </c>
      <c r="F60" s="8">
        <f>'balance_raw'!$F$38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'balance_raw'!$B$40</f>
        <v/>
      </c>
      <c r="C62" s="8">
        <f>'balance_raw'!$C$40</f>
        <v/>
      </c>
      <c r="D62" s="8">
        <f>'balance_raw'!$D$40</f>
        <v/>
      </c>
      <c r="E62" s="8">
        <f>'balance_raw'!$E$40</f>
        <v/>
      </c>
      <c r="F62" s="8">
        <f>'balance_raw'!$F$40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'balance_raw'!$B$45</f>
        <v/>
      </c>
      <c r="C67" s="8">
        <f>'balance_raw'!$C$45</f>
        <v/>
      </c>
      <c r="D67" s="8">
        <f>'balance_raw'!$D$45</f>
        <v/>
      </c>
      <c r="E67" s="8">
        <f>'balance_raw'!$E$45</f>
        <v/>
      </c>
      <c r="F67" s="8">
        <f>'balance_raw'!$F$45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'balance_raw'!$B$49</f>
        <v/>
      </c>
      <c r="C71" s="11">
        <f>'balance_raw'!$C$49</f>
        <v/>
      </c>
      <c r="D71" s="11">
        <f>'balance_raw'!$D$49</f>
        <v/>
      </c>
      <c r="E71" s="11">
        <f>'balance_raw'!$E$49</f>
        <v/>
      </c>
      <c r="F71" s="11">
        <f>'balance_raw'!$F$49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'balance_raw'!$B$50</f>
        <v/>
      </c>
      <c r="C72" s="5">
        <f>'balance_raw'!$C$50</f>
        <v/>
      </c>
      <c r="D72" s="5">
        <f>'balance_raw'!$D$50</f>
        <v/>
      </c>
      <c r="E72" s="5">
        <f>'balance_raw'!$E$50</f>
        <v/>
      </c>
      <c r="F72" s="5">
        <f>'balance_raw'!$F$50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'balance_raw'!$B$51</f>
        <v/>
      </c>
      <c r="C73" s="11">
        <f>'balance_raw'!$C$51</f>
        <v/>
      </c>
      <c r="D73" s="11">
        <f>'balance_raw'!$D$51</f>
        <v/>
      </c>
      <c r="E73" s="11">
        <f>'balance_raw'!$E$51</f>
        <v/>
      </c>
      <c r="F73" s="11">
        <f>'balance_raw'!$F$51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'balance_raw'!$B$52</f>
        <v/>
      </c>
      <c r="C74" s="5">
        <f>'balance_raw'!$C$52</f>
        <v/>
      </c>
      <c r="D74" s="5">
        <f>'balance_raw'!$D$52</f>
        <v/>
      </c>
      <c r="E74" s="5">
        <f>'balance_raw'!$E$52</f>
        <v/>
      </c>
      <c r="F74" s="5">
        <f>'balance_raw'!$F$52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'balance_raw'!$B$53</f>
        <v/>
      </c>
      <c r="C75" s="11">
        <f>'balance_raw'!$C$53</f>
        <v/>
      </c>
      <c r="D75" s="11">
        <f>'balance_raw'!$D$53</f>
        <v/>
      </c>
      <c r="E75" s="11">
        <f>'balance_raw'!$E$53</f>
        <v/>
      </c>
      <c r="F75" s="11">
        <f>'balance_raw'!$F$53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'balance_raw'!$B$54</f>
        <v/>
      </c>
      <c r="C76" s="5">
        <f>'balance_raw'!$C$54</f>
        <v/>
      </c>
      <c r="D76" s="5">
        <f>'balance_raw'!$D$54</f>
        <v/>
      </c>
      <c r="E76" s="5">
        <f>'balance_raw'!$E$54</f>
        <v/>
      </c>
      <c r="F76" s="5">
        <f>'balance_raw'!$F$54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'balance_raw'!$B$55</f>
        <v/>
      </c>
      <c r="C77" s="11">
        <f>'balance_raw'!$C$55</f>
        <v/>
      </c>
      <c r="D77" s="11">
        <f>'balance_raw'!$D$55</f>
        <v/>
      </c>
      <c r="E77" s="11">
        <f>'balance_raw'!$E$55</f>
        <v/>
      </c>
      <c r="F77" s="11">
        <f>'balance_raw'!$F$55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'balance_raw'!$B$56</f>
        <v/>
      </c>
      <c r="C78" s="5">
        <f>'balance_raw'!$C$56</f>
        <v/>
      </c>
      <c r="D78" s="5">
        <f>'balance_raw'!$D$56</f>
        <v/>
      </c>
      <c r="E78" s="5">
        <f>'balance_raw'!$E$56</f>
        <v/>
      </c>
      <c r="F78" s="5">
        <f>'balance_raw'!$F$56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'balance_raw'!$B$57</f>
        <v/>
      </c>
      <c r="C79" s="8">
        <f>'balance_raw'!$C$57</f>
        <v/>
      </c>
      <c r="D79" s="8">
        <f>'balance_raw'!$D$57</f>
        <v/>
      </c>
      <c r="E79" s="8">
        <f>'balance_raw'!$E$57</f>
        <v/>
      </c>
      <c r="F79" s="8">
        <f>'balance_raw'!$F$57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'balance_raw'!$B$58</f>
        <v/>
      </c>
      <c r="C80" s="8">
        <f>'balance_raw'!$C$58</f>
        <v/>
      </c>
      <c r="D80" s="8">
        <f>'balance_raw'!$D$58</f>
        <v/>
      </c>
      <c r="E80" s="8">
        <f>'balance_raw'!$E$58</f>
        <v/>
      </c>
      <c r="F80" s="8">
        <f>'balance_raw'!$F$58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'balance_raw'!$B$59</f>
        <v/>
      </c>
      <c r="C81" s="8">
        <f>'balance_raw'!$C$59</f>
        <v/>
      </c>
      <c r="D81" s="8">
        <f>'balance_raw'!$D$59</f>
        <v/>
      </c>
      <c r="E81" s="8">
        <f>'balance_raw'!$E$59</f>
        <v/>
      </c>
      <c r="F81" s="8">
        <f>'balance_raw'!$F$59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'res_raw'!$B$18</f>
        <v/>
      </c>
      <c r="C84" s="5">
        <f>'res_raw'!$C$18</f>
        <v/>
      </c>
      <c r="D84" s="5">
        <f>'res_raw'!$D$18</f>
        <v/>
      </c>
      <c r="E84" s="5">
        <f>'res_raw'!$E$18</f>
        <v/>
      </c>
      <c r="F84" s="5">
        <f>'res_raw'!$F$18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'res_raw'!$B$19</f>
        <v/>
      </c>
      <c r="C85" s="11">
        <f>'res_raw'!$C$19</f>
        <v/>
      </c>
      <c r="D85" s="11">
        <f>'res_raw'!$D$19</f>
        <v/>
      </c>
      <c r="E85" s="11">
        <f>'res_raw'!$E$19</f>
        <v/>
      </c>
      <c r="F85" s="11">
        <f>'res_raw'!$F$19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'pengestrom_raw'!$B$2</f>
        <v/>
      </c>
      <c r="C101" s="17">
        <f>'pengestrom_raw'!$C$2</f>
        <v/>
      </c>
      <c r="D101" s="17">
        <f>'pengestrom_raw'!$D$2</f>
        <v/>
      </c>
      <c r="E101" s="17">
        <f>'pengestrom_raw'!$E$2</f>
        <v/>
      </c>
      <c r="F101" s="17">
        <f>'pengestrom_raw'!$F$2</f>
        <v/>
      </c>
    </row>
    <row r="102">
      <c r="A102" s="16" t="inlineStr">
        <is>
          <t>Pengestrømme fra investeringsaktivitet</t>
        </is>
      </c>
      <c r="B102" s="17">
        <f>'pengestrom_raw'!$B$3</f>
        <v/>
      </c>
      <c r="C102" s="17">
        <f>'pengestrom_raw'!$C$3</f>
        <v/>
      </c>
      <c r="D102" s="17">
        <f>'pengestrom_raw'!$D$3</f>
        <v/>
      </c>
      <c r="E102" s="17">
        <f>'pengestrom_raw'!$E$3</f>
        <v/>
      </c>
      <c r="F102" s="17">
        <f>'pengestrom_raw'!$F$3</f>
        <v/>
      </c>
    </row>
    <row r="103">
      <c r="A103" s="16" t="inlineStr">
        <is>
          <t>Pengestrømme fra finansieringsaktivitet</t>
        </is>
      </c>
      <c r="B103" s="17">
        <f>'pengestrom_raw'!$B$4</f>
        <v/>
      </c>
      <c r="C103" s="17">
        <f>'pengestrom_raw'!$C$4</f>
        <v/>
      </c>
      <c r="D103" s="17">
        <f>'pengestrom_raw'!$D$4</f>
        <v/>
      </c>
      <c r="E103" s="17">
        <f>'pengestrom_raw'!$E$4</f>
        <v/>
      </c>
      <c r="F103" s="17">
        <f>'pengestrom_raw'!$F$4</f>
        <v/>
      </c>
    </row>
    <row r="104">
      <c r="A104" s="16" t="inlineStr">
        <is>
          <t>Årets pengestrøm (rapporteret)</t>
        </is>
      </c>
      <c r="B104" s="17">
        <f>'pengestrom_raw'!$B$5</f>
        <v/>
      </c>
      <c r="C104" s="17">
        <f>'pengestrom_raw'!$C$5</f>
        <v/>
      </c>
      <c r="D104" s="17">
        <f>'pengestrom_raw'!$D$5</f>
        <v/>
      </c>
      <c r="E104" s="17">
        <f>'pengestrom_raw'!$E$5</f>
        <v/>
      </c>
      <c r="F104" s="17">
        <f>'pengestrom_raw'!$F$5</f>
        <v/>
      </c>
    </row>
    <row r="105">
      <c r="A105" s="16" t="inlineStr">
        <is>
          <t>Krydstjek: drift + inv. + fin. = årets pengestrøm</t>
        </is>
      </c>
      <c r="B105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5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5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5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5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fls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17581000</v>
      </c>
      <c r="C2" s="17" t="n">
        <v>21849000</v>
      </c>
      <c r="D2" s="17" t="n">
        <v>24106000</v>
      </c>
      <c r="E2" s="17" t="n">
        <v>20187000</v>
      </c>
      <c r="F2" s="17" t="n">
        <v>14612000</v>
      </c>
    </row>
    <row r="3">
      <c r="A3" s="16" t="inlineStr">
        <is>
          <t>Produktionsomkostninger</t>
        </is>
      </c>
      <c r="B3" s="17" t="n">
        <v>13401000</v>
      </c>
      <c r="C3" s="17" t="n">
        <v>16773000</v>
      </c>
      <c r="D3" s="17" t="n">
        <v>18146000</v>
      </c>
      <c r="E3" s="17" t="n">
        <v>13722000</v>
      </c>
      <c r="F3" s="17" t="n">
        <v>9502000</v>
      </c>
    </row>
    <row r="4">
      <c r="A4" s="15" t="inlineStr">
        <is>
          <t>Bruttoresultat</t>
        </is>
      </c>
      <c r="B4" s="17" t="n">
        <v>4180000</v>
      </c>
      <c r="C4" s="17" t="n">
        <v>5076000</v>
      </c>
      <c r="D4" s="17" t="n">
        <v>5960000</v>
      </c>
      <c r="E4" s="17" t="n">
        <v>6465000</v>
      </c>
      <c r="F4" s="17" t="n">
        <v>5110000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1314000</v>
      </c>
      <c r="C6" s="17" t="n">
        <v>1704000</v>
      </c>
      <c r="D6" s="17" t="n">
        <v>1679000</v>
      </c>
      <c r="E6" s="17" t="n">
        <v>1696000</v>
      </c>
      <c r="F6" s="17" t="n">
        <v>1252000</v>
      </c>
    </row>
    <row r="7">
      <c r="A7" s="16" t="inlineStr">
        <is>
          <t>Administrationsomkostninger</t>
        </is>
      </c>
      <c r="B7" s="17" t="n">
        <v>1506000</v>
      </c>
      <c r="C7" s="17" t="n">
        <v>2170000</v>
      </c>
      <c r="D7" s="17" t="n">
        <v>2646000</v>
      </c>
      <c r="E7" s="17" t="n">
        <v>2543000</v>
      </c>
      <c r="F7" s="17" t="n">
        <v>1549000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668000</v>
      </c>
      <c r="C10" s="17" t="n">
        <v>619000</v>
      </c>
      <c r="D10" s="17" t="n">
        <v>1200000</v>
      </c>
      <c r="E10" s="17" t="n">
        <v>1738000</v>
      </c>
      <c r="F10" s="17" t="n">
        <v>2054000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870000</v>
      </c>
      <c r="C12" s="17" t="n">
        <v>1588000</v>
      </c>
      <c r="D12" s="17" t="n">
        <v>1371000</v>
      </c>
      <c r="E12" s="17" t="n">
        <v>950000</v>
      </c>
      <c r="F12" s="17" t="n">
        <v>1011000</v>
      </c>
    </row>
    <row r="13">
      <c r="A13" s="16" t="inlineStr">
        <is>
          <t>Finansielle omkostninger</t>
        </is>
      </c>
      <c r="B13" s="17" t="n">
        <v>951000</v>
      </c>
      <c r="C13" s="17" t="n">
        <v>1655000</v>
      </c>
      <c r="D13" s="17" t="n">
        <v>1517000</v>
      </c>
      <c r="E13" s="17" t="n">
        <v>1130000</v>
      </c>
      <c r="F13" s="17" t="n">
        <v>1094000</v>
      </c>
    </row>
    <row r="14">
      <c r="A14" s="15" t="inlineStr">
        <is>
          <t>Finansielle poster, netto</t>
        </is>
      </c>
      <c r="B14" s="17" t="n">
        <v>-81000</v>
      </c>
      <c r="C14" s="17" t="n">
        <v>-67000</v>
      </c>
      <c r="D14" s="17" t="n">
        <v>-146000</v>
      </c>
      <c r="E14" s="17" t="n">
        <v>-180000</v>
      </c>
      <c r="F14" s="17" t="n">
        <v>-83000</v>
      </c>
    </row>
    <row r="15">
      <c r="A15" s="15" t="inlineStr">
        <is>
          <t>Resultat før skat</t>
        </is>
      </c>
      <c r="B15" s="17" t="n">
        <v>587000</v>
      </c>
      <c r="C15" s="17" t="n">
        <v>552000</v>
      </c>
      <c r="D15" s="17" t="n">
        <v>1054000</v>
      </c>
      <c r="E15" s="17" t="n">
        <v>1558000</v>
      </c>
      <c r="F15" s="17" t="n">
        <v>1971000</v>
      </c>
    </row>
    <row r="16">
      <c r="A16" s="16" t="inlineStr">
        <is>
          <t>Skat af årets resultat</t>
        </is>
      </c>
      <c r="B16" s="17" t="n">
        <v>213000</v>
      </c>
      <c r="C16" s="17" t="n">
        <v>201000</v>
      </c>
      <c r="D16" s="17" t="n">
        <v>382000</v>
      </c>
      <c r="E16" s="17" t="n">
        <v>528000</v>
      </c>
      <c r="F16" s="17" t="n">
        <v>1257000</v>
      </c>
    </row>
    <row r="17">
      <c r="A17" s="15" t="inlineStr">
        <is>
          <t>Årets resultat</t>
        </is>
      </c>
      <c r="B17" s="17" t="n">
        <v>374000</v>
      </c>
      <c r="C17" s="17" t="n">
        <v>351000</v>
      </c>
      <c r="D17" s="17" t="n">
        <v>672000</v>
      </c>
      <c r="E17" s="17" t="n">
        <v>1030000</v>
      </c>
      <c r="F17" s="17" t="n">
        <v>714000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116000</v>
      </c>
      <c r="C19" s="17" t="n">
        <v>88000</v>
      </c>
      <c r="D19" s="17" t="n">
        <v>176000</v>
      </c>
      <c r="E19" s="17" t="n">
        <v>384000</v>
      </c>
      <c r="F19" s="17" t="n">
        <v>392000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fls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233000</v>
      </c>
      <c r="C2" s="17" t="n">
        <v>204000</v>
      </c>
      <c r="D2" s="17" t="n">
        <v>174000</v>
      </c>
      <c r="E2" s="17" t="n">
        <v>241000</v>
      </c>
      <c r="F2" s="17" t="n">
        <v>373000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4364000</v>
      </c>
      <c r="C4" s="17" t="n">
        <v>6433000</v>
      </c>
      <c r="D4" s="17" t="n">
        <v>6448000</v>
      </c>
      <c r="E4" s="17" t="n">
        <v>6559000</v>
      </c>
      <c r="F4" s="17" t="n">
        <v>6293000</v>
      </c>
    </row>
    <row r="5">
      <c r="A5" s="15" t="inlineStr">
        <is>
          <t>Immaterielle anlægsaktiver</t>
        </is>
      </c>
      <c r="B5" s="17" t="n">
        <v>6257000</v>
      </c>
      <c r="C5" s="17" t="n">
        <v>8365000</v>
      </c>
      <c r="D5" s="17" t="n">
        <v>8437000</v>
      </c>
      <c r="E5" s="17" t="n">
        <v>8626000</v>
      </c>
      <c r="F5" s="17" t="n">
        <v>7827000</v>
      </c>
    </row>
    <row r="6">
      <c r="A6" s="16" t="inlineStr">
        <is>
          <t>Grunde og bygninger</t>
        </is>
      </c>
      <c r="B6" s="17" t="n">
        <v>1792000</v>
      </c>
      <c r="C6" s="17" t="n">
        <v>1983000</v>
      </c>
      <c r="D6" s="17" t="n">
        <v>1777000</v>
      </c>
      <c r="E6" s="17" t="n">
        <v>1654000</v>
      </c>
      <c r="F6" s="17" t="n">
        <v>1538000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112000</v>
      </c>
      <c r="C8" s="17" t="n">
        <v>131000</v>
      </c>
      <c r="D8" s="17" t="n">
        <v>117000</v>
      </c>
      <c r="E8" s="17" t="n">
        <v>108000</v>
      </c>
      <c r="F8" s="17" t="n">
        <v>108000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21000</v>
      </c>
      <c r="C10" s="17" t="n">
        <v>40000</v>
      </c>
      <c r="D10" s="17" t="n">
        <v>104000</v>
      </c>
      <c r="E10" s="17" t="n">
        <v>352000</v>
      </c>
      <c r="F10" s="17" t="n">
        <v>299000</v>
      </c>
    </row>
    <row r="11">
      <c r="A11" s="15" t="inlineStr">
        <is>
          <t>Materielle anlægsaktiver</t>
        </is>
      </c>
      <c r="B11" s="17" t="n">
        <v>2308000</v>
      </c>
      <c r="C11" s="17" t="n">
        <v>2647000</v>
      </c>
      <c r="D11" s="17" t="n">
        <v>2389000</v>
      </c>
      <c r="E11" s="17" t="n">
        <v>2471000</v>
      </c>
      <c r="F11" s="17" t="n">
        <v>2319000</v>
      </c>
    </row>
    <row r="12">
      <c r="A12" s="16" t="inlineStr">
        <is>
          <t>Kapitalandele, dattervirksomheder</t>
        </is>
      </c>
      <c r="B12" s="17" t="n">
        <v>162000</v>
      </c>
      <c r="C12" s="17" t="n">
        <v>157000</v>
      </c>
      <c r="D12" s="17" t="n">
        <v>81000</v>
      </c>
      <c r="E12" s="17" t="n">
        <v>36000</v>
      </c>
      <c r="F12" s="17" t="n">
        <v>35000</v>
      </c>
    </row>
    <row r="13">
      <c r="A13" s="16" t="inlineStr">
        <is>
          <t>Deposita</t>
        </is>
      </c>
      <c r="B13" s="17" t="n">
        <v>49000</v>
      </c>
      <c r="C13" s="17" t="n">
        <v>59000</v>
      </c>
      <c r="D13" s="17" t="n">
        <v>56000</v>
      </c>
      <c r="E13" s="17" t="n">
        <v>56000</v>
      </c>
      <c r="F13" s="17" t="n">
        <v>60000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10266000</v>
      </c>
      <c r="C15" s="17" t="n">
        <v>13149000</v>
      </c>
      <c r="D15" s="17" t="n">
        <v>13277000</v>
      </c>
      <c r="E15" s="17" t="n">
        <v>13547000</v>
      </c>
      <c r="F15" s="17" t="n">
        <v>11506000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>
        <v>2358000</v>
      </c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2464000</v>
      </c>
      <c r="C19" s="17" t="n">
        <v>3971000</v>
      </c>
      <c r="D19" s="17" t="n">
        <v>3450000</v>
      </c>
      <c r="E19" s="17" t="n">
        <v>3572000</v>
      </c>
      <c r="F19" s="17" t="n">
        <v>3435000</v>
      </c>
    </row>
    <row r="20">
      <c r="A20" s="16" t="inlineStr">
        <is>
          <t>Tilgodehavender fra salg og tjenesteydelser</t>
        </is>
      </c>
      <c r="B20" s="17" t="n">
        <v>4112000</v>
      </c>
      <c r="C20" s="17" t="n">
        <v>5108000</v>
      </c>
      <c r="D20" s="17" t="n">
        <v>4516000</v>
      </c>
      <c r="E20" s="17" t="n">
        <v>4073000</v>
      </c>
      <c r="F20" s="17" t="n">
        <v>3102000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1903000</v>
      </c>
      <c r="C22" s="17" t="n">
        <v>2193000</v>
      </c>
      <c r="D22" s="17" t="n">
        <v>1595000</v>
      </c>
      <c r="E22" s="17" t="n">
        <v>1480000</v>
      </c>
      <c r="F22" s="17" t="n"/>
    </row>
    <row r="23">
      <c r="A23" s="16" t="inlineStr">
        <is>
          <t>Periodeafgrænsningsposter (aktiver)</t>
        </is>
      </c>
      <c r="B23" s="17" t="n">
        <v>871000</v>
      </c>
      <c r="C23" s="17" t="n">
        <v>874000</v>
      </c>
      <c r="D23" s="17" t="n">
        <v>423000</v>
      </c>
      <c r="E23" s="17" t="n">
        <v>351000</v>
      </c>
      <c r="F23" s="17" t="n">
        <v>433000</v>
      </c>
    </row>
    <row r="24">
      <c r="A24" s="16" t="inlineStr">
        <is>
          <t>Udskudt skatteaktiv</t>
        </is>
      </c>
      <c r="B24" s="17" t="n">
        <v>1490000</v>
      </c>
      <c r="C24" s="17" t="n">
        <v>1921000</v>
      </c>
      <c r="D24" s="17" t="n">
        <v>2314000</v>
      </c>
      <c r="E24" s="17" t="n">
        <v>2358000</v>
      </c>
      <c r="F24" s="17" t="n">
        <v>1265000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248000</v>
      </c>
      <c r="C26" s="17" t="n">
        <v>321000</v>
      </c>
      <c r="D26" s="17" t="n">
        <v>229000</v>
      </c>
      <c r="E26" s="17" t="n">
        <v>423000</v>
      </c>
      <c r="F26" s="17" t="n">
        <v>224000</v>
      </c>
    </row>
    <row r="27">
      <c r="A27" s="15" t="inlineStr">
        <is>
          <t>Tilgodehavender</t>
        </is>
      </c>
      <c r="B27" s="17" t="n">
        <v>799000</v>
      </c>
      <c r="C27" s="17" t="n">
        <v>1145000</v>
      </c>
      <c r="D27" s="17" t="n">
        <v>995000</v>
      </c>
      <c r="E27" s="17" t="n">
        <v>890000</v>
      </c>
      <c r="F27" s="17" t="n">
        <v>873000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1935000</v>
      </c>
      <c r="C29" s="17" t="n">
        <v>2130000</v>
      </c>
      <c r="D29" s="17" t="n">
        <v>1352000</v>
      </c>
      <c r="E29" s="17" t="n">
        <v>1070000</v>
      </c>
      <c r="F29" s="17" t="n">
        <v>594000</v>
      </c>
    </row>
    <row r="30">
      <c r="A30" s="15" t="inlineStr">
        <is>
          <t>Omsætningsaktiver</t>
        </is>
      </c>
      <c r="B30" s="17" t="n">
        <v>12787000</v>
      </c>
      <c r="C30" s="17" t="n">
        <v>16696000</v>
      </c>
      <c r="D30" s="17" t="n">
        <v>13734000</v>
      </c>
      <c r="E30" s="17" t="n">
        <v>13388000</v>
      </c>
      <c r="F30" s="17" t="n">
        <v>10534000</v>
      </c>
    </row>
    <row r="31">
      <c r="A31" s="15" t="inlineStr">
        <is>
          <t>Aktiver</t>
        </is>
      </c>
      <c r="B31" s="17" t="n">
        <v>23053000</v>
      </c>
      <c r="C31" s="17" t="n">
        <v>29845000</v>
      </c>
      <c r="D31" s="17" t="n">
        <v>27011000</v>
      </c>
      <c r="E31" s="17" t="n">
        <v>26935000</v>
      </c>
      <c r="F31" s="17" t="n">
        <v>22088000</v>
      </c>
    </row>
    <row r="32">
      <c r="A32" s="16" t="inlineStr">
        <is>
          <t>Selskabskapital</t>
        </is>
      </c>
      <c r="B32" s="17" t="n">
        <v>1153000</v>
      </c>
      <c r="C32" s="17" t="n">
        <v>1153000</v>
      </c>
      <c r="D32" s="17" t="n">
        <v>1153000</v>
      </c>
      <c r="E32" s="17" t="n">
        <v>1153000</v>
      </c>
      <c r="F32" s="17" t="n">
        <v>1153000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-54000</v>
      </c>
      <c r="C36" s="17" t="n">
        <v>-70000</v>
      </c>
      <c r="D36" s="17" t="n">
        <v>-32000</v>
      </c>
      <c r="E36" s="17" t="n">
        <v>-28000</v>
      </c>
      <c r="F36" s="17" t="n">
        <v>-38000</v>
      </c>
    </row>
    <row r="37">
      <c r="A37" s="16" t="inlineStr">
        <is>
          <t>Overført resultat</t>
        </is>
      </c>
      <c r="B37" s="17" t="n">
        <v>9937000</v>
      </c>
      <c r="C37" s="17" t="n">
        <v>10247000</v>
      </c>
      <c r="D37" s="17" t="n">
        <v>10615000</v>
      </c>
      <c r="E37" s="17" t="n">
        <v>11459000</v>
      </c>
      <c r="F37" s="17" t="n">
        <v>10018000</v>
      </c>
    </row>
    <row r="38">
      <c r="A38" s="15" t="inlineStr">
        <is>
          <t>Egenkapital i alt</t>
        </is>
      </c>
      <c r="B38" s="17" t="n">
        <v>10368000</v>
      </c>
      <c r="C38" s="17" t="n">
        <v>10787000</v>
      </c>
      <c r="D38" s="17" t="n">
        <v>10828000</v>
      </c>
      <c r="E38" s="17" t="n">
        <v>11781000</v>
      </c>
      <c r="F38" s="17" t="n">
        <v>9500000</v>
      </c>
    </row>
    <row r="39">
      <c r="A39" s="16" t="inlineStr">
        <is>
          <t>Hensættelse til udskudt skat</t>
        </is>
      </c>
      <c r="B39" s="17" t="n">
        <v>169000</v>
      </c>
      <c r="C39" s="17" t="n">
        <v>294000</v>
      </c>
      <c r="D39" s="17" t="n">
        <v>207000</v>
      </c>
      <c r="E39" s="17" t="n">
        <v>220000</v>
      </c>
      <c r="F39" s="17" t="n">
        <v>149000</v>
      </c>
    </row>
    <row r="40">
      <c r="A40" s="15" t="inlineStr">
        <is>
          <t>Hensatte forpligtelser</t>
        </is>
      </c>
      <c r="B40" s="17" t="n">
        <v>320000</v>
      </c>
      <c r="C40" s="17" t="n">
        <v>414000</v>
      </c>
      <c r="D40" s="17" t="n">
        <v>363000</v>
      </c>
      <c r="E40" s="17" t="n">
        <v>322000</v>
      </c>
      <c r="F40" s="17" t="n">
        <v>305000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200000</v>
      </c>
      <c r="C43" s="17" t="n">
        <v>206000</v>
      </c>
      <c r="D43" s="17" t="n">
        <v>132000</v>
      </c>
      <c r="E43" s="17" t="n">
        <v>133000</v>
      </c>
      <c r="F43" s="17" t="n">
        <v>184000</v>
      </c>
    </row>
    <row r="44">
      <c r="A44" s="16" t="inlineStr">
        <is>
          <t>Anden gæld (langfristet)</t>
        </is>
      </c>
      <c r="B44" s="17" t="n">
        <v>55000</v>
      </c>
      <c r="C44" s="17" t="n">
        <v>85000</v>
      </c>
      <c r="D44" s="17" t="n">
        <v>53000</v>
      </c>
      <c r="E44" s="17" t="n">
        <v>48000</v>
      </c>
      <c r="F44" s="17" t="n">
        <v>35000</v>
      </c>
    </row>
    <row r="45">
      <c r="A45" s="15" t="inlineStr">
        <is>
          <t>Langfristede gældsforpligtelser</t>
        </is>
      </c>
      <c r="B45" s="17" t="n">
        <v>726000</v>
      </c>
      <c r="C45" s="17" t="n">
        <v>1929000</v>
      </c>
      <c r="D45" s="17" t="n">
        <v>1633000</v>
      </c>
      <c r="E45" s="17" t="n">
        <v>1508000</v>
      </c>
      <c r="F45" s="17" t="n">
        <v>2208000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17000</v>
      </c>
      <c r="C48" s="17" t="n">
        <v>615000</v>
      </c>
      <c r="D48" s="17" t="n">
        <v>54000</v>
      </c>
      <c r="E48" s="17" t="n">
        <v>47000</v>
      </c>
      <c r="F48" s="17" t="n">
        <v>113000</v>
      </c>
    </row>
    <row r="49">
      <c r="A49" s="16" t="inlineStr">
        <is>
          <t>Leasingforpligtelser (kortfristet)</t>
        </is>
      </c>
      <c r="B49" s="17" t="n">
        <v>104000</v>
      </c>
      <c r="C49" s="17" t="n">
        <v>117000</v>
      </c>
      <c r="D49" s="17" t="n">
        <v>101000</v>
      </c>
      <c r="E49" s="17" t="n">
        <v>85000</v>
      </c>
      <c r="F49" s="17" t="n">
        <v>66000</v>
      </c>
    </row>
    <row r="50">
      <c r="A50" s="16" t="inlineStr">
        <is>
          <t>Leverandører af varer og tjenesteydelser</t>
        </is>
      </c>
      <c r="B50" s="17" t="n">
        <v>3367000</v>
      </c>
      <c r="C50" s="17" t="n">
        <v>4339000</v>
      </c>
      <c r="D50" s="17" t="n">
        <v>4024000</v>
      </c>
      <c r="E50" s="17" t="n">
        <v>3538000</v>
      </c>
      <c r="F50" s="17" t="n">
        <v>2585000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1403000</v>
      </c>
      <c r="C55" s="17" t="n">
        <v>1738000</v>
      </c>
      <c r="D55" s="17" t="n">
        <v>1974000</v>
      </c>
      <c r="E55" s="17" t="n">
        <v>1988000</v>
      </c>
      <c r="F55" s="17" t="n">
        <v>1709000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10059000</v>
      </c>
      <c r="C57" s="17" t="n">
        <v>14553000</v>
      </c>
      <c r="D57" s="17" t="n">
        <v>12687000</v>
      </c>
      <c r="E57" s="17" t="n">
        <v>11795000</v>
      </c>
      <c r="F57" s="17" t="n"/>
    </row>
    <row r="58">
      <c r="A58" s="15" t="inlineStr">
        <is>
          <t>Gældsforpligtelser</t>
        </is>
      </c>
      <c r="B58" s="17" t="n">
        <v>12685000</v>
      </c>
      <c r="C58" s="17" t="n">
        <v>19058000</v>
      </c>
      <c r="D58" s="17" t="n">
        <v>16183000</v>
      </c>
      <c r="E58" s="17" t="n">
        <v>15154000</v>
      </c>
      <c r="F58" s="17" t="n">
        <v>12588000</v>
      </c>
    </row>
    <row r="59">
      <c r="A59" s="15" t="inlineStr">
        <is>
          <t>Passiver</t>
        </is>
      </c>
      <c r="B59" s="17" t="n">
        <v>23053000</v>
      </c>
      <c r="C59" s="17" t="n">
        <v>29845000</v>
      </c>
      <c r="D59" s="17" t="n">
        <v>27011000</v>
      </c>
      <c r="E59" s="17" t="n">
        <v>26935000</v>
      </c>
      <c r="F59" s="17" t="n">
        <v>22088000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fls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1449000</v>
      </c>
      <c r="C2" s="17" t="n">
        <v>968000</v>
      </c>
      <c r="D2" s="17" t="n">
        <v>623000</v>
      </c>
      <c r="E2" s="17" t="n">
        <v>640000</v>
      </c>
      <c r="F2" s="17" t="n">
        <v>996000</v>
      </c>
    </row>
    <row r="3">
      <c r="A3" s="16" t="inlineStr">
        <is>
          <t>Pengestrømme fra investeringsaktivitet</t>
        </is>
      </c>
      <c r="B3" s="17" t="n">
        <v>-273000</v>
      </c>
      <c r="C3" s="17" t="n">
        <v>-2310000</v>
      </c>
      <c r="D3" s="17" t="n">
        <v>-257000</v>
      </c>
      <c r="E3" s="17" t="n">
        <v>-508000</v>
      </c>
      <c r="F3" s="17" t="n">
        <v>-517000</v>
      </c>
    </row>
    <row r="4">
      <c r="A4" s="16" t="inlineStr">
        <is>
          <t>Pengestrømme fra finansieringsaktivitet</t>
        </is>
      </c>
      <c r="B4" s="17" t="n">
        <v>-276000</v>
      </c>
      <c r="C4" s="17" t="n">
        <v>1596000</v>
      </c>
      <c r="D4" s="17" t="n">
        <v>-1066000</v>
      </c>
      <c r="E4" s="17" t="n">
        <v>-413000</v>
      </c>
      <c r="F4" s="17" t="n">
        <v>-899000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fls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IF('balance_raw'!$F$31="","—",IF(ABS(B21-'balance_raw'!$F$31)&lt;=1,"✓ OK","❌ "&amp;TEXT(B21-'balance_raw'!$F$31,"+#,##0;-#,##0")&amp;" t.kr."))</f>
        <v/>
      </c>
      <c r="C62" s="31">
        <f>IF('balance_raw'!$E$31="","—",IF(ABS(C21-'balance_raw'!$E$31)&lt;=1,"✓ OK","❌ "&amp;TEXT(C21-'balance_raw'!$E$31,"+#,##0;-#,##0")&amp;" t.kr."))</f>
        <v/>
      </c>
      <c r="D62" s="31">
        <f>IF('balance_raw'!$D$31="","—",IF(ABS(D21-'balance_raw'!$D$31)&lt;=1,"✓ OK","❌ "&amp;TEXT(D21-'balance_raw'!$D$31,"+#,##0;-#,##0")&amp;"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IF('balance_raw'!$F$59="","—",IF(ABS(B25-'balance_raw'!$F$59)&lt;=1,"✓ OK","❌ "&amp;TEXT(B25-'balance_raw'!$F$59,"+#,##0;-#,##0")&amp;" t.kr."))</f>
        <v/>
      </c>
      <c r="C63" s="31">
        <f>IF('balance_raw'!$E$59="","—",IF(ABS(C25-'balance_raw'!$E$59)&lt;=1,"✓ OK","❌ "&amp;TEXT(C25-'balance_raw'!$E$59,"+#,##0;-#,##0")&amp;" t.kr."))</f>
        <v/>
      </c>
      <c r="D63" s="31">
        <f>IF('balance_raw'!$D$59="","—",IF(ABS(D25-'balance_raw'!$D$59)&lt;=1,"✓ OK","❌ "&amp;TEXT(D25-'balance_raw'!$D$59,"+#,##0;-#,##0")&amp;"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fls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ifrs-full:AccrualsAndDeferredIncomeIncludingContractLiabilities</t>
        </is>
      </c>
      <c r="C3" s="36" t="inlineStr">
        <is>
          <t>ifrs-full:AccrualsAndDeferredIncomeIncludingContractLiabilities</t>
        </is>
      </c>
      <c r="D3" s="37" t="n"/>
      <c r="E3" s="37" t="n">
        <v>3592000</v>
      </c>
      <c r="F3" s="37" t="n">
        <v>3025000</v>
      </c>
      <c r="G3" s="37" t="n">
        <v>2791000</v>
      </c>
      <c r="H3" s="37" t="n">
        <v>2046000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ifrs-full:AccruedIncomeIncludingContractAssets</t>
        </is>
      </c>
      <c r="C4" s="39" t="inlineStr">
        <is>
          <t>ifrs-full:AccruedIncomeIncludingContractAssets</t>
        </is>
      </c>
      <c r="D4" s="40" t="n"/>
      <c r="E4" s="40" t="n">
        <v>3147000</v>
      </c>
      <c r="F4" s="40" t="n">
        <v>2769000</v>
      </c>
      <c r="G4" s="40" t="n">
        <v>3009000</v>
      </c>
      <c r="H4" s="40" t="n">
        <v>1873000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ifrs-full:CopyrightsPatentsAndOtherIndustrialPropertyRightsServiceAndOperatingRights</t>
        </is>
      </c>
      <c r="C5" s="36" t="inlineStr">
        <is>
          <t>ifrs-full:CopyrightsPatentsAndOtherIndustrialPropertyRightsServiceAndOperatingRights</t>
        </is>
      </c>
      <c r="D5" s="37" t="n">
        <v>784000</v>
      </c>
      <c r="E5" s="37" t="n">
        <v>766000</v>
      </c>
      <c r="F5" s="37" t="n">
        <v>688000</v>
      </c>
      <c r="G5" s="37" t="n">
        <v>623000</v>
      </c>
      <c r="H5" s="37" t="n">
        <v>432000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ifrs-full:CurrentContractLiabilitiesForPerformanceObligationsSatisfiedOverTime</t>
        </is>
      </c>
      <c r="C6" s="39" t="inlineStr">
        <is>
          <t>ifrs-full:CurrentContractLiabilitiesForPerformanceObligationsSatisfiedOverTime</t>
        </is>
      </c>
      <c r="D6" s="40" t="n"/>
      <c r="E6" s="40" t="n"/>
      <c r="F6" s="40" t="n"/>
      <c r="G6" s="40" t="n"/>
      <c r="H6" s="40" t="n">
        <v>781000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ifrs-full:CurrentRecognisedLiabilitiesDefinedBenefitPlan</t>
        </is>
      </c>
      <c r="C7" s="36" t="inlineStr">
        <is>
          <t>ifrs-full:CurrentRecognisedLiabilitiesDefinedBenefitPlan</t>
        </is>
      </c>
      <c r="D7" s="37" t="n">
        <v>2000</v>
      </c>
      <c r="E7" s="37" t="n">
        <v>2000</v>
      </c>
      <c r="F7" s="37" t="n">
        <v>2000</v>
      </c>
      <c r="G7" s="37" t="n">
        <v>3000</v>
      </c>
      <c r="H7" s="37" t="n">
        <v>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ifrs-full:Machinery</t>
        </is>
      </c>
      <c r="C8" s="39" t="inlineStr">
        <is>
          <t>ifrs-full:Machinery</t>
        </is>
      </c>
      <c r="D8" s="40" t="n">
        <v>383000</v>
      </c>
      <c r="E8" s="40" t="n">
        <v>493000</v>
      </c>
      <c r="F8" s="40" t="n">
        <v>391000</v>
      </c>
      <c r="G8" s="40" t="n">
        <v>357000</v>
      </c>
      <c r="H8" s="40" t="n">
        <v>374000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ifrs-full:NoncurrentAdvances</t>
        </is>
      </c>
      <c r="C9" s="36" t="inlineStr">
        <is>
          <t>ifrs-full:NoncurrentAdvances</t>
        </is>
      </c>
      <c r="D9" s="37" t="n">
        <v>587000</v>
      </c>
      <c r="E9" s="37" t="n">
        <v>578000</v>
      </c>
      <c r="F9" s="37" t="n">
        <v>338000</v>
      </c>
      <c r="G9" s="37" t="n">
        <v>303000</v>
      </c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ifrs-full:NoncurrentContractLiabilitiesForPerformanceObligationsSatisfiedOverTime</t>
        </is>
      </c>
      <c r="C10" s="39" t="inlineStr">
        <is>
          <t>ifrs-full:NoncurrentContractLiabilitiesForPerformanceObligationsSatisfiedOverTime</t>
        </is>
      </c>
      <c r="D10" s="40" t="n"/>
      <c r="E10" s="40" t="n"/>
      <c r="F10" s="40" t="n"/>
      <c r="G10" s="40" t="n"/>
      <c r="H10" s="40" t="n">
        <v>316000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ifrs-full:PaymentsFromChangesInOwnershipInterestsInSubsidiaries</t>
        </is>
      </c>
      <c r="C11" s="36" t="inlineStr">
        <is>
          <t>ifrs-full:PaymentsFromChangesInOwnershipInterestsInSubsidiaries</t>
        </is>
      </c>
      <c r="D11" s="37" t="n"/>
      <c r="E11" s="37" t="n"/>
      <c r="F11" s="37" t="n">
        <v>13000</v>
      </c>
      <c r="G11" s="37" t="n">
        <v>0</v>
      </c>
      <c r="H11" s="37" t="n"/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ifrs-full:ProceedsFromExerciseOfOptions</t>
        </is>
      </c>
      <c r="C12" s="39" t="inlineStr">
        <is>
          <t>ifrs-full:ProceedsFromExerciseOfOptions</t>
        </is>
      </c>
      <c r="D12" s="40" t="n">
        <v>43000</v>
      </c>
      <c r="E12" s="40" t="n">
        <v>0</v>
      </c>
      <c r="F12" s="40" t="n"/>
      <c r="G12" s="40" t="n"/>
      <c r="H12" s="40" t="n"/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ifrs-full:ReclassificationAdjustmentsOnExchangeDifferencesOnTranslationBeforeTax</t>
        </is>
      </c>
      <c r="C13" s="36" t="inlineStr">
        <is>
          <t>ifrs-full:ReclassificationAdjustmentsOnExchangeDifferencesOnTranslationBeforeTax</t>
        </is>
      </c>
      <c r="D13" s="37" t="n"/>
      <c r="E13" s="37" t="n"/>
      <c r="F13" s="37" t="n">
        <v>0</v>
      </c>
      <c r="G13" s="37" t="n">
        <v>18000</v>
      </c>
      <c r="H13" s="37" t="n">
        <v>7000</v>
      </c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ifrs-full:ReserveOfExchangeDifferencesOnTranslation</t>
        </is>
      </c>
      <c r="C14" s="39" t="inlineStr">
        <is>
          <t>ifrs-full:ReserveOfExchangeDifferencesOnTranslation</t>
        </is>
      </c>
      <c r="D14" s="40" t="n">
        <v>-665000</v>
      </c>
      <c r="E14" s="40" t="n">
        <v>-517000</v>
      </c>
      <c r="F14" s="40" t="n">
        <v>-879000</v>
      </c>
      <c r="G14" s="40" t="n">
        <v>-783000</v>
      </c>
      <c r="H14" s="40" t="n">
        <v>-1621000</v>
      </c>
      <c r="I14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2026-10-02T21:56:26Z</dcterms:created>
  <dcterms:modified xmlns:dcterms="http://purl.org/dc/terms/" xmlns:xsi="http://www.w3.org/2001/XMLSchema-instance" xsi:type="dcterms:W3CDTF">2026-10-02T21:56:27Z</dcterms:modified>
</cp:coreProperties>
</file>