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10290511" sheetId="1" state="visible" r:id="rId1"/>
    <sheet xmlns:r="http://schemas.openxmlformats.org/officeDocument/2006/relationships" name="res_raw_10290511" sheetId="2" state="visible" r:id="rId2"/>
    <sheet xmlns:r="http://schemas.openxmlformats.org/officeDocument/2006/relationships" name="balance_raw_10290511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3" fillId="0" borderId="3" pivotButton="0" quotePrefix="0" xfId="0"/>
    <xf numFmtId="3" fontId="3" fillId="0" borderId="3" applyAlignment="1" pivotButton="0" quotePrefix="0" xfId="0">
      <alignment horizontal="right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Linde Gas A/S (CVR 10290511)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'res_raw_10290511'!$B$2</f>
        <v/>
      </c>
      <c r="C4" s="5">
        <f>'res_raw_10290511'!$C$2</f>
        <v/>
      </c>
      <c r="D4" s="5">
        <f>'res_raw_10290511'!$D$2</f>
        <v/>
      </c>
      <c r="E4" s="5">
        <f>'res_raw_10290511'!$E$2</f>
        <v/>
      </c>
      <c r="F4" s="5">
        <f>'res_raw_10290511'!$F$2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'res_raw_10290511'!$B$3</f>
        <v/>
      </c>
      <c r="C5" s="8">
        <f>'res_raw_10290511'!$C$3</f>
        <v/>
      </c>
      <c r="D5" s="8">
        <f>'res_raw_10290511'!$D$3</f>
        <v/>
      </c>
      <c r="E5" s="8">
        <f>'res_raw_10290511'!$E$3</f>
        <v/>
      </c>
      <c r="F5" s="8">
        <f>'res_raw_10290511'!$F$3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'res_raw_10290511'!$B$4</f>
        <v/>
      </c>
      <c r="C6" s="8">
        <f>'res_raw_10290511'!$C$4</f>
        <v/>
      </c>
      <c r="D6" s="8">
        <f>'res_raw_10290511'!$D$4</f>
        <v/>
      </c>
      <c r="E6" s="8">
        <f>'res_raw_10290511'!$E$4</f>
        <v/>
      </c>
      <c r="F6" s="8">
        <f>'res_raw_10290511'!$F$4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10" t="inlineStr">
        <is>
          <t>Udviklingsomkostninger</t>
        </is>
      </c>
      <c r="B7" s="11">
        <f>'res_raw_10290511'!$B$5</f>
        <v/>
      </c>
      <c r="C7" s="11">
        <f>'res_raw_10290511'!$C$5</f>
        <v/>
      </c>
      <c r="D7" s="11">
        <f>'res_raw_10290511'!$D$5</f>
        <v/>
      </c>
      <c r="E7" s="11">
        <f>'res_raw_10290511'!$E$5</f>
        <v/>
      </c>
      <c r="F7" s="11">
        <f>'res_raw_10290511'!$F$5</f>
        <v/>
      </c>
      <c r="G7" t="inlineStr"/>
      <c r="H7" s="12">
        <f>IFERROR(B7/$B$7*100,"")</f>
        <v/>
      </c>
      <c r="I7" s="12">
        <f>IFERROR(C7/$B$7*100,"")</f>
        <v/>
      </c>
      <c r="J7" s="12">
        <f>IFERROR(D7/$B$7*100,"")</f>
        <v/>
      </c>
      <c r="K7" s="12">
        <f>IFERROR(E7/$B$7*100,"")</f>
        <v/>
      </c>
      <c r="L7" s="12">
        <f>IFERROR(F7/$B$7*100,"")</f>
        <v/>
      </c>
    </row>
    <row r="8" ht="16" customHeight="1">
      <c r="A8" s="7" t="inlineStr">
        <is>
          <t>Salgs- og distributionsomkostninger</t>
        </is>
      </c>
      <c r="B8" s="8">
        <f>'res_raw_10290511'!$B$6</f>
        <v/>
      </c>
      <c r="C8" s="8">
        <f>'res_raw_10290511'!$C$6</f>
        <v/>
      </c>
      <c r="D8" s="8">
        <f>'res_raw_10290511'!$D$6</f>
        <v/>
      </c>
      <c r="E8" s="8">
        <f>'res_raw_10290511'!$E$6</f>
        <v/>
      </c>
      <c r="F8" s="8">
        <f>'res_raw_10290511'!$F$6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7" t="inlineStr">
        <is>
          <t>Administrationsomkostninger</t>
        </is>
      </c>
      <c r="B9" s="8">
        <f>'res_raw_10290511'!$B$7</f>
        <v/>
      </c>
      <c r="C9" s="8">
        <f>'res_raw_10290511'!$C$7</f>
        <v/>
      </c>
      <c r="D9" s="8">
        <f>'res_raw_10290511'!$D$7</f>
        <v/>
      </c>
      <c r="E9" s="8">
        <f>'res_raw_10290511'!$E$7</f>
        <v/>
      </c>
      <c r="F9" s="8">
        <f>'res_raw_10290511'!$F$7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4" t="inlineStr">
        <is>
          <t>Andre driftsindtægter</t>
        </is>
      </c>
      <c r="B10" s="5">
        <f>'res_raw_10290511'!$B$8</f>
        <v/>
      </c>
      <c r="C10" s="5">
        <f>'res_raw_10290511'!$C$8</f>
        <v/>
      </c>
      <c r="D10" s="5">
        <f>'res_raw_10290511'!$D$8</f>
        <v/>
      </c>
      <c r="E10" s="5">
        <f>'res_raw_10290511'!$E$8</f>
        <v/>
      </c>
      <c r="F10" s="5">
        <f>'res_raw_10290511'!$F$8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10" t="inlineStr">
        <is>
          <t>Andre driftsomkostninger</t>
        </is>
      </c>
      <c r="B11" s="11">
        <f>'res_raw_10290511'!$B$9</f>
        <v/>
      </c>
      <c r="C11" s="11">
        <f>'res_raw_10290511'!$C$9</f>
        <v/>
      </c>
      <c r="D11" s="11">
        <f>'res_raw_10290511'!$D$9</f>
        <v/>
      </c>
      <c r="E11" s="11">
        <f>'res_raw_10290511'!$E$9</f>
        <v/>
      </c>
      <c r="F11" s="11">
        <f>'res_raw_10290511'!$F$9</f>
        <v/>
      </c>
      <c r="G11" t="inlineStr"/>
      <c r="H11" s="12">
        <f>IFERROR(B11/$B$11*100,"")</f>
        <v/>
      </c>
      <c r="I11" s="12">
        <f>IFERROR(C11/$B$11*100,"")</f>
        <v/>
      </c>
      <c r="J11" s="12">
        <f>IFERROR(D11/$B$11*100,"")</f>
        <v/>
      </c>
      <c r="K11" s="12">
        <f>IFERROR(E11/$B$11*100,"")</f>
        <v/>
      </c>
      <c r="L11" s="12">
        <f>IFERROR(F11/$B$11*100,"")</f>
        <v/>
      </c>
    </row>
    <row r="12" ht="16" customHeight="1">
      <c r="A12" s="7" t="inlineStr">
        <is>
          <t>Resultat af primær drift</t>
        </is>
      </c>
      <c r="B12" s="8">
        <f>'res_raw_10290511'!$B$10</f>
        <v/>
      </c>
      <c r="C12" s="8">
        <f>'res_raw_10290511'!$C$10</f>
        <v/>
      </c>
      <c r="D12" s="8">
        <f>'res_raw_10290511'!$D$10</f>
        <v/>
      </c>
      <c r="E12" s="8">
        <f>'res_raw_10290511'!$E$10</f>
        <v/>
      </c>
      <c r="F12" s="8">
        <f>'res_raw_10290511'!$F$10</f>
        <v/>
      </c>
      <c r="G12" t="inlineStr"/>
      <c r="H12" s="9">
        <f>IFERROR(B12/$B$12*100,"")</f>
        <v/>
      </c>
      <c r="I12" s="9">
        <f>IFERROR(C12/$B$12*100,"")</f>
        <v/>
      </c>
      <c r="J12" s="9">
        <f>IFERROR(D12/$B$12*100,"")</f>
        <v/>
      </c>
      <c r="K12" s="9">
        <f>IFERROR(E12/$B$12*100,"")</f>
        <v/>
      </c>
      <c r="L12" s="9">
        <f>IFERROR(F12/$B$12*100,"")</f>
        <v/>
      </c>
    </row>
    <row r="13" ht="16" customHeight="1">
      <c r="A13" s="10" t="inlineStr">
        <is>
          <t>Indtægter af kapitalandele, dattervirksomheder</t>
        </is>
      </c>
      <c r="B13" s="11">
        <f>'res_raw_10290511'!$B$11</f>
        <v/>
      </c>
      <c r="C13" s="11">
        <f>'res_raw_10290511'!$C$11</f>
        <v/>
      </c>
      <c r="D13" s="11">
        <f>'res_raw_10290511'!$D$11</f>
        <v/>
      </c>
      <c r="E13" s="11">
        <f>'res_raw_10290511'!$E$11</f>
        <v/>
      </c>
      <c r="F13" s="11">
        <f>'res_raw_10290511'!$F$11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indtægter</t>
        </is>
      </c>
      <c r="B14" s="5">
        <f>'res_raw_10290511'!$B$12</f>
        <v/>
      </c>
      <c r="C14" s="5">
        <f>'res_raw_10290511'!$C$12</f>
        <v/>
      </c>
      <c r="D14" s="5">
        <f>'res_raw_10290511'!$D$12</f>
        <v/>
      </c>
      <c r="E14" s="5">
        <f>'res_raw_10290511'!$E$12</f>
        <v/>
      </c>
      <c r="F14" s="5">
        <f>'res_raw_10290511'!$F$12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10" t="inlineStr">
        <is>
          <t>Finansielle omkostninger</t>
        </is>
      </c>
      <c r="B15" s="11">
        <f>'res_raw_10290511'!$B$13</f>
        <v/>
      </c>
      <c r="C15" s="11">
        <f>'res_raw_10290511'!$C$13</f>
        <v/>
      </c>
      <c r="D15" s="11">
        <f>'res_raw_10290511'!$D$13</f>
        <v/>
      </c>
      <c r="E15" s="11">
        <f>'res_raw_10290511'!$E$13</f>
        <v/>
      </c>
      <c r="F15" s="11">
        <f>'res_raw_10290511'!$F$13</f>
        <v/>
      </c>
      <c r="G15" t="inlineStr"/>
      <c r="H15" s="12">
        <f>IFERROR(B15/$B$15*100,"")</f>
        <v/>
      </c>
      <c r="I15" s="12">
        <f>IFERROR(C15/$B$15*100,"")</f>
        <v/>
      </c>
      <c r="J15" s="12">
        <f>IFERROR(D15/$B$15*100,"")</f>
        <v/>
      </c>
      <c r="K15" s="12">
        <f>IFERROR(E15/$B$15*100,"")</f>
        <v/>
      </c>
      <c r="L15" s="12">
        <f>IFERROR(F15/$B$15*100,"")</f>
        <v/>
      </c>
    </row>
    <row r="16" ht="16" customHeight="1">
      <c r="A16" s="7" t="inlineStr">
        <is>
          <t>Finansielle poster, netto</t>
        </is>
      </c>
      <c r="B16" s="8">
        <f>'res_raw_10290511'!$B$14</f>
        <v/>
      </c>
      <c r="C16" s="8">
        <f>'res_raw_10290511'!$C$14</f>
        <v/>
      </c>
      <c r="D16" s="8">
        <f>'res_raw_10290511'!$D$14</f>
        <v/>
      </c>
      <c r="E16" s="8">
        <f>'res_raw_10290511'!$E$14</f>
        <v/>
      </c>
      <c r="F16" s="8">
        <f>'res_raw_10290511'!$F$14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7" t="inlineStr">
        <is>
          <t>Resultat før skat</t>
        </is>
      </c>
      <c r="B17" s="8">
        <f>'res_raw_10290511'!$B$15</f>
        <v/>
      </c>
      <c r="C17" s="8">
        <f>'res_raw_10290511'!$C$15</f>
        <v/>
      </c>
      <c r="D17" s="8">
        <f>'res_raw_10290511'!$D$15</f>
        <v/>
      </c>
      <c r="E17" s="8">
        <f>'res_raw_10290511'!$E$15</f>
        <v/>
      </c>
      <c r="F17" s="8">
        <f>'res_raw_10290511'!$F$15</f>
        <v/>
      </c>
      <c r="G17" t="inlineStr"/>
      <c r="H17" s="9">
        <f>IFERROR(B17/$B$17*100,"")</f>
        <v/>
      </c>
      <c r="I17" s="9">
        <f>IFERROR(C17/$B$17*100,"")</f>
        <v/>
      </c>
      <c r="J17" s="9">
        <f>IFERROR(D17/$B$17*100,"")</f>
        <v/>
      </c>
      <c r="K17" s="9">
        <f>IFERROR(E17/$B$17*100,"")</f>
        <v/>
      </c>
      <c r="L17" s="9">
        <f>IFERROR(F17/$B$17*100,"")</f>
        <v/>
      </c>
    </row>
    <row r="18" ht="16" customHeight="1">
      <c r="A18" s="4" t="inlineStr">
        <is>
          <t>Skat af årets resultat</t>
        </is>
      </c>
      <c r="B18" s="5">
        <f>'res_raw_10290511'!$B$16</f>
        <v/>
      </c>
      <c r="C18" s="5">
        <f>'res_raw_10290511'!$C$16</f>
        <v/>
      </c>
      <c r="D18" s="5">
        <f>'res_raw_10290511'!$D$16</f>
        <v/>
      </c>
      <c r="E18" s="5">
        <f>'res_raw_10290511'!$E$16</f>
        <v/>
      </c>
      <c r="F18" s="5">
        <f>'res_raw_10290511'!$F$16</f>
        <v/>
      </c>
      <c r="G18" t="inlineStr"/>
      <c r="H18" s="6">
        <f>IFERROR(B18/$B$18*100,"")</f>
        <v/>
      </c>
      <c r="I18" s="6">
        <f>IFERROR(C18/$B$18*100,"")</f>
        <v/>
      </c>
      <c r="J18" s="6">
        <f>IFERROR(D18/$B$18*100,"")</f>
        <v/>
      </c>
      <c r="K18" s="6">
        <f>IFERROR(E18/$B$18*100,"")</f>
        <v/>
      </c>
      <c r="L18" s="6">
        <f>IFERROR(F18/$B$18*100,"")</f>
        <v/>
      </c>
    </row>
    <row r="19" ht="16" customHeight="1">
      <c r="A19" s="7" t="inlineStr">
        <is>
          <t>Årets resultat</t>
        </is>
      </c>
      <c r="B19" s="8">
        <f>'res_raw_10290511'!$B$17</f>
        <v/>
      </c>
      <c r="C19" s="8">
        <f>'res_raw_10290511'!$C$17</f>
        <v/>
      </c>
      <c r="D19" s="8">
        <f>'res_raw_10290511'!$D$17</f>
        <v/>
      </c>
      <c r="E19" s="8">
        <f>'res_raw_10290511'!$E$17</f>
        <v/>
      </c>
      <c r="F19" s="8">
        <f>'res_raw_10290511'!$F$17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1" ht="22" customHeight="1">
      <c r="A21" s="3" t="inlineStr">
        <is>
          <t>AKTIVER t.kr.</t>
        </is>
      </c>
      <c r="B21" s="3" t="n">
        <v>2021</v>
      </c>
      <c r="C21" s="3" t="n">
        <v>2022</v>
      </c>
      <c r="D21" s="3" t="n">
        <v>2023</v>
      </c>
      <c r="E21" s="3" t="n">
        <v>2024</v>
      </c>
      <c r="F21" s="3" t="n">
        <v>2025</v>
      </c>
      <c r="G21" t="inlineStr"/>
      <c r="H21" s="3" t="n">
        <v>2021</v>
      </c>
      <c r="I21" s="3" t="n">
        <v>2022</v>
      </c>
      <c r="J21" s="3" t="n">
        <v>2023</v>
      </c>
      <c r="K21" s="3" t="n">
        <v>2024</v>
      </c>
      <c r="L21" s="3" t="n">
        <v>2025</v>
      </c>
    </row>
    <row r="22" ht="16" customHeight="1">
      <c r="A22" s="4" t="inlineStr">
        <is>
          <t>Grunde og bygninger</t>
        </is>
      </c>
      <c r="B22" s="5">
        <f>'balance_raw_10290511'!$B$2</f>
        <v/>
      </c>
      <c r="C22" s="5">
        <f>'balance_raw_10290511'!$C$2</f>
        <v/>
      </c>
      <c r="D22" s="5">
        <f>'balance_raw_10290511'!$D$2</f>
        <v/>
      </c>
      <c r="E22" s="5">
        <f>'balance_raw_10290511'!$E$2</f>
        <v/>
      </c>
      <c r="F22" s="5">
        <f>'balance_raw_10290511'!$F$2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Produktionsanlæg og maskiner</t>
        </is>
      </c>
      <c r="B23" s="11">
        <f>'balance_raw_10290511'!$B$3</f>
        <v/>
      </c>
      <c r="C23" s="11">
        <f>'balance_raw_10290511'!$C$3</f>
        <v/>
      </c>
      <c r="D23" s="11">
        <f>'balance_raw_10290511'!$D$3</f>
        <v/>
      </c>
      <c r="E23" s="11">
        <f>'balance_raw_10290511'!$E$3</f>
        <v/>
      </c>
      <c r="F23" s="11">
        <f>'balance_raw_10290511'!$F$3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4" t="inlineStr">
        <is>
          <t>Driftsmateriel og inventar</t>
        </is>
      </c>
      <c r="B24" s="5">
        <f>'balance_raw_10290511'!$B$4</f>
        <v/>
      </c>
      <c r="C24" s="5">
        <f>'balance_raw_10290511'!$C$4</f>
        <v/>
      </c>
      <c r="D24" s="5">
        <f>'balance_raw_10290511'!$D$4</f>
        <v/>
      </c>
      <c r="E24" s="5">
        <f>'balance_raw_10290511'!$E$4</f>
        <v/>
      </c>
      <c r="F24" s="5">
        <f>'balance_raw_10290511'!$F$4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10" t="inlineStr">
        <is>
          <t>Indretning af lejede lokaler</t>
        </is>
      </c>
      <c r="B25" s="11">
        <f>'balance_raw_10290511'!$B$5</f>
        <v/>
      </c>
      <c r="C25" s="11">
        <f>'balance_raw_10290511'!$C$5</f>
        <v/>
      </c>
      <c r="D25" s="11">
        <f>'balance_raw_10290511'!$D$5</f>
        <v/>
      </c>
      <c r="E25" s="11">
        <f>'balance_raw_10290511'!$E$5</f>
        <v/>
      </c>
      <c r="F25" s="11">
        <f>'balance_raw_10290511'!$F$5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Forudbetaling og anlægsaktiver under opførelse</t>
        </is>
      </c>
      <c r="B26" s="5">
        <f>'balance_raw_10290511'!$B$6</f>
        <v/>
      </c>
      <c r="C26" s="5">
        <f>'balance_raw_10290511'!$C$6</f>
        <v/>
      </c>
      <c r="D26" s="5">
        <f>'balance_raw_10290511'!$D$6</f>
        <v/>
      </c>
      <c r="E26" s="5">
        <f>'balance_raw_10290511'!$E$6</f>
        <v/>
      </c>
      <c r="F26" s="5">
        <f>'balance_raw_10290511'!$F$6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Materielle anlægsaktiver</t>
        </is>
      </c>
      <c r="B27" s="8">
        <f>'balance_raw_10290511'!$B$7</f>
        <v/>
      </c>
      <c r="C27" s="8">
        <f>'balance_raw_10290511'!$C$7</f>
        <v/>
      </c>
      <c r="D27" s="8">
        <f>'balance_raw_10290511'!$D$7</f>
        <v/>
      </c>
      <c r="E27" s="8">
        <f>'balance_raw_10290511'!$E$7</f>
        <v/>
      </c>
      <c r="F27" s="8">
        <f>'balance_raw_10290511'!$F$7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Kapitalandele, dattervirksomheder</t>
        </is>
      </c>
      <c r="B28" s="5">
        <f>'balance_raw_10290511'!$B$8</f>
        <v/>
      </c>
      <c r="C28" s="5">
        <f>'balance_raw_10290511'!$C$8</f>
        <v/>
      </c>
      <c r="D28" s="5">
        <f>'balance_raw_10290511'!$D$8</f>
        <v/>
      </c>
      <c r="E28" s="5">
        <f>'balance_raw_10290511'!$E$8</f>
        <v/>
      </c>
      <c r="F28" s="5">
        <f>'balance_raw_10290511'!$F$8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Deposita</t>
        </is>
      </c>
      <c r="B29" s="11">
        <f>'balance_raw_10290511'!$B$9</f>
        <v/>
      </c>
      <c r="C29" s="11">
        <f>'balance_raw_10290511'!$C$9</f>
        <v/>
      </c>
      <c r="D29" s="11">
        <f>'balance_raw_10290511'!$D$9</f>
        <v/>
      </c>
      <c r="E29" s="11">
        <f>'balance_raw_10290511'!$E$9</f>
        <v/>
      </c>
      <c r="F29" s="11">
        <f>'balance_raw_10290511'!$F$9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Finansielle anlægsaktiver</t>
        </is>
      </c>
      <c r="B30" s="8">
        <f>'balance_raw_10290511'!$B$10</f>
        <v/>
      </c>
      <c r="C30" s="8">
        <f>'balance_raw_10290511'!$C$10</f>
        <v/>
      </c>
      <c r="D30" s="8">
        <f>'balance_raw_10290511'!$D$10</f>
        <v/>
      </c>
      <c r="E30" s="8">
        <f>'balance_raw_10290511'!$E$10</f>
        <v/>
      </c>
      <c r="F30" s="8">
        <f>'balance_raw_10290511'!$F$10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7" t="inlineStr">
        <is>
          <t>Anlægsaktiver</t>
        </is>
      </c>
      <c r="B31" s="8">
        <f>'balance_raw_10290511'!$B$11</f>
        <v/>
      </c>
      <c r="C31" s="8">
        <f>'balance_raw_10290511'!$C$11</f>
        <v/>
      </c>
      <c r="D31" s="8">
        <f>'balance_raw_10290511'!$D$11</f>
        <v/>
      </c>
      <c r="E31" s="8">
        <f>'balance_raw_10290511'!$E$11</f>
        <v/>
      </c>
      <c r="F31" s="8">
        <f>'balance_raw_10290511'!$F$11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4" t="inlineStr">
        <is>
          <t>Råvarer og hjælpematerialer</t>
        </is>
      </c>
      <c r="B32" s="5">
        <f>'balance_raw_10290511'!$B$12</f>
        <v/>
      </c>
      <c r="C32" s="5">
        <f>'balance_raw_10290511'!$C$12</f>
        <v/>
      </c>
      <c r="D32" s="5">
        <f>'balance_raw_10290511'!$D$12</f>
        <v/>
      </c>
      <c r="E32" s="5">
        <f>'balance_raw_10290511'!$E$12</f>
        <v/>
      </c>
      <c r="F32" s="5">
        <f>'balance_raw_10290511'!$F$12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10" t="inlineStr">
        <is>
          <t>Varer under fremstilling</t>
        </is>
      </c>
      <c r="B33" s="11">
        <f>'balance_raw_10290511'!$B$13</f>
        <v/>
      </c>
      <c r="C33" s="11">
        <f>'balance_raw_10290511'!$C$13</f>
        <v/>
      </c>
      <c r="D33" s="11">
        <f>'balance_raw_10290511'!$D$13</f>
        <v/>
      </c>
      <c r="E33" s="11">
        <f>'balance_raw_10290511'!$E$13</f>
        <v/>
      </c>
      <c r="F33" s="11">
        <f>'balance_raw_10290511'!$F$13</f>
        <v/>
      </c>
      <c r="G33" t="inlineStr"/>
      <c r="H33" s="12">
        <f>IFERROR(B33/$B$33*100,"")</f>
        <v/>
      </c>
      <c r="I33" s="12">
        <f>IFERROR(C33/$B$33*100,"")</f>
        <v/>
      </c>
      <c r="J33" s="12">
        <f>IFERROR(D33/$B$33*100,"")</f>
        <v/>
      </c>
      <c r="K33" s="12">
        <f>IFERROR(E33/$B$33*100,"")</f>
        <v/>
      </c>
      <c r="L33" s="12">
        <f>IFERROR(F33/$B$33*100,"")</f>
        <v/>
      </c>
    </row>
    <row r="34" ht="16" customHeight="1">
      <c r="A34" s="4" t="inlineStr">
        <is>
          <t>Færdigvarer og handelsvarer</t>
        </is>
      </c>
      <c r="B34" s="5">
        <f>'balance_raw_10290511'!$B$14</f>
        <v/>
      </c>
      <c r="C34" s="5">
        <f>'balance_raw_10290511'!$C$14</f>
        <v/>
      </c>
      <c r="D34" s="5">
        <f>'balance_raw_10290511'!$D$14</f>
        <v/>
      </c>
      <c r="E34" s="5">
        <f>'balance_raw_10290511'!$E$14</f>
        <v/>
      </c>
      <c r="F34" s="5">
        <f>'balance_raw_10290511'!$F$14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Varebeholdninger</t>
        </is>
      </c>
      <c r="B35" s="8">
        <f>'balance_raw_10290511'!$B$15</f>
        <v/>
      </c>
      <c r="C35" s="8">
        <f>'balance_raw_10290511'!$C$15</f>
        <v/>
      </c>
      <c r="D35" s="8">
        <f>'balance_raw_10290511'!$D$15</f>
        <v/>
      </c>
      <c r="E35" s="8">
        <f>'balance_raw_10290511'!$E$15</f>
        <v/>
      </c>
      <c r="F35" s="8">
        <f>'balance_raw_10290511'!$F$15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4" t="inlineStr">
        <is>
          <t>Tilgodehavender fra salg og tjenesteydelser</t>
        </is>
      </c>
      <c r="B36" s="5">
        <f>'balance_raw_10290511'!$B$16</f>
        <v/>
      </c>
      <c r="C36" s="5">
        <f>'balance_raw_10290511'!$C$16</f>
        <v/>
      </c>
      <c r="D36" s="5">
        <f>'balance_raw_10290511'!$D$16</f>
        <v/>
      </c>
      <c r="E36" s="5">
        <f>'balance_raw_10290511'!$E$16</f>
        <v/>
      </c>
      <c r="F36" s="5">
        <f>'balance_raw_10290511'!$F$16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Tilgodehavender hos tilknyttede virksomheder</t>
        </is>
      </c>
      <c r="B37" s="11">
        <f>'balance_raw_10290511'!$B$17</f>
        <v/>
      </c>
      <c r="C37" s="11">
        <f>'balance_raw_10290511'!$C$17</f>
        <v/>
      </c>
      <c r="D37" s="11">
        <f>'balance_raw_10290511'!$D$17</f>
        <v/>
      </c>
      <c r="E37" s="11">
        <f>'balance_raw_10290511'!$E$17</f>
        <v/>
      </c>
      <c r="F37" s="11">
        <f>'balance_raw_10290511'!$F$17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Andre tilgodehavender</t>
        </is>
      </c>
      <c r="B38" s="5">
        <f>'balance_raw_10290511'!$B$18</f>
        <v/>
      </c>
      <c r="C38" s="5">
        <f>'balance_raw_10290511'!$C$18</f>
        <v/>
      </c>
      <c r="D38" s="5">
        <f>'balance_raw_10290511'!$D$18</f>
        <v/>
      </c>
      <c r="E38" s="5">
        <f>'balance_raw_10290511'!$E$18</f>
        <v/>
      </c>
      <c r="F38" s="5">
        <f>'balance_raw_10290511'!$F$18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Periodeafgrænsningsposter (aktiver)</t>
        </is>
      </c>
      <c r="B39" s="11">
        <f>'balance_raw_10290511'!$B$19</f>
        <v/>
      </c>
      <c r="C39" s="11">
        <f>'balance_raw_10290511'!$C$19</f>
        <v/>
      </c>
      <c r="D39" s="11">
        <f>'balance_raw_10290511'!$D$19</f>
        <v/>
      </c>
      <c r="E39" s="11">
        <f>'balance_raw_10290511'!$E$19</f>
        <v/>
      </c>
      <c r="F39" s="11">
        <f>'balance_raw_10290511'!$F$19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Udskudt skatteaktiv</t>
        </is>
      </c>
      <c r="B40" s="5">
        <f>'balance_raw_10290511'!$B$20</f>
        <v/>
      </c>
      <c r="C40" s="5">
        <f>'balance_raw_10290511'!$C$20</f>
        <v/>
      </c>
      <c r="D40" s="5">
        <f>'balance_raw_10290511'!$D$20</f>
        <v/>
      </c>
      <c r="E40" s="5">
        <f>'balance_raw_10290511'!$E$20</f>
        <v/>
      </c>
      <c r="F40" s="5">
        <f>'balance_raw_10290511'!$F$20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Tilgodehavende skat hos tilknyttede virksomheder</t>
        </is>
      </c>
      <c r="B41" s="11">
        <f>'balance_raw_10290511'!$B$21</f>
        <v/>
      </c>
      <c r="C41" s="11">
        <f>'balance_raw_10290511'!$C$21</f>
        <v/>
      </c>
      <c r="D41" s="11">
        <f>'balance_raw_10290511'!$D$21</f>
        <v/>
      </c>
      <c r="E41" s="11">
        <f>'balance_raw_10290511'!$E$21</f>
        <v/>
      </c>
      <c r="F41" s="11">
        <f>'balance_raw_10290511'!$F$21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Kortfristede skattetilgodehavender</t>
        </is>
      </c>
      <c r="B42" s="5">
        <f>'balance_raw_10290511'!$B$22</f>
        <v/>
      </c>
      <c r="C42" s="5">
        <f>'balance_raw_10290511'!$C$22</f>
        <v/>
      </c>
      <c r="D42" s="5">
        <f>'balance_raw_10290511'!$D$22</f>
        <v/>
      </c>
      <c r="E42" s="5">
        <f>'balance_raw_10290511'!$E$22</f>
        <v/>
      </c>
      <c r="F42" s="5">
        <f>'balance_raw_10290511'!$F$22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Tilgodehavender</t>
        </is>
      </c>
      <c r="B43" s="8">
        <f>'balance_raw_10290511'!$B$23</f>
        <v/>
      </c>
      <c r="C43" s="8">
        <f>'balance_raw_10290511'!$C$23</f>
        <v/>
      </c>
      <c r="D43" s="8">
        <f>'balance_raw_10290511'!$D$23</f>
        <v/>
      </c>
      <c r="E43" s="8">
        <f>'balance_raw_10290511'!$E$23</f>
        <v/>
      </c>
      <c r="F43" s="8">
        <f>'balance_raw_10290511'!$F$23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Værdipapirer</t>
        </is>
      </c>
      <c r="B44" s="5">
        <f>'balance_raw_10290511'!$B$24</f>
        <v/>
      </c>
      <c r="C44" s="5">
        <f>'balance_raw_10290511'!$C$24</f>
        <v/>
      </c>
      <c r="D44" s="5">
        <f>'balance_raw_10290511'!$D$24</f>
        <v/>
      </c>
      <c r="E44" s="5">
        <f>'balance_raw_10290511'!$E$24</f>
        <v/>
      </c>
      <c r="F44" s="5">
        <f>'balance_raw_10290511'!$F$24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Likvide beholdninger</t>
        </is>
      </c>
      <c r="B45" s="11">
        <f>'balance_raw_10290511'!$B$25</f>
        <v/>
      </c>
      <c r="C45" s="11">
        <f>'balance_raw_10290511'!$C$25</f>
        <v/>
      </c>
      <c r="D45" s="11">
        <f>'balance_raw_10290511'!$D$25</f>
        <v/>
      </c>
      <c r="E45" s="11">
        <f>'balance_raw_10290511'!$E$25</f>
        <v/>
      </c>
      <c r="F45" s="11">
        <f>'balance_raw_10290511'!$F$25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Omsætningsaktiver</t>
        </is>
      </c>
      <c r="B46" s="8">
        <f>'balance_raw_10290511'!$B$26</f>
        <v/>
      </c>
      <c r="C46" s="8">
        <f>'balance_raw_10290511'!$C$26</f>
        <v/>
      </c>
      <c r="D46" s="8">
        <f>'balance_raw_10290511'!$D$26</f>
        <v/>
      </c>
      <c r="E46" s="8">
        <f>'balance_raw_10290511'!$E$26</f>
        <v/>
      </c>
      <c r="F46" s="8">
        <f>'balance_raw_10290511'!$F$26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7" t="inlineStr">
        <is>
          <t>Aktiver</t>
        </is>
      </c>
      <c r="B47" s="8">
        <f>'balance_raw_10290511'!$B$27</f>
        <v/>
      </c>
      <c r="C47" s="8">
        <f>'balance_raw_10290511'!$C$27</f>
        <v/>
      </c>
      <c r="D47" s="8">
        <f>'balance_raw_10290511'!$D$27</f>
        <v/>
      </c>
      <c r="E47" s="8">
        <f>'balance_raw_10290511'!$E$27</f>
        <v/>
      </c>
      <c r="F47" s="8">
        <f>'balance_raw_10290511'!$F$27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9" ht="22" customHeight="1">
      <c r="A49" s="3" t="inlineStr">
        <is>
          <t>PASSIVER t.kr.</t>
        </is>
      </c>
      <c r="B49" s="3" t="n">
        <v>2021</v>
      </c>
      <c r="C49" s="3" t="n">
        <v>2022</v>
      </c>
      <c r="D49" s="3" t="n">
        <v>2023</v>
      </c>
      <c r="E49" s="3" t="n">
        <v>2024</v>
      </c>
      <c r="F49" s="3" t="n">
        <v>2025</v>
      </c>
      <c r="G49" t="inlineStr"/>
      <c r="H49" s="3" t="n">
        <v>2021</v>
      </c>
      <c r="I49" s="3" t="n">
        <v>2022</v>
      </c>
      <c r="J49" s="3" t="n">
        <v>2023</v>
      </c>
      <c r="K49" s="3" t="n">
        <v>2024</v>
      </c>
      <c r="L49" s="3" t="n">
        <v>2025</v>
      </c>
    </row>
    <row r="50" ht="16" customHeight="1">
      <c r="A50" s="4" t="inlineStr">
        <is>
          <t>Selskabskapital</t>
        </is>
      </c>
      <c r="B50" s="5">
        <f>'balance_raw_10290511'!$B$28</f>
        <v/>
      </c>
      <c r="C50" s="5">
        <f>'balance_raw_10290511'!$C$28</f>
        <v/>
      </c>
      <c r="D50" s="5">
        <f>'balance_raw_10290511'!$D$28</f>
        <v/>
      </c>
      <c r="E50" s="5">
        <f>'balance_raw_10290511'!$E$28</f>
        <v/>
      </c>
      <c r="F50" s="5">
        <f>'balance_raw_10290511'!$F$28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nettoopskrivning (indre værdis metode)</t>
        </is>
      </c>
      <c r="B51" s="11">
        <f>'balance_raw_10290511'!$B$29</f>
        <v/>
      </c>
      <c r="C51" s="11">
        <f>'balance_raw_10290511'!$C$29</f>
        <v/>
      </c>
      <c r="D51" s="11">
        <f>'balance_raw_10290511'!$D$29</f>
        <v/>
      </c>
      <c r="E51" s="11">
        <f>'balance_raw_10290511'!$E$29</f>
        <v/>
      </c>
      <c r="F51" s="11">
        <f>'balance_raw_10290511'!$F$29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Reserve for udviklingsomkostninger</t>
        </is>
      </c>
      <c r="B52" s="5">
        <f>'balance_raw_10290511'!$B$30</f>
        <v/>
      </c>
      <c r="C52" s="5">
        <f>'balance_raw_10290511'!$C$30</f>
        <v/>
      </c>
      <c r="D52" s="5">
        <f>'balance_raw_10290511'!$D$30</f>
        <v/>
      </c>
      <c r="E52" s="5">
        <f>'balance_raw_10290511'!$E$30</f>
        <v/>
      </c>
      <c r="F52" s="5">
        <f>'balance_raw_10290511'!$F$30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Reserve for sikringstransaktioner</t>
        </is>
      </c>
      <c r="B53" s="11">
        <f>'balance_raw_10290511'!$B$31</f>
        <v/>
      </c>
      <c r="C53" s="11">
        <f>'balance_raw_10290511'!$C$31</f>
        <v/>
      </c>
      <c r="D53" s="11">
        <f>'balance_raw_10290511'!$D$31</f>
        <v/>
      </c>
      <c r="E53" s="11">
        <f>'balance_raw_10290511'!$E$31</f>
        <v/>
      </c>
      <c r="F53" s="11">
        <f>'balance_raw_10290511'!$F$31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Andre reserver</t>
        </is>
      </c>
      <c r="B54" s="5">
        <f>'balance_raw_10290511'!$B$32</f>
        <v/>
      </c>
      <c r="C54" s="5">
        <f>'balance_raw_10290511'!$C$32</f>
        <v/>
      </c>
      <c r="D54" s="5">
        <f>'balance_raw_10290511'!$D$32</f>
        <v/>
      </c>
      <c r="E54" s="5">
        <f>'balance_raw_10290511'!$E$32</f>
        <v/>
      </c>
      <c r="F54" s="5">
        <f>'balance_raw_10290511'!$F$32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Overført resultat</t>
        </is>
      </c>
      <c r="B55" s="11">
        <f>'balance_raw_10290511'!$B$33</f>
        <v/>
      </c>
      <c r="C55" s="11">
        <f>'balance_raw_10290511'!$C$33</f>
        <v/>
      </c>
      <c r="D55" s="11">
        <f>'balance_raw_10290511'!$D$33</f>
        <v/>
      </c>
      <c r="E55" s="11">
        <f>'balance_raw_10290511'!$E$33</f>
        <v/>
      </c>
      <c r="F55" s="11">
        <f>'balance_raw_10290511'!$F$33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Egenkapital i alt</t>
        </is>
      </c>
      <c r="B56" s="8">
        <f>'balance_raw_10290511'!$B$34</f>
        <v/>
      </c>
      <c r="C56" s="8">
        <f>'balance_raw_10290511'!$C$34</f>
        <v/>
      </c>
      <c r="D56" s="8">
        <f>'balance_raw_10290511'!$D$34</f>
        <v/>
      </c>
      <c r="E56" s="8">
        <f>'balance_raw_10290511'!$E$34</f>
        <v/>
      </c>
      <c r="F56" s="8">
        <f>'balance_raw_10290511'!$F$34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Hensættelse til udskudt skat</t>
        </is>
      </c>
      <c r="B57" s="11">
        <f>'balance_raw_10290511'!$B$35</f>
        <v/>
      </c>
      <c r="C57" s="11">
        <f>'balance_raw_10290511'!$C$35</f>
        <v/>
      </c>
      <c r="D57" s="11">
        <f>'balance_raw_10290511'!$D$35</f>
        <v/>
      </c>
      <c r="E57" s="11">
        <f>'balance_raw_10290511'!$E$35</f>
        <v/>
      </c>
      <c r="F57" s="11">
        <f>'balance_raw_10290511'!$F$35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7" t="inlineStr">
        <is>
          <t>Hensatte forpligtelser</t>
        </is>
      </c>
      <c r="B58" s="8">
        <f>'balance_raw_10290511'!$B$36</f>
        <v/>
      </c>
      <c r="C58" s="8">
        <f>'balance_raw_10290511'!$C$36</f>
        <v/>
      </c>
      <c r="D58" s="8">
        <f>'balance_raw_10290511'!$D$36</f>
        <v/>
      </c>
      <c r="E58" s="8">
        <f>'balance_raw_10290511'!$E$36</f>
        <v/>
      </c>
      <c r="F58" s="8">
        <f>'balance_raw_10290511'!$F$36</f>
        <v/>
      </c>
      <c r="G58" t="inlineStr"/>
      <c r="H58" s="9">
        <f>IFERROR(B58/$B$58*100,"")</f>
        <v/>
      </c>
      <c r="I58" s="9">
        <f>IFERROR(C58/$B$58*100,"")</f>
        <v/>
      </c>
      <c r="J58" s="9">
        <f>IFERROR(D58/$B$58*100,"")</f>
        <v/>
      </c>
      <c r="K58" s="9">
        <f>IFERROR(E58/$B$58*100,"")</f>
        <v/>
      </c>
      <c r="L58" s="9">
        <f>IFERROR(F58/$B$58*100,"")</f>
        <v/>
      </c>
    </row>
    <row r="59" ht="16" customHeight="1">
      <c r="A59" s="7" t="inlineStr">
        <is>
          <t>Langfristede gældsforpligtelser</t>
        </is>
      </c>
      <c r="B59" s="8">
        <f>'balance_raw_10290511'!$B$37</f>
        <v/>
      </c>
      <c r="C59" s="8">
        <f>'balance_raw_10290511'!$C$37</f>
        <v/>
      </c>
      <c r="D59" s="8">
        <f>'balance_raw_10290511'!$D$37</f>
        <v/>
      </c>
      <c r="E59" s="8">
        <f>'balance_raw_10290511'!$E$37</f>
        <v/>
      </c>
      <c r="F59" s="8">
        <f>'balance_raw_10290511'!$F$37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Ansvarlig lånekapital (kortfristet)</t>
        </is>
      </c>
      <c r="B60" s="5">
        <f>'balance_raw_10290511'!$B$38</f>
        <v/>
      </c>
      <c r="C60" s="5">
        <f>'balance_raw_10290511'!$C$38</f>
        <v/>
      </c>
      <c r="D60" s="5">
        <f>'balance_raw_10290511'!$D$38</f>
        <v/>
      </c>
      <c r="E60" s="5">
        <f>'balance_raw_10290511'!$E$38</f>
        <v/>
      </c>
      <c r="F60" s="5">
        <f>'balance_raw_10290511'!$F$38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Kortfristet del af langfristede gældsforpligtelser</t>
        </is>
      </c>
      <c r="B61" s="11">
        <f>'balance_raw_10290511'!$B$39</f>
        <v/>
      </c>
      <c r="C61" s="11">
        <f>'balance_raw_10290511'!$C$39</f>
        <v/>
      </c>
      <c r="D61" s="11">
        <f>'balance_raw_10290511'!$D$39</f>
        <v/>
      </c>
      <c r="E61" s="11">
        <f>'balance_raw_10290511'!$E$39</f>
        <v/>
      </c>
      <c r="F61" s="11">
        <f>'balance_raw_10290511'!$F$39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Kreditinstitutter</t>
        </is>
      </c>
      <c r="B62" s="5">
        <f>'balance_raw_10290511'!$B$40</f>
        <v/>
      </c>
      <c r="C62" s="5">
        <f>'balance_raw_10290511'!$C$40</f>
        <v/>
      </c>
      <c r="D62" s="5">
        <f>'balance_raw_10290511'!$D$40</f>
        <v/>
      </c>
      <c r="E62" s="5">
        <f>'balance_raw_10290511'!$E$40</f>
        <v/>
      </c>
      <c r="F62" s="5">
        <f>'balance_raw_10290511'!$F$40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Leasingforpligtelser (kortfristet)</t>
        </is>
      </c>
      <c r="B63" s="11">
        <f>'balance_raw_10290511'!$B$41</f>
        <v/>
      </c>
      <c r="C63" s="11">
        <f>'balance_raw_10290511'!$C$41</f>
        <v/>
      </c>
      <c r="D63" s="11">
        <f>'balance_raw_10290511'!$D$41</f>
        <v/>
      </c>
      <c r="E63" s="11">
        <f>'balance_raw_10290511'!$E$41</f>
        <v/>
      </c>
      <c r="F63" s="11">
        <f>'balance_raw_10290511'!$F$41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Leverandører af varer og tjenesteydelser</t>
        </is>
      </c>
      <c r="B64" s="5">
        <f>'balance_raw_10290511'!$B$42</f>
        <v/>
      </c>
      <c r="C64" s="5">
        <f>'balance_raw_10290511'!$C$42</f>
        <v/>
      </c>
      <c r="D64" s="5">
        <f>'balance_raw_10290511'!$D$42</f>
        <v/>
      </c>
      <c r="E64" s="5">
        <f>'balance_raw_10290511'!$E$42</f>
        <v/>
      </c>
      <c r="F64" s="5">
        <f>'balance_raw_10290511'!$F$42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Gæld til tilknyttede virksomheder</t>
        </is>
      </c>
      <c r="B65" s="11">
        <f>'balance_raw_10290511'!$B$43</f>
        <v/>
      </c>
      <c r="C65" s="11">
        <f>'balance_raw_10290511'!$C$43</f>
        <v/>
      </c>
      <c r="D65" s="11">
        <f>'balance_raw_10290511'!$D$43</f>
        <v/>
      </c>
      <c r="E65" s="11">
        <f>'balance_raw_10290511'!$E$43</f>
        <v/>
      </c>
      <c r="F65" s="11">
        <f>'balance_raw_10290511'!$F$43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Gæld til selskabsdeltagere og ledelse</t>
        </is>
      </c>
      <c r="B66" s="5">
        <f>'balance_raw_10290511'!$B$44</f>
        <v/>
      </c>
      <c r="C66" s="5">
        <f>'balance_raw_10290511'!$C$44</f>
        <v/>
      </c>
      <c r="D66" s="5">
        <f>'balance_raw_10290511'!$D$44</f>
        <v/>
      </c>
      <c r="E66" s="5">
        <f>'balance_raw_10290511'!$E$44</f>
        <v/>
      </c>
      <c r="F66" s="5">
        <f>'balance_raw_10290511'!$F$44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Selskabsskat</t>
        </is>
      </c>
      <c r="B67" s="11">
        <f>'balance_raw_10290511'!$B$45</f>
        <v/>
      </c>
      <c r="C67" s="11">
        <f>'balance_raw_10290511'!$C$45</f>
        <v/>
      </c>
      <c r="D67" s="11">
        <f>'balance_raw_10290511'!$D$45</f>
        <v/>
      </c>
      <c r="E67" s="11">
        <f>'balance_raw_10290511'!$E$45</f>
        <v/>
      </c>
      <c r="F67" s="11">
        <f>'balance_raw_10290511'!$F$45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tilknyttede virksomheder vedr. selskabsskat</t>
        </is>
      </c>
      <c r="B68" s="5">
        <f>'balance_raw_10290511'!$B$46</f>
        <v/>
      </c>
      <c r="C68" s="5">
        <f>'balance_raw_10290511'!$C$46</f>
        <v/>
      </c>
      <c r="D68" s="5">
        <f>'balance_raw_10290511'!$D$46</f>
        <v/>
      </c>
      <c r="E68" s="5">
        <f>'balance_raw_10290511'!$E$46</f>
        <v/>
      </c>
      <c r="F68" s="5">
        <f>'balance_raw_10290511'!$F$46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Anden gæld (kortfristet)</t>
        </is>
      </c>
      <c r="B69" s="11">
        <f>'balance_raw_10290511'!$B$47</f>
        <v/>
      </c>
      <c r="C69" s="11">
        <f>'balance_raw_10290511'!$C$47</f>
        <v/>
      </c>
      <c r="D69" s="11">
        <f>'balance_raw_10290511'!$D$47</f>
        <v/>
      </c>
      <c r="E69" s="11">
        <f>'balance_raw_10290511'!$E$47</f>
        <v/>
      </c>
      <c r="F69" s="11">
        <f>'balance_raw_10290511'!$F$47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Periodeafgrænsningsposter (passiver)</t>
        </is>
      </c>
      <c r="B70" s="5">
        <f>'balance_raw_10290511'!$B$48</f>
        <v/>
      </c>
      <c r="C70" s="5">
        <f>'balance_raw_10290511'!$C$48</f>
        <v/>
      </c>
      <c r="D70" s="5">
        <f>'balance_raw_10290511'!$D$48</f>
        <v/>
      </c>
      <c r="E70" s="5">
        <f>'balance_raw_10290511'!$E$48</f>
        <v/>
      </c>
      <c r="F70" s="5">
        <f>'balance_raw_10290511'!$F$48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Kortfristede gældsforpligtelser</t>
        </is>
      </c>
      <c r="B71" s="8">
        <f>'balance_raw_10290511'!$B$49</f>
        <v/>
      </c>
      <c r="C71" s="8">
        <f>'balance_raw_10290511'!$C$49</f>
        <v/>
      </c>
      <c r="D71" s="8">
        <f>'balance_raw_10290511'!$D$49</f>
        <v/>
      </c>
      <c r="E71" s="8">
        <f>'balance_raw_10290511'!$E$49</f>
        <v/>
      </c>
      <c r="F71" s="8">
        <f>'balance_raw_10290511'!$F$49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7" t="inlineStr">
        <is>
          <t>Gældsforpligtelser</t>
        </is>
      </c>
      <c r="B72" s="8">
        <f>'balance_raw_10290511'!$B$50</f>
        <v/>
      </c>
      <c r="C72" s="8">
        <f>'balance_raw_10290511'!$C$50</f>
        <v/>
      </c>
      <c r="D72" s="8">
        <f>'balance_raw_10290511'!$D$50</f>
        <v/>
      </c>
      <c r="E72" s="8">
        <f>'balance_raw_10290511'!$E$50</f>
        <v/>
      </c>
      <c r="F72" s="8">
        <f>'balance_raw_10290511'!$F$50</f>
        <v/>
      </c>
      <c r="G72" t="inlineStr"/>
      <c r="H72" s="9">
        <f>IFERROR(B72/$B$72*100,"")</f>
        <v/>
      </c>
      <c r="I72" s="9">
        <f>IFERROR(C72/$B$72*100,"")</f>
        <v/>
      </c>
      <c r="J72" s="9">
        <f>IFERROR(D72/$B$72*100,"")</f>
        <v/>
      </c>
      <c r="K72" s="9">
        <f>IFERROR(E72/$B$72*100,"")</f>
        <v/>
      </c>
      <c r="L72" s="9">
        <f>IFERROR(F72/$B$72*100,"")</f>
        <v/>
      </c>
    </row>
    <row r="73" ht="16" customHeight="1">
      <c r="A73" s="7" t="inlineStr">
        <is>
          <t>Passiver</t>
        </is>
      </c>
      <c r="B73" s="8">
        <f>'balance_raw_10290511'!$B$51</f>
        <v/>
      </c>
      <c r="C73" s="8">
        <f>'balance_raw_10290511'!$C$51</f>
        <v/>
      </c>
      <c r="D73" s="8">
        <f>'balance_raw_10290511'!$D$51</f>
        <v/>
      </c>
      <c r="E73" s="8">
        <f>'balance_raw_10290511'!$E$51</f>
        <v/>
      </c>
      <c r="F73" s="8">
        <f>'balance_raw_10290511'!$F$51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5" ht="22" customHeight="1">
      <c r="A75" s="3" t="inlineStr">
        <is>
          <t>NØGLEOPLYSNINGER</t>
        </is>
      </c>
      <c r="B75" s="3" t="n">
        <v>2021</v>
      </c>
      <c r="C75" s="3" t="n">
        <v>2022</v>
      </c>
      <c r="D75" s="3" t="n">
        <v>2023</v>
      </c>
      <c r="E75" s="3" t="n">
        <v>2024</v>
      </c>
      <c r="F75" s="3" t="n">
        <v>2025</v>
      </c>
    </row>
    <row r="76" ht="16" customHeight="1">
      <c r="A76" s="4" t="inlineStr">
        <is>
          <t>Gns. antal medarbejdere</t>
        </is>
      </c>
      <c r="B76" s="5">
        <f>'res_raw_10290511'!$B$18</f>
        <v/>
      </c>
      <c r="C76" s="5">
        <f>'res_raw_10290511'!$C$18</f>
        <v/>
      </c>
      <c r="D76" s="5">
        <f>'res_raw_10290511'!$D$18</f>
        <v/>
      </c>
      <c r="E76" s="5">
        <f>'res_raw_10290511'!$E$18</f>
        <v/>
      </c>
      <c r="F76" s="5">
        <f>'res_raw_10290511'!$F$18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Investering i materielle anlægsaktiver</t>
        </is>
      </c>
      <c r="B77" s="11">
        <f>'res_raw_10290511'!$B$19</f>
        <v/>
      </c>
      <c r="C77" s="11">
        <f>'res_raw_10290511'!$C$19</f>
        <v/>
      </c>
      <c r="D77" s="11">
        <f>'res_raw_10290511'!$D$19</f>
        <v/>
      </c>
      <c r="E77" s="11">
        <f>'res_raw_10290511'!$E$19</f>
        <v/>
      </c>
      <c r="F77" s="11">
        <f>'res_raw_10290511'!$F$19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9" ht="22" customHeight="1">
      <c r="A79" s="3" t="inlineStr">
        <is>
          <t>NØGLETAL</t>
        </is>
      </c>
      <c r="B79" s="3" t="n">
        <v>2021</v>
      </c>
      <c r="C79" s="3" t="n">
        <v>2022</v>
      </c>
      <c r="D79" s="3" t="n">
        <v>2023</v>
      </c>
      <c r="E79" s="3" t="n">
        <v>2024</v>
      </c>
      <c r="F79" s="3" t="n">
        <v>2025</v>
      </c>
    </row>
    <row r="80" ht="16" customHeight="1">
      <c r="A80" s="4" t="inlineStr">
        <is>
          <t>Afkastningsgrad, %</t>
        </is>
      </c>
      <c r="B80" s="13">
        <f>IFERROR(($B$12+$B$14+$B$13)/$B$47*100,"")</f>
        <v/>
      </c>
      <c r="C80" s="13">
        <f>IFERROR(($C$12+$C$14+$C$13)/$C$47*100,"")</f>
        <v/>
      </c>
      <c r="D80" s="13">
        <f>IFERROR(($D$12+$D$14+$D$13)/$D$47*100,"")</f>
        <v/>
      </c>
      <c r="E80" s="13">
        <f>IFERROR(($E$12+$E$14+$E$13)/$E$47*100,"")</f>
        <v/>
      </c>
      <c r="F80" s="13">
        <f>IFERROR(($F$12+$F$14+$F$13)/$F$47*100,"")</f>
        <v/>
      </c>
    </row>
    <row r="81" ht="16" customHeight="1">
      <c r="A81" s="10" t="inlineStr">
        <is>
          <t>Overskudsgrad, %</t>
        </is>
      </c>
      <c r="B81" s="14">
        <f>IFERROR(($B$12+$B$14+$B$13)/$B$4*100,"")</f>
        <v/>
      </c>
      <c r="C81" s="14">
        <f>IFERROR(($C$12+$C$14+$C$13)/$C$4*100,"")</f>
        <v/>
      </c>
      <c r="D81" s="14">
        <f>IFERROR(($D$12+$D$14+$D$13)/$D$4*100,"")</f>
        <v/>
      </c>
      <c r="E81" s="14">
        <f>IFERROR(($E$12+$E$14+$E$13)/$E$4*100,"")</f>
        <v/>
      </c>
      <c r="F81" s="14">
        <f>IFERROR(($F$12+$F$14+$F$13)/$F$4*100,"")</f>
        <v/>
      </c>
    </row>
    <row r="82" ht="16" customHeight="1">
      <c r="A82" s="4" t="inlineStr">
        <is>
          <t>Aktivernes omsætningshastighed, gange</t>
        </is>
      </c>
      <c r="B82" s="13">
        <f>IFERROR($B$4/$B$47,"")</f>
        <v/>
      </c>
      <c r="C82" s="13">
        <f>IFERROR($C$4/$C$47,"")</f>
        <v/>
      </c>
      <c r="D82" s="13">
        <f>IFERROR($D$4/$D$47,"")</f>
        <v/>
      </c>
      <c r="E82" s="13">
        <f>IFERROR($E$4/$E$47,"")</f>
        <v/>
      </c>
      <c r="F82" s="13">
        <f>IFERROR($F$4/$F$47,"")</f>
        <v/>
      </c>
    </row>
    <row r="83" ht="16" customHeight="1">
      <c r="A83" s="10" t="inlineStr">
        <is>
          <t>Egenkapitalens forrentning, %</t>
        </is>
      </c>
      <c r="B83" s="14">
        <f>IFERROR($B$17/$B$56*100,"")</f>
        <v/>
      </c>
      <c r="C83" s="14">
        <f>IFERROR($C$17/$C$56*100,"")</f>
        <v/>
      </c>
      <c r="D83" s="14">
        <f>IFERROR($D$17/$D$56*100,"")</f>
        <v/>
      </c>
      <c r="E83" s="14">
        <f>IFERROR($E$17/$E$56*100,"")</f>
        <v/>
      </c>
      <c r="F83" s="14">
        <f>IFERROR($F$17/$F$56*100,"")</f>
        <v/>
      </c>
    </row>
    <row r="84" ht="16" customHeight="1">
      <c r="A84" s="4" t="inlineStr">
        <is>
          <t>Gældsrente, %</t>
        </is>
      </c>
      <c r="B84" s="13">
        <f>IFERROR($B$15/($B$73-$B$56)*100,"")</f>
        <v/>
      </c>
      <c r="C84" s="13">
        <f>IFERROR($C$15/($C$73-$C$56)*100,"")</f>
        <v/>
      </c>
      <c r="D84" s="13">
        <f>IFERROR($D$15/($D$73-$D$56)*100,"")</f>
        <v/>
      </c>
      <c r="E84" s="13">
        <f>IFERROR($E$15/($E$73-$E$56)*100,"")</f>
        <v/>
      </c>
      <c r="F84" s="13">
        <f>IFERROR($F$15/($F$73-$F$56)*100,"")</f>
        <v/>
      </c>
    </row>
    <row r="85" ht="16" customHeight="1">
      <c r="A85" s="10" t="inlineStr">
        <is>
          <t>Soliditetsgrad, %</t>
        </is>
      </c>
      <c r="B85" s="14">
        <f>IFERROR($B$56/$B$47*100,"")</f>
        <v/>
      </c>
      <c r="C85" s="14">
        <f>IFERROR($C$56/$C$47*100,"")</f>
        <v/>
      </c>
      <c r="D85" s="14">
        <f>IFERROR($D$56/$D$47*100,"")</f>
        <v/>
      </c>
      <c r="E85" s="14">
        <f>IFERROR($E$56/$E$47*100,"")</f>
        <v/>
      </c>
      <c r="F85" s="14">
        <f>IFERROR($F$56/$F$47*100,"")</f>
        <v/>
      </c>
    </row>
    <row r="86" ht="16" customHeight="1">
      <c r="A86" s="4" t="inlineStr">
        <is>
          <t>Gearing</t>
        </is>
      </c>
      <c r="B86" s="13">
        <f>IFERROR(($B$73-$B$56)/$B$56,"")</f>
        <v/>
      </c>
      <c r="C86" s="13">
        <f>IFERROR(($C$73-$C$56)/$C$56,"")</f>
        <v/>
      </c>
      <c r="D86" s="13">
        <f>IFERROR(($D$73-$D$56)/$D$56,"")</f>
        <v/>
      </c>
      <c r="E86" s="13">
        <f>IFERROR(($E$73-$E$56)/$E$56,"")</f>
        <v/>
      </c>
      <c r="F86" s="13">
        <f>IFERROR(($F$73-$F$56)/$F$56,"")</f>
        <v/>
      </c>
    </row>
    <row r="87" ht="16" customHeight="1">
      <c r="A87" s="10" t="inlineStr">
        <is>
          <t>Likviditetsgrad, %</t>
        </is>
      </c>
      <c r="B87" s="14">
        <f>IFERROR($B$46/$B$71*100,"")</f>
        <v/>
      </c>
      <c r="C87" s="14">
        <f>IFERROR($C$46/$C$71*100,"")</f>
        <v/>
      </c>
      <c r="D87" s="14">
        <f>IFERROR($D$46/$D$71*100,"")</f>
        <v/>
      </c>
      <c r="E87" s="14">
        <f>IFERROR($E$46/$E$71*100,"")</f>
        <v/>
      </c>
      <c r="F87" s="14">
        <f>IFERROR($F$46/$F$71*100,"")</f>
        <v/>
      </c>
    </row>
    <row r="88" ht="16" customHeight="1">
      <c r="A88" s="4" t="inlineStr">
        <is>
          <t>Rentemarginal, %</t>
        </is>
      </c>
      <c r="B88" s="13">
        <f>IFERROR(B80-B84,"")</f>
        <v/>
      </c>
      <c r="C88" s="13">
        <f>IFERROR(C80-C84,"")</f>
        <v/>
      </c>
      <c r="D88" s="13">
        <f>IFERROR(D80-D84,"")</f>
        <v/>
      </c>
      <c r="E88" s="13">
        <f>IFERROR(E80-E84,"")</f>
        <v/>
      </c>
      <c r="F88" s="13">
        <f>IFERROR(F80-F84,"")</f>
        <v/>
      </c>
    </row>
    <row r="89" ht="16" customHeight="1">
      <c r="A89" s="10" t="inlineStr">
        <is>
          <t>Gældsandel, %</t>
        </is>
      </c>
      <c r="B89" s="14">
        <f>IFERROR(($B$73-$B$56)/$B$47*100,"")</f>
        <v/>
      </c>
      <c r="C89" s="14">
        <f>IFERROR(($C$73-$C$56)/$C$47*100,"")</f>
        <v/>
      </c>
      <c r="D89" s="14">
        <f>IFERROR(($D$73-$D$56)/$D$47*100,"")</f>
        <v/>
      </c>
      <c r="E89" s="14">
        <f>IFERROR(($E$73-$E$56)/$E$47*100,"")</f>
        <v/>
      </c>
      <c r="F89" s="14">
        <f>IFERROR(($F$73-$F$56)/$F$47*100,"")</f>
        <v/>
      </c>
    </row>
    <row r="90" ht="16" customHeight="1">
      <c r="A90" s="4" t="inlineStr">
        <is>
          <t>Kapitalbindingsgrad, %</t>
        </is>
      </c>
      <c r="B90" s="13">
        <f>IFERROR($B$31/($B$56+$B$59)*100,"")</f>
        <v/>
      </c>
      <c r="C90" s="13">
        <f>IFERROR($C$31/($C$56+$C$59)*100,"")</f>
        <v/>
      </c>
      <c r="D90" s="13">
        <f>IFERROR($D$31/($D$56+$D$59)*100,"")</f>
        <v/>
      </c>
      <c r="E90" s="13">
        <f>IFERROR($E$31/($E$56+$E$59)*100,"")</f>
        <v/>
      </c>
      <c r="F90" s="13">
        <f>IFERROR($F$31/($F$56+$F$59)*100,"")</f>
        <v/>
      </c>
    </row>
    <row r="92">
      <c r="A92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Linde Gas A/S (CVR 10290511)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>
        <v>629990</v>
      </c>
      <c r="C2" s="16" t="n">
        <v>737789</v>
      </c>
      <c r="D2" s="16" t="n">
        <v>798179</v>
      </c>
      <c r="E2" s="16" t="n">
        <v>794973</v>
      </c>
      <c r="F2" s="16" t="n">
        <v>813369</v>
      </c>
    </row>
    <row r="3">
      <c r="A3" s="15" t="inlineStr">
        <is>
          <t>Produktionsomkostninger</t>
        </is>
      </c>
      <c r="B3" s="16" t="n">
        <v>405308</v>
      </c>
      <c r="C3" s="16" t="n">
        <v>447554</v>
      </c>
      <c r="D3" s="16" t="n">
        <v>479097</v>
      </c>
      <c r="E3" s="16" t="n">
        <v>457518</v>
      </c>
      <c r="F3" s="16" t="n">
        <v>446857</v>
      </c>
    </row>
    <row r="4">
      <c r="A4" s="17" t="inlineStr">
        <is>
          <t>Bruttoresultat</t>
        </is>
      </c>
      <c r="B4" s="16" t="n">
        <v>224682</v>
      </c>
      <c r="C4" s="16" t="n">
        <v>290235</v>
      </c>
      <c r="D4" s="16" t="n">
        <v>319082</v>
      </c>
      <c r="E4" s="16" t="n">
        <v>337455</v>
      </c>
      <c r="F4" s="16" t="n">
        <v>366512</v>
      </c>
    </row>
    <row r="5">
      <c r="A5" s="15" t="inlineStr">
        <is>
          <t>Udviklingsomkostninger</t>
        </is>
      </c>
      <c r="B5" s="16" t="n"/>
      <c r="C5" s="16" t="n"/>
      <c r="D5" s="16" t="n"/>
      <c r="E5" s="16" t="n"/>
      <c r="F5" s="16" t="n"/>
    </row>
    <row r="6">
      <c r="A6" s="15" t="inlineStr">
        <is>
          <t>Salgs- og distributionsomkostninger</t>
        </is>
      </c>
      <c r="B6" s="16" t="n">
        <v>93239</v>
      </c>
      <c r="C6" s="16" t="n">
        <v>100273</v>
      </c>
      <c r="D6" s="16" t="n">
        <v>99427</v>
      </c>
      <c r="E6" s="16" t="n">
        <v>97706</v>
      </c>
      <c r="F6" s="16" t="n">
        <v>96718</v>
      </c>
    </row>
    <row r="7">
      <c r="A7" s="15" t="inlineStr">
        <is>
          <t>Administrationsomkostninger</t>
        </is>
      </c>
      <c r="B7" s="16" t="n">
        <v>24931</v>
      </c>
      <c r="C7" s="16" t="n">
        <v>18919</v>
      </c>
      <c r="D7" s="16" t="n">
        <v>21045</v>
      </c>
      <c r="E7" s="16" t="n">
        <v>22410</v>
      </c>
      <c r="F7" s="16" t="n">
        <v>21440</v>
      </c>
    </row>
    <row r="8">
      <c r="A8" s="15" t="inlineStr">
        <is>
          <t>Andre driftsindtægter</t>
        </is>
      </c>
      <c r="B8" s="16" t="n">
        <v>1760</v>
      </c>
      <c r="C8" s="16" t="n">
        <v>1265</v>
      </c>
      <c r="D8" s="16" t="n">
        <v>1404</v>
      </c>
      <c r="E8" s="16" t="n">
        <v>1742</v>
      </c>
      <c r="F8" s="16" t="n">
        <v>3096</v>
      </c>
    </row>
    <row r="9">
      <c r="A9" s="15" t="inlineStr">
        <is>
          <t>Andre driftsomkostninger</t>
        </is>
      </c>
      <c r="B9" s="16" t="n">
        <v>5887</v>
      </c>
      <c r="C9" s="16" t="n">
        <v>728</v>
      </c>
      <c r="D9" s="16" t="n">
        <v>1162</v>
      </c>
      <c r="E9" s="16" t="n">
        <v>1165</v>
      </c>
      <c r="F9" s="16" t="n">
        <v>3568</v>
      </c>
    </row>
    <row r="10">
      <c r="A10" s="17" t="inlineStr">
        <is>
          <t>Resultat af primær drift</t>
        </is>
      </c>
      <c r="B10" s="16" t="n">
        <v>102385</v>
      </c>
      <c r="C10" s="16" t="n">
        <v>171580</v>
      </c>
      <c r="D10" s="16" t="n">
        <v>198852</v>
      </c>
      <c r="E10" s="16" t="n">
        <v>217916</v>
      </c>
      <c r="F10" s="16" t="n">
        <v>247882</v>
      </c>
    </row>
    <row r="11">
      <c r="A11" s="15" t="inlineStr">
        <is>
          <t>Indtægter af kapitalandele, dattervirksomheder</t>
        </is>
      </c>
      <c r="B11" s="16" t="n">
        <v>1000</v>
      </c>
      <c r="C11" s="16" t="n">
        <v>3500</v>
      </c>
      <c r="D11" s="16" t="n">
        <v>3000</v>
      </c>
      <c r="E11" s="16" t="n">
        <v>3320</v>
      </c>
      <c r="F11" s="16" t="n">
        <v>3680</v>
      </c>
    </row>
    <row r="12">
      <c r="A12" s="15" t="inlineStr">
        <is>
          <t>Finansielle indtægter</t>
        </is>
      </c>
      <c r="B12" s="16" t="n">
        <v>21</v>
      </c>
      <c r="C12" s="16" t="n">
        <v>307</v>
      </c>
      <c r="D12" s="16" t="n">
        <v>5087</v>
      </c>
      <c r="E12" s="16" t="n">
        <v>8878</v>
      </c>
      <c r="F12" s="16" t="n">
        <v>6306</v>
      </c>
    </row>
    <row r="13">
      <c r="A13" s="15" t="inlineStr">
        <is>
          <t>Finansielle omkostninger</t>
        </is>
      </c>
      <c r="B13" s="16" t="n">
        <v>966</v>
      </c>
      <c r="C13" s="16" t="n">
        <v>241</v>
      </c>
      <c r="D13" s="16" t="n">
        <v>489</v>
      </c>
      <c r="E13" s="16" t="n">
        <v>338</v>
      </c>
      <c r="F13" s="16" t="n">
        <v>622</v>
      </c>
    </row>
    <row r="14">
      <c r="A14" s="17" t="inlineStr">
        <is>
          <t>Finansielle poster, netto</t>
        </is>
      </c>
      <c r="B14" s="16" t="n">
        <v>0</v>
      </c>
      <c r="C14" s="16" t="n">
        <v>3600</v>
      </c>
      <c r="D14" s="16" t="n">
        <v>4598</v>
      </c>
      <c r="E14" s="16" t="n">
        <v>8540</v>
      </c>
      <c r="F14" s="16" t="n">
        <v>5684</v>
      </c>
    </row>
    <row r="15">
      <c r="A15" s="17" t="inlineStr">
        <is>
          <t>Resultat før skat</t>
        </is>
      </c>
      <c r="B15" s="16" t="n">
        <v>102440</v>
      </c>
      <c r="C15" s="16" t="n">
        <v>175146</v>
      </c>
      <c r="D15" s="16" t="n">
        <v>206450</v>
      </c>
      <c r="E15" s="16" t="n">
        <v>229776</v>
      </c>
      <c r="F15" s="16" t="n">
        <v>257246</v>
      </c>
    </row>
    <row r="16">
      <c r="A16" s="15" t="inlineStr">
        <is>
          <t>Skat af årets resultat</t>
        </is>
      </c>
      <c r="B16" s="16" t="n">
        <v>22329</v>
      </c>
      <c r="C16" s="16" t="n">
        <v>37803</v>
      </c>
      <c r="D16" s="16" t="n">
        <v>44877</v>
      </c>
      <c r="E16" s="16" t="n">
        <v>49931</v>
      </c>
      <c r="F16" s="16" t="n">
        <v>56156</v>
      </c>
    </row>
    <row r="17">
      <c r="A17" s="17" t="inlineStr">
        <is>
          <t>Årets resultat</t>
        </is>
      </c>
      <c r="B17" s="16" t="n">
        <v>80111</v>
      </c>
      <c r="C17" s="16" t="n">
        <v>137343</v>
      </c>
      <c r="D17" s="16" t="n">
        <v>161573</v>
      </c>
      <c r="E17" s="16" t="n">
        <v>179845</v>
      </c>
      <c r="F17" s="16" t="n">
        <v>201090</v>
      </c>
    </row>
    <row r="18">
      <c r="A18" s="15" t="inlineStr">
        <is>
          <t>Gns. antal medarbejdere</t>
        </is>
      </c>
      <c r="B18" s="16" t="n">
        <v>104</v>
      </c>
      <c r="C18" s="16" t="n">
        <v>98</v>
      </c>
      <c r="D18" s="16" t="n">
        <v>94</v>
      </c>
      <c r="E18" s="16" t="n">
        <v>95</v>
      </c>
      <c r="F18" s="16" t="n">
        <v>96</v>
      </c>
    </row>
    <row r="19">
      <c r="A19" s="15" t="inlineStr">
        <is>
          <t>Investering i materielle anlægsaktiver</t>
        </is>
      </c>
      <c r="B19" s="16" t="n">
        <v>52100</v>
      </c>
      <c r="C19" s="16" t="n">
        <v>26700</v>
      </c>
      <c r="D19" s="16" t="n"/>
      <c r="E19" s="16" t="n"/>
      <c r="F19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Linde Gas A/S (CVR 10290511)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>
        <v>23773</v>
      </c>
      <c r="C2" s="16" t="n">
        <v>22900</v>
      </c>
      <c r="D2" s="16" t="n">
        <v>21649</v>
      </c>
      <c r="E2" s="16" t="n">
        <v>20739</v>
      </c>
      <c r="F2" s="16" t="n">
        <v>20453</v>
      </c>
    </row>
    <row r="3">
      <c r="A3" s="15" t="inlineStr">
        <is>
          <t>Produktionsanlæg og maskiner</t>
        </is>
      </c>
      <c r="B3" s="16" t="n">
        <v>442302</v>
      </c>
      <c r="C3" s="16" t="n">
        <v>415015</v>
      </c>
      <c r="D3" s="16" t="n">
        <v>400017</v>
      </c>
      <c r="E3" s="16" t="n">
        <v>383330</v>
      </c>
      <c r="F3" s="16" t="n">
        <v>373829</v>
      </c>
    </row>
    <row r="4">
      <c r="A4" s="15" t="inlineStr">
        <is>
          <t>Driftsmateriel og inventar</t>
        </is>
      </c>
      <c r="B4" s="16" t="n">
        <v>27481</v>
      </c>
      <c r="C4" s="16" t="n">
        <v>26664</v>
      </c>
      <c r="D4" s="16" t="n">
        <v>30356</v>
      </c>
      <c r="E4" s="16" t="n">
        <v>31681</v>
      </c>
      <c r="F4" s="16" t="n">
        <v>35988</v>
      </c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>
        <v>2694</v>
      </c>
      <c r="C6" s="16" t="n">
        <v>8285</v>
      </c>
      <c r="D6" s="16" t="n">
        <v>7081</v>
      </c>
      <c r="E6" s="16" t="n">
        <v>15066</v>
      </c>
      <c r="F6" s="16" t="n">
        <v>11508</v>
      </c>
    </row>
    <row r="7">
      <c r="A7" s="17" t="inlineStr">
        <is>
          <t>Materielle anlægsaktiver</t>
        </is>
      </c>
      <c r="B7" s="16" t="n">
        <v>496250</v>
      </c>
      <c r="C7" s="16" t="n">
        <v>472864</v>
      </c>
      <c r="D7" s="16" t="n">
        <v>459103</v>
      </c>
      <c r="E7" s="16" t="n">
        <v>450816</v>
      </c>
      <c r="F7" s="16" t="n">
        <v>441778</v>
      </c>
    </row>
    <row r="8">
      <c r="A8" s="15" t="inlineStr">
        <is>
          <t>Kapitalandele, dattervirksomheder</t>
        </is>
      </c>
      <c r="B8" s="16" t="n">
        <v>905</v>
      </c>
      <c r="C8" s="16" t="n">
        <v>905</v>
      </c>
      <c r="D8" s="16" t="n">
        <v>905</v>
      </c>
      <c r="E8" s="16" t="n">
        <v>905</v>
      </c>
      <c r="F8" s="16" t="n">
        <v>905</v>
      </c>
    </row>
    <row r="9">
      <c r="A9" s="15" t="inlineStr">
        <is>
          <t>Deposita</t>
        </is>
      </c>
      <c r="B9" s="16" t="n"/>
      <c r="C9" s="16" t="n"/>
      <c r="D9" s="16" t="n"/>
      <c r="E9" s="16" t="n"/>
      <c r="F9" s="16" t="n"/>
    </row>
    <row r="10">
      <c r="A10" s="17" t="inlineStr">
        <is>
          <t>Finansielle anlægsaktiver</t>
        </is>
      </c>
      <c r="B10" s="16" t="n">
        <v>2490</v>
      </c>
      <c r="C10" s="16" t="n">
        <v>2128</v>
      </c>
      <c r="D10" s="16" t="n">
        <v>1177</v>
      </c>
      <c r="E10" s="16" t="n">
        <v>1186</v>
      </c>
      <c r="F10" s="16" t="n">
        <v>1164</v>
      </c>
    </row>
    <row r="11">
      <c r="A11" s="17" t="inlineStr">
        <is>
          <t>Anlægsaktiver</t>
        </is>
      </c>
      <c r="B11" s="16" t="n">
        <v>498740</v>
      </c>
      <c r="C11" s="16" t="n">
        <v>474992</v>
      </c>
      <c r="D11" s="16" t="n">
        <v>460280</v>
      </c>
      <c r="E11" s="16" t="n">
        <v>452002</v>
      </c>
      <c r="F11" s="16" t="n">
        <v>442942</v>
      </c>
    </row>
    <row r="12">
      <c r="A12" s="15" t="inlineStr">
        <is>
          <t>Råvarer og hjælpematerialer</t>
        </is>
      </c>
      <c r="B12" s="16" t="n">
        <v>0</v>
      </c>
      <c r="C12" s="16" t="n">
        <v>0</v>
      </c>
      <c r="D12" s="16" t="n">
        <v>58</v>
      </c>
      <c r="E12" s="16" t="n">
        <v>7</v>
      </c>
      <c r="F12" s="16" t="n">
        <v>1</v>
      </c>
    </row>
    <row r="13">
      <c r="A13" s="15" t="inlineStr">
        <is>
          <t>Varer under fremstilling</t>
        </is>
      </c>
      <c r="B13" s="16" t="n">
        <v>19</v>
      </c>
      <c r="C13" s="16" t="n">
        <v>10033</v>
      </c>
      <c r="D13" s="16" t="n">
        <v>12410</v>
      </c>
      <c r="E13" s="16" t="n">
        <v>23260</v>
      </c>
      <c r="F13" s="16" t="n">
        <v>41631</v>
      </c>
    </row>
    <row r="14">
      <c r="A14" s="15" t="inlineStr">
        <is>
          <t>Færdigvarer og handelsvarer</t>
        </is>
      </c>
      <c r="B14" s="16" t="n">
        <v>27196</v>
      </c>
      <c r="C14" s="16" t="n">
        <v>29242</v>
      </c>
      <c r="D14" s="16" t="n">
        <v>24547</v>
      </c>
      <c r="E14" s="16" t="n">
        <v>16354</v>
      </c>
      <c r="F14" s="16" t="n">
        <v>15703</v>
      </c>
    </row>
    <row r="15">
      <c r="A15" s="17" t="inlineStr">
        <is>
          <t>Varebeholdninger</t>
        </is>
      </c>
      <c r="B15" s="16" t="n">
        <v>27196</v>
      </c>
      <c r="C15" s="16" t="n">
        <v>29242</v>
      </c>
      <c r="D15" s="16" t="n">
        <v>24605</v>
      </c>
      <c r="E15" s="16" t="n">
        <v>16361</v>
      </c>
      <c r="F15" s="16" t="n">
        <v>15704</v>
      </c>
    </row>
    <row r="16">
      <c r="A16" s="15" t="inlineStr">
        <is>
          <t>Tilgodehavender fra salg og tjenesteydelser</t>
        </is>
      </c>
      <c r="B16" s="16" t="n">
        <v>139672</v>
      </c>
      <c r="C16" s="16" t="n">
        <v>133133</v>
      </c>
      <c r="D16" s="16" t="n">
        <v>131661</v>
      </c>
      <c r="E16" s="16" t="n">
        <v>131628</v>
      </c>
      <c r="F16" s="16" t="n">
        <v>118679</v>
      </c>
    </row>
    <row r="17">
      <c r="A17" s="15" t="inlineStr">
        <is>
          <t>Tilgodehavender hos tilknyttede virksomheder</t>
        </is>
      </c>
      <c r="B17" s="16" t="n">
        <v>1361</v>
      </c>
      <c r="C17" s="16" t="n">
        <v>76229</v>
      </c>
      <c r="D17" s="16" t="n">
        <v>210787</v>
      </c>
      <c r="E17" s="16" t="n">
        <v>261660</v>
      </c>
      <c r="F17" s="16" t="n">
        <v>371883</v>
      </c>
    </row>
    <row r="18">
      <c r="A18" s="15" t="inlineStr">
        <is>
          <t>Andre tilgodehavender</t>
        </is>
      </c>
      <c r="B18" s="16" t="n">
        <v>11142</v>
      </c>
      <c r="C18" s="16" t="n">
        <v>15404</v>
      </c>
      <c r="D18" s="16" t="n">
        <v>16641</v>
      </c>
      <c r="E18" s="16" t="n">
        <v>15623</v>
      </c>
      <c r="F18" s="16" t="n">
        <v>13262</v>
      </c>
    </row>
    <row r="19">
      <c r="A19" s="15" t="inlineStr">
        <is>
          <t>Periodeafgrænsningsposter (aktiver)</t>
        </is>
      </c>
      <c r="B19" s="16" t="n">
        <v>229</v>
      </c>
      <c r="C19" s="16" t="n">
        <v>1193</v>
      </c>
      <c r="D19" s="16" t="n">
        <v>215</v>
      </c>
      <c r="E19" s="16" t="n">
        <v>181</v>
      </c>
      <c r="F19" s="16" t="n">
        <v>320</v>
      </c>
    </row>
    <row r="20">
      <c r="A20" s="15" t="inlineStr">
        <is>
          <t>Udskudt skatteaktiv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>
        <v>0</v>
      </c>
      <c r="C22" s="16" t="n">
        <v>932</v>
      </c>
      <c r="D22" s="16" t="n">
        <v>0</v>
      </c>
      <c r="E22" s="16" t="n">
        <v>4489</v>
      </c>
      <c r="F22" s="16" t="n">
        <v>5111</v>
      </c>
    </row>
    <row r="23">
      <c r="A23" s="17" t="inlineStr">
        <is>
          <t>Tilgodehavender</t>
        </is>
      </c>
      <c r="B23" s="16" t="n">
        <v>154776</v>
      </c>
      <c r="C23" s="16" t="n">
        <v>239661</v>
      </c>
      <c r="D23" s="16" t="n">
        <v>374723</v>
      </c>
      <c r="E23" s="16" t="n">
        <v>440298</v>
      </c>
      <c r="F23" s="16" t="n">
        <v>553649</v>
      </c>
    </row>
    <row r="24">
      <c r="A24" s="15" t="inlineStr">
        <is>
          <t>Værdipapirer</t>
        </is>
      </c>
      <c r="B24" s="16" t="n"/>
      <c r="C24" s="16" t="n"/>
      <c r="D24" s="16" t="n"/>
      <c r="E24" s="16" t="n"/>
      <c r="F24" s="16" t="n"/>
    </row>
    <row r="25">
      <c r="A25" s="15" t="inlineStr">
        <is>
          <t>Likvide beholdninger</t>
        </is>
      </c>
      <c r="B25" s="16" t="n">
        <v>17537</v>
      </c>
      <c r="C25" s="16" t="n">
        <v>20258</v>
      </c>
      <c r="D25" s="16" t="n">
        <v>16088</v>
      </c>
      <c r="E25" s="16" t="n">
        <v>24462</v>
      </c>
      <c r="F25" s="16" t="n">
        <v>26204</v>
      </c>
    </row>
    <row r="26">
      <c r="A26" s="17" t="inlineStr">
        <is>
          <t>Omsætningsaktiver</t>
        </is>
      </c>
      <c r="B26" s="16" t="n">
        <v>199509</v>
      </c>
      <c r="C26" s="16" t="n">
        <v>289161</v>
      </c>
      <c r="D26" s="16" t="n">
        <v>415416</v>
      </c>
      <c r="E26" s="16" t="n">
        <v>481121</v>
      </c>
      <c r="F26" s="16" t="n">
        <v>595557</v>
      </c>
    </row>
    <row r="27">
      <c r="A27" s="17" t="inlineStr">
        <is>
          <t>Aktiver</t>
        </is>
      </c>
      <c r="B27" s="16" t="n">
        <v>698249</v>
      </c>
      <c r="C27" s="16" t="n">
        <v>764153</v>
      </c>
      <c r="D27" s="16" t="n">
        <v>875696</v>
      </c>
      <c r="E27" s="16" t="n">
        <v>933123</v>
      </c>
      <c r="F27" s="16" t="n">
        <v>1038499</v>
      </c>
    </row>
    <row r="28">
      <c r="A28" s="15" t="inlineStr">
        <is>
          <t>Selskabskapital</t>
        </is>
      </c>
      <c r="B28" s="16" t="n">
        <v>22000</v>
      </c>
      <c r="C28" s="16" t="n">
        <v>22000</v>
      </c>
      <c r="D28" s="16" t="n">
        <v>22000</v>
      </c>
      <c r="E28" s="16" t="n">
        <v>22000</v>
      </c>
      <c r="F28" s="16" t="n">
        <v>22000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443776</v>
      </c>
      <c r="C33" s="16" t="n">
        <v>506119</v>
      </c>
      <c r="D33" s="16" t="n">
        <v>567693</v>
      </c>
      <c r="E33" s="16" t="n">
        <v>617538</v>
      </c>
      <c r="F33" s="16" t="n">
        <v>450628</v>
      </c>
    </row>
    <row r="34">
      <c r="A34" s="17" t="inlineStr">
        <is>
          <t>Egenkapital i alt</t>
        </is>
      </c>
      <c r="B34" s="16" t="n">
        <v>465776</v>
      </c>
      <c r="C34" s="16" t="n">
        <v>603119</v>
      </c>
      <c r="D34" s="16" t="n">
        <v>689693</v>
      </c>
      <c r="E34" s="16" t="n">
        <v>769538</v>
      </c>
      <c r="F34" s="16" t="n">
        <v>840628</v>
      </c>
    </row>
    <row r="35">
      <c r="A35" s="15" t="inlineStr">
        <is>
          <t>Hensættelse til udskudt skat</t>
        </is>
      </c>
      <c r="B35" s="16" t="n">
        <v>17166</v>
      </c>
      <c r="C35" s="16" t="n">
        <v>13267</v>
      </c>
      <c r="D35" s="16" t="n">
        <v>12644</v>
      </c>
      <c r="E35" s="16" t="n">
        <v>11481</v>
      </c>
      <c r="F35" s="16" t="n">
        <v>13650</v>
      </c>
    </row>
    <row r="36">
      <c r="A36" s="17" t="inlineStr">
        <is>
          <t>Hensatte forpligtelser</t>
        </is>
      </c>
      <c r="B36" s="16" t="n">
        <v>31241</v>
      </c>
      <c r="C36" s="16" t="n">
        <v>20074</v>
      </c>
      <c r="D36" s="16" t="n">
        <v>15734</v>
      </c>
      <c r="E36" s="16" t="n">
        <v>13912</v>
      </c>
      <c r="F36" s="16" t="n">
        <v>15254</v>
      </c>
    </row>
    <row r="37">
      <c r="A37" s="17" t="inlineStr">
        <is>
          <t>Langfristede gældsforpligtelser</t>
        </is>
      </c>
      <c r="B37" s="16" t="n">
        <v>2355</v>
      </c>
      <c r="C37" s="16" t="n">
        <v>2092</v>
      </c>
      <c r="D37" s="16" t="n">
        <v>2185</v>
      </c>
      <c r="E37" s="16" t="n">
        <v>1851</v>
      </c>
      <c r="F37" s="16" t="n">
        <v>1829</v>
      </c>
    </row>
    <row r="38">
      <c r="A38" s="15" t="inlineStr">
        <is>
          <t>Ansvarlig lånekapital (kortfristet)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Kortfristet del af langfristede gældsforpligtelser</t>
        </is>
      </c>
      <c r="B39" s="16" t="n"/>
      <c r="C39" s="16" t="n"/>
      <c r="D39" s="16" t="n"/>
      <c r="E39" s="16" t="n"/>
      <c r="F39" s="16" t="n"/>
    </row>
    <row r="40">
      <c r="A40" s="15" t="inlineStr">
        <is>
          <t>Kreditinstitutter</t>
        </is>
      </c>
      <c r="B40" s="16" t="n"/>
      <c r="C40" s="16" t="n"/>
      <c r="D40" s="16" t="n"/>
      <c r="E40" s="16" t="n"/>
      <c r="F40" s="16" t="n"/>
    </row>
    <row r="41">
      <c r="A41" s="15" t="inlineStr">
        <is>
          <t>Leasingforpligtelser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Leverandører af varer og tjenesteydelser</t>
        </is>
      </c>
      <c r="B42" s="16" t="n">
        <v>36512</v>
      </c>
      <c r="C42" s="16" t="n">
        <v>52010</v>
      </c>
      <c r="D42" s="16" t="n">
        <v>59640</v>
      </c>
      <c r="E42" s="16" t="n">
        <v>45797</v>
      </c>
      <c r="F42" s="16" t="n">
        <v>78218</v>
      </c>
    </row>
    <row r="43">
      <c r="A43" s="15" t="inlineStr">
        <is>
          <t>Gæld til tilknyttede virksomheder</t>
        </is>
      </c>
      <c r="B43" s="16" t="n">
        <v>93231</v>
      </c>
      <c r="C43" s="16" t="n">
        <v>12939</v>
      </c>
      <c r="D43" s="16" t="n">
        <v>35115</v>
      </c>
      <c r="E43" s="16" t="n">
        <v>25911</v>
      </c>
      <c r="F43" s="16" t="n">
        <v>22924</v>
      </c>
    </row>
    <row r="44">
      <c r="A44" s="15" t="inlineStr">
        <is>
          <t>Gæld til selskabsdeltagere og ledelse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Selskabsskat</t>
        </is>
      </c>
      <c r="B45" s="16" t="n">
        <v>5133</v>
      </c>
      <c r="C45" s="16" t="n">
        <v>0</v>
      </c>
      <c r="D45" s="16" t="n">
        <v>14474</v>
      </c>
      <c r="E45" s="16" t="n">
        <v>0</v>
      </c>
      <c r="F45" s="16" t="n"/>
    </row>
    <row r="46">
      <c r="A46" s="15" t="inlineStr">
        <is>
          <t>Gæld til tilknyttede virksomheder vedr. selskabsskat</t>
        </is>
      </c>
      <c r="B46" s="16" t="n"/>
      <c r="C46" s="16" t="n"/>
      <c r="D46" s="16" t="n"/>
      <c r="E46" s="16" t="n"/>
      <c r="F46" s="16" t="n"/>
    </row>
    <row r="47">
      <c r="A47" s="15" t="inlineStr">
        <is>
          <t>Anden gæld (kortfristet)</t>
        </is>
      </c>
      <c r="B47" s="16" t="n">
        <v>28636</v>
      </c>
      <c r="C47" s="16" t="n">
        <v>36068</v>
      </c>
      <c r="D47" s="16" t="n">
        <v>32207</v>
      </c>
      <c r="E47" s="16" t="n">
        <v>41453</v>
      </c>
      <c r="F47" s="16" t="n">
        <v>28174</v>
      </c>
    </row>
    <row r="48">
      <c r="A48" s="15" t="inlineStr">
        <is>
          <t>Periodeafgrænsningsposter (passiver)</t>
        </is>
      </c>
      <c r="B48" s="16" t="n">
        <v>21098</v>
      </c>
      <c r="C48" s="16" t="n">
        <v>20763</v>
      </c>
      <c r="D48" s="16" t="n">
        <v>20631</v>
      </c>
      <c r="E48" s="16" t="n">
        <v>20586</v>
      </c>
      <c r="F48" s="16" t="n">
        <v>19245</v>
      </c>
    </row>
    <row r="49">
      <c r="A49" s="17" t="inlineStr">
        <is>
          <t>Kortfristede gældsforpligtelser</t>
        </is>
      </c>
      <c r="B49" s="16" t="n">
        <v>198877</v>
      </c>
      <c r="C49" s="16" t="n">
        <v>138868</v>
      </c>
      <c r="D49" s="16" t="n">
        <v>168084</v>
      </c>
      <c r="E49" s="16" t="n">
        <v>147822</v>
      </c>
      <c r="F49" s="16" t="n">
        <v>180788</v>
      </c>
    </row>
    <row r="50">
      <c r="A50" s="17" t="inlineStr">
        <is>
          <t>Gældsforpligtelser</t>
        </is>
      </c>
      <c r="B50" s="16" t="n">
        <v>201232</v>
      </c>
      <c r="C50" s="16" t="n">
        <v>140960</v>
      </c>
      <c r="D50" s="16" t="n">
        <v>170269</v>
      </c>
      <c r="E50" s="16" t="n">
        <v>149673</v>
      </c>
      <c r="F50" s="16" t="n">
        <v>182617</v>
      </c>
    </row>
    <row r="51">
      <c r="A51" s="17" t="inlineStr">
        <is>
          <t>Passiver</t>
        </is>
      </c>
      <c r="B51" s="16" t="n">
        <v>698249</v>
      </c>
      <c r="C51" s="16" t="n">
        <v>764153</v>
      </c>
      <c r="D51" s="16" t="n">
        <v>875696</v>
      </c>
      <c r="E51" s="16" t="n">
        <v>933123</v>
      </c>
      <c r="F51" s="16" t="n">
        <v>1038499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Linde Gas A/S (CVR 10290511) — Regnskabs- og nøgletal (CVR: 10290511)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'res_raw_10290511'!$F$2</f>
        <v/>
      </c>
      <c r="C5" s="24">
        <f>'res_raw_10290511'!$E$2</f>
        <v/>
      </c>
      <c r="D5" s="24">
        <f>'res_raw_10290511'!$D$2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-'res_raw_10290511'!$F$3</f>
        <v/>
      </c>
      <c r="C6" s="24">
        <f>-'res_raw_10290511'!$E$3</f>
        <v/>
      </c>
      <c r="D6" s="24">
        <f>-'res_raw_10290511'!$D$3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IF(ABS((SUM(B5:B6))-'res_raw_10290511'!$F$4)&lt;=2,SUM(B5:B6),'res_raw_10290511'!$F$4)</f>
        <v/>
      </c>
      <c r="C7" s="27">
        <f>IF(ABS((SUM(C5:C6))-'res_raw_10290511'!$E$4)&lt;=2,SUM(C5:C6),'res_raw_10290511'!$E$4)</f>
        <v/>
      </c>
      <c r="D7" s="27">
        <f>IF(ABS((SUM(D5:D6))-'res_raw_10290511'!$D$4)&lt;=2,SUM(D5:D6),'res_raw_10290511'!$D$4)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Udviklingsomkostninger</t>
        </is>
      </c>
      <c r="B8" s="24">
        <f>-'res_raw_10290511'!$F$5</f>
        <v/>
      </c>
      <c r="C8" s="24">
        <f>-'res_raw_10290511'!$E$5</f>
        <v/>
      </c>
      <c r="D8" s="24">
        <f>-'res_raw_10290511'!$D$5</f>
        <v/>
      </c>
      <c r="F8" s="25" t="inlineStr">
        <is>
          <t>ifrs-full:ResearchAndDevelopmentExpense (vises negativt). Udviklingsomkostninger ført i resultatet (v15_21; B&amp;O m.fl.).</t>
        </is>
      </c>
    </row>
    <row r="9">
      <c r="A9" s="23" t="inlineStr">
        <is>
          <t>Salgs- og distributionsomk.</t>
        </is>
      </c>
      <c r="B9" s="24">
        <f>-'res_raw_10290511'!$F$6</f>
        <v/>
      </c>
      <c r="C9" s="24">
        <f>-'res_raw_10290511'!$E$6</f>
        <v/>
      </c>
      <c r="D9" s="24">
        <f>-'res_raw_10290511'!$D$6</f>
        <v/>
      </c>
      <c r="F9" s="25" t="inlineStr">
        <is>
          <t>fsa:DistributionCosts (vises negativt). Marketing, salg, distribution.</t>
        </is>
      </c>
    </row>
    <row r="10">
      <c r="A10" s="23" t="inlineStr">
        <is>
          <t>Administrationsomkostninger mv.</t>
        </is>
      </c>
      <c r="B10" s="24">
        <f>-'res_raw_10290511'!$F$7</f>
        <v/>
      </c>
      <c r="C10" s="24">
        <f>-'res_raw_10290511'!$E$7</f>
        <v/>
      </c>
      <c r="D10" s="24">
        <f>-'res_raw_10290511'!$D$7</f>
        <v/>
      </c>
      <c r="F10" s="25" t="inlineStr">
        <is>
          <t>fsa:AdministrativeExpenses (vises negativt). Generel administration.</t>
        </is>
      </c>
    </row>
    <row r="11">
      <c r="A11" s="23" t="inlineStr">
        <is>
          <t>Andre driftsindtægter</t>
        </is>
      </c>
      <c r="B11" s="24">
        <f>'res_raw_10290511'!$F$8</f>
        <v/>
      </c>
      <c r="C11" s="24">
        <f>'res_raw_10290511'!$E$8</f>
        <v/>
      </c>
      <c r="D11" s="24">
        <f>'res_raw_10290511'!$D$8</f>
        <v/>
      </c>
      <c r="F11" s="25" t="inlineStr">
        <is>
          <t>fsa:OtherOperatingIncome. Sekundære driftsindtægter (huslejeindtægter, off. tilskud, avancer mv.).</t>
        </is>
      </c>
    </row>
    <row r="12">
      <c r="A12" s="26" t="inlineStr">
        <is>
          <t>Andre driftsomkostninger</t>
        </is>
      </c>
      <c r="B12" s="27">
        <f>-'res_raw_10290511'!$F$9</f>
        <v/>
      </c>
      <c r="C12" s="27">
        <f>-'res_raw_10290511'!$E$9</f>
        <v/>
      </c>
      <c r="D12" s="27">
        <f>-'res_raw_10290511'!$D$9</f>
        <v/>
      </c>
      <c r="F12" s="28" t="inlineStr">
        <is>
          <t>fsa:OtherOperatingExpenses (vises negativt). Sekundære driftsomkostninger.</t>
        </is>
      </c>
    </row>
    <row r="13">
      <c r="A13" s="29" t="inlineStr">
        <is>
          <t>Resultat af primær drift</t>
        </is>
      </c>
      <c r="B13" s="30">
        <f>IF(ABS((SUM(B7:B12))-'res_raw_10290511'!$F$10)&lt;=2,SUM(B7:B12),'res_raw_10290511'!$F$10)</f>
        <v/>
      </c>
      <c r="C13" s="30">
        <f>IF(ABS((SUM(C7:C12))-'res_raw_10290511'!$E$10)&lt;=2,SUM(C7:C12),'res_raw_10290511'!$E$10)</f>
        <v/>
      </c>
      <c r="D13" s="30">
        <f>IF(ABS((SUM(D7:D12))-'res_raw_10290511'!$D$10)&lt;=2,SUM(D7:D12),'res_raw_10290511'!$D$10)</f>
        <v/>
      </c>
      <c r="F13" s="25" t="inlineStr">
        <is>
          <t>Beregnet: Bruttoresultat − Udviklingsomk. − Salgs/dist. − Administration + Andre driftsindt. − Andre driftsomk. EBIT.</t>
        </is>
      </c>
    </row>
    <row r="14">
      <c r="A14" s="23" t="inlineStr">
        <is>
          <t>Finansielle indtægter mv.</t>
        </is>
      </c>
      <c r="B14" s="24">
        <f>N('res_raw_10290511'!$F$11)+N('res_raw_10290511'!$F$12)</f>
        <v/>
      </c>
      <c r="C14" s="24">
        <f>N('res_raw_10290511'!$E$11)+N('res_raw_10290511'!$E$12)</f>
        <v/>
      </c>
      <c r="D14" s="24">
        <f>N('res_raw_10290511'!$D$11)+N('res_raw_10290511'!$D$12)</f>
        <v/>
      </c>
      <c r="F14" s="25" t="inlineStr">
        <is>
          <t>fsa:IncomeFromSubsidiaries + fsa:OtherFinanceIncome.</t>
        </is>
      </c>
    </row>
    <row r="15">
      <c r="A15" s="26" t="inlineStr">
        <is>
          <t>Finansielle omkostninger mv.</t>
        </is>
      </c>
      <c r="B15" s="27">
        <f>-'res_raw_10290511'!$F$13</f>
        <v/>
      </c>
      <c r="C15" s="27">
        <f>-'res_raw_10290511'!$E$13</f>
        <v/>
      </c>
      <c r="D15" s="27">
        <f>-'res_raw_10290511'!$D$13</f>
        <v/>
      </c>
      <c r="F15" s="28" t="inlineStr">
        <is>
          <t>fsa:OtherFinanceExpenses (vises negativt). Renteomkostninger, kurstab.</t>
        </is>
      </c>
    </row>
    <row r="16">
      <c r="A16" s="29" t="inlineStr">
        <is>
          <t>Resultat før skat</t>
        </is>
      </c>
      <c r="B16" s="30">
        <f>IF(ABS((SUM(B13:B15))-'res_raw_10290511'!$F$15)&lt;=2,SUM(B13:B15),'res_raw_10290511'!$F$15)</f>
        <v/>
      </c>
      <c r="C16" s="30">
        <f>IF(ABS((SUM(C13:C15))-'res_raw_10290511'!$E$15)&lt;=2,SUM(C13:C15),'res_raw_10290511'!$E$15)</f>
        <v/>
      </c>
      <c r="D16" s="30">
        <f>IF(ABS((SUM(D13:D15))-'res_raw_10290511'!$D$15)&lt;=2,SUM(D13:D15),'res_raw_10290511'!$D$15)</f>
        <v/>
      </c>
      <c r="F16" s="25" t="inlineStr">
        <is>
          <t>Beregnet: EBIT + Fin. indtægter + Fin. omk. EBT.</t>
        </is>
      </c>
    </row>
    <row r="17">
      <c r="A17" s="31" t="n"/>
      <c r="B17" s="31" t="n"/>
      <c r="C17" s="31" t="n"/>
      <c r="D17" s="31" t="n"/>
      <c r="F17" s="31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'balance_raw_10290511'!$F$11</f>
        <v/>
      </c>
      <c r="C19" s="24">
        <f>'balance_raw_10290511'!$E$11</f>
        <v/>
      </c>
      <c r="D19" s="24">
        <f>'balance_raw_10290511'!$D$11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'balance_raw_10290511'!$F$26</f>
        <v/>
      </c>
      <c r="C20" s="24">
        <f>'balance_raw_10290511'!$E$26</f>
        <v/>
      </c>
      <c r="D20" s="24">
        <f>'balance_raw_10290511'!$D$26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31" t="n"/>
      <c r="B22" s="31" t="n"/>
      <c r="C22" s="31" t="n"/>
      <c r="D22" s="31" t="n"/>
      <c r="F22" s="31" t="n"/>
    </row>
    <row r="23">
      <c r="A23" s="23" t="inlineStr">
        <is>
          <t>Egenkapital</t>
        </is>
      </c>
      <c r="B23" s="24">
        <f>'balance_raw_10290511'!$F$34</f>
        <v/>
      </c>
      <c r="C23" s="24">
        <f>'balance_raw_10290511'!$E$34</f>
        <v/>
      </c>
      <c r="D23" s="24">
        <f>'balance_raw_10290511'!$D$34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'balance_raw_10290511'!$F$51-'balance_raw_10290511'!$F$34</f>
        <v/>
      </c>
      <c r="C24" s="24">
        <f>'balance_raw_10290511'!$E$51-'balance_raw_10290511'!$E$34</f>
        <v/>
      </c>
      <c r="D24" s="24">
        <f>'balance_raw_10290511'!$D$51-'balance_raw_10290511'!$D$34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31" t="n"/>
      <c r="B26" s="31" t="n"/>
      <c r="C26" s="31" t="n"/>
      <c r="D26" s="31" t="n"/>
      <c r="F26" s="31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'balance_raw_10290511'!$F$15</f>
        <v/>
      </c>
      <c r="C28" s="24">
        <f>'balance_raw_10290511'!$E$15</f>
        <v/>
      </c>
      <c r="D28" s="24">
        <f>'balance_raw_10290511'!$D$15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'balance_raw_10290511'!$F$16</f>
        <v/>
      </c>
      <c r="C29" s="24">
        <f>'balance_raw_10290511'!$E$16</f>
        <v/>
      </c>
      <c r="D29" s="24">
        <f>'balance_raw_10290511'!$D$16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'balance_raw_10290511'!$F$49</f>
        <v/>
      </c>
      <c r="C30" s="24">
        <f>'balance_raw_10290511'!$E$49</f>
        <v/>
      </c>
      <c r="D30" s="24">
        <f>'balance_raw_10290511'!$D$49</f>
        <v/>
      </c>
      <c r="F30" s="25" t="inlineStr">
        <is>
          <t>fsa:ShorttermLiabilitiesOtherThanProvisions. Gæld der forfalder inden for 1 år.</t>
        </is>
      </c>
    </row>
    <row r="31">
      <c r="A31" s="31" t="n"/>
      <c r="B31" s="31" t="n"/>
      <c r="C31" s="31" t="n"/>
      <c r="D31" s="31" t="n"/>
      <c r="F31" s="31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2">
        <f>IFERROR((B13+B14)/B21*100,"")</f>
        <v/>
      </c>
      <c r="C33" s="32">
        <f>IFERROR((C13+C14)/C21*100,"")</f>
        <v/>
      </c>
      <c r="D33" s="32">
        <f>IFERROR((D13+D14)/D21*100,"")</f>
        <v/>
      </c>
      <c r="F33" s="31" t="n"/>
    </row>
    <row r="34">
      <c r="A34" s="23" t="inlineStr">
        <is>
          <t>Overskudsgrad, %</t>
        </is>
      </c>
      <c r="B34" s="32">
        <f>IFERROR((B13+B14)/B5*100,"")</f>
        <v/>
      </c>
      <c r="C34" s="32">
        <f>IFERROR((C13+C14)/C5*100,"")</f>
        <v/>
      </c>
      <c r="D34" s="32">
        <f>IFERROR((D13+D14)/D5*100,"")</f>
        <v/>
      </c>
      <c r="F34" s="31" t="n"/>
    </row>
    <row r="35">
      <c r="A35" s="23" t="inlineStr">
        <is>
          <t>Aktivernes omsætningshastighed, gange</t>
        </is>
      </c>
      <c r="B35" s="32">
        <f>IFERROR(B5/B21,"")</f>
        <v/>
      </c>
      <c r="C35" s="32">
        <f>IFERROR(C5/C21,"")</f>
        <v/>
      </c>
      <c r="D35" s="32">
        <f>IFERROR(D5/D21,"")</f>
        <v/>
      </c>
      <c r="F35" s="31" t="n"/>
    </row>
    <row r="36">
      <c r="A36" s="23" t="inlineStr">
        <is>
          <t>Gældsrente, %</t>
        </is>
      </c>
      <c r="B36" s="32">
        <f>IFERROR(-B15*100/B24,"")</f>
        <v/>
      </c>
      <c r="C36" s="32">
        <f>IFERROR(-C15*100/C24,"")</f>
        <v/>
      </c>
      <c r="D36" s="32">
        <f>IFERROR(-D15*100/D24,"")</f>
        <v/>
      </c>
      <c r="F36" s="31" t="n"/>
    </row>
    <row r="37">
      <c r="A37" s="23" t="inlineStr">
        <is>
          <t>Egenkapitalens forrentning, %</t>
        </is>
      </c>
      <c r="B37" s="32">
        <f>IFERROR(B16/B23*100,"")</f>
        <v/>
      </c>
      <c r="C37" s="32">
        <f>IFERROR(C16/C23*100,"")</f>
        <v/>
      </c>
      <c r="D37" s="32">
        <f>IFERROR(D16/D23*100,"")</f>
        <v/>
      </c>
      <c r="F37" s="31" t="n"/>
    </row>
    <row r="38">
      <c r="A38" s="23" t="inlineStr">
        <is>
          <t>Gearing, gange</t>
        </is>
      </c>
      <c r="B38" s="32">
        <f>IFERROR(B24/B23,"")</f>
        <v/>
      </c>
      <c r="C38" s="32">
        <f>IFERROR(C24/C23,"")</f>
        <v/>
      </c>
      <c r="D38" s="32">
        <f>IFERROR(D24/D23,"")</f>
        <v/>
      </c>
      <c r="F38" s="31" t="n"/>
    </row>
    <row r="39">
      <c r="A39" s="31" t="n"/>
      <c r="B39" s="31" t="n"/>
      <c r="C39" s="31" t="n"/>
      <c r="D39" s="31" t="n"/>
      <c r="F39" s="31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3">
        <f>IFERROR(B5/$D5*100,"")</f>
        <v/>
      </c>
      <c r="C41" s="33">
        <f>IFERROR(C5/$D5*100,"")</f>
        <v/>
      </c>
      <c r="D41" s="33">
        <f>IFERROR(D5/$D5*100,"")</f>
        <v/>
      </c>
      <c r="F41" s="31" t="n"/>
    </row>
    <row r="42">
      <c r="A42" s="23" t="inlineStr">
        <is>
          <t>Produktionsomkostninger</t>
        </is>
      </c>
      <c r="B42" s="33">
        <f>IFERROR(B6/$D6*100,"")</f>
        <v/>
      </c>
      <c r="C42" s="33">
        <f>IFERROR(C6/$D6*100,"")</f>
        <v/>
      </c>
      <c r="D42" s="33">
        <f>IFERROR(D6/$D6*100,"")</f>
        <v/>
      </c>
      <c r="F42" s="31" t="n"/>
    </row>
    <row r="43">
      <c r="A43" s="23" t="inlineStr">
        <is>
          <t>Udviklingsomkostninger</t>
        </is>
      </c>
      <c r="B43" s="33">
        <f>IFERROR(B8/$D8*100,"")</f>
        <v/>
      </c>
      <c r="C43" s="33">
        <f>IFERROR(C8/$D8*100,"")</f>
        <v/>
      </c>
      <c r="D43" s="33">
        <f>IFERROR(D8/$D8*100,"")</f>
        <v/>
      </c>
      <c r="F43" s="31" t="n"/>
    </row>
    <row r="44">
      <c r="A44" s="23" t="inlineStr">
        <is>
          <t>Salgs- og distributionsomk.</t>
        </is>
      </c>
      <c r="B44" s="33">
        <f>IFERROR(B9/$D9*100,"")</f>
        <v/>
      </c>
      <c r="C44" s="33">
        <f>IFERROR(C9/$D9*100,"")</f>
        <v/>
      </c>
      <c r="D44" s="33">
        <f>IFERROR(D9/$D9*100,"")</f>
        <v/>
      </c>
      <c r="F44" s="31" t="n"/>
    </row>
    <row r="45">
      <c r="A45" s="23" t="inlineStr">
        <is>
          <t>Administrationsomk.</t>
        </is>
      </c>
      <c r="B45" s="33">
        <f>IFERROR(B10/$D10*100,"")</f>
        <v/>
      </c>
      <c r="C45" s="33">
        <f>IFERROR(C10/$D10*100,"")</f>
        <v/>
      </c>
      <c r="D45" s="33">
        <f>IFERROR(D10/$D10*100,"")</f>
        <v/>
      </c>
      <c r="F45" s="31" t="n"/>
    </row>
    <row r="46">
      <c r="A46" s="23" t="inlineStr">
        <is>
          <t>Andre driftsomkostninger</t>
        </is>
      </c>
      <c r="B46" s="33">
        <f>IFERROR(B12/$D12*100,"")</f>
        <v/>
      </c>
      <c r="C46" s="33">
        <f>IFERROR(C12/$D12*100,"")</f>
        <v/>
      </c>
      <c r="D46" s="33">
        <f>IFERROR(D12/$D12*100,"")</f>
        <v/>
      </c>
      <c r="F46" s="31" t="n"/>
    </row>
    <row r="47">
      <c r="A47" s="31" t="n"/>
      <c r="B47" s="31" t="n"/>
      <c r="C47" s="31" t="n"/>
      <c r="D47" s="31" t="n"/>
      <c r="F47" s="31" t="n"/>
    </row>
    <row r="48">
      <c r="A48" s="22" t="inlineStr">
        <is>
          <t>Indekstal for kapitaltilpasningsevne (2023=100)</t>
        </is>
      </c>
      <c r="B48" s="22" t="n"/>
      <c r="C48" s="22" t="n"/>
      <c r="D48" s="22" t="n"/>
      <c r="F48" s="22" t="n"/>
    </row>
    <row r="49">
      <c r="A49" s="23" t="inlineStr">
        <is>
          <t>Nettoomsætning</t>
        </is>
      </c>
      <c r="B49" s="33">
        <f>IFERROR(B5*100/$D5,"")</f>
        <v/>
      </c>
      <c r="C49" s="33">
        <f>IFERROR(C5*100/$D5,"")</f>
        <v/>
      </c>
      <c r="D49" s="33">
        <f>IFERROR(D5*100/$D5,"")</f>
        <v/>
      </c>
      <c r="F49" s="31" t="n"/>
    </row>
    <row r="50">
      <c r="A50" s="23" t="inlineStr">
        <is>
          <t>Anlægsaktiver</t>
        </is>
      </c>
      <c r="B50" s="33">
        <f>IFERROR(B19*100/$D19,"")</f>
        <v/>
      </c>
      <c r="C50" s="33">
        <f>IFERROR(C19*100/$D19,"")</f>
        <v/>
      </c>
      <c r="D50" s="33">
        <f>IFERROR(D19*100/$D19,"")</f>
        <v/>
      </c>
      <c r="F50" s="31" t="n"/>
    </row>
    <row r="51">
      <c r="A51" s="23" t="inlineStr">
        <is>
          <t>Varebeholdninger</t>
        </is>
      </c>
      <c r="B51" s="33">
        <f>IFERROR(B28*100/$D28,"")</f>
        <v/>
      </c>
      <c r="C51" s="33">
        <f>IFERROR(C28*100/$D28,"")</f>
        <v/>
      </c>
      <c r="D51" s="33">
        <f>IFERROR(D28*100/$D28,"")</f>
        <v/>
      </c>
      <c r="F51" s="31" t="n"/>
    </row>
    <row r="52">
      <c r="A52" s="23" t="inlineStr">
        <is>
          <t>Tilgodehavender fra salg</t>
        </is>
      </c>
      <c r="B52" s="33">
        <f>IFERROR(B29*100/$D29,"")</f>
        <v/>
      </c>
      <c r="C52" s="33">
        <f>IFERROR(C29*100/$D29,"")</f>
        <v/>
      </c>
      <c r="D52" s="33">
        <f>IFERROR(D29*100/$D29,"")</f>
        <v/>
      </c>
      <c r="F52" s="31" t="n"/>
    </row>
    <row r="53">
      <c r="A53" s="31" t="n"/>
      <c r="B53" s="31" t="n"/>
      <c r="C53" s="31" t="n"/>
      <c r="D53" s="31" t="n"/>
      <c r="F53" s="31" t="n"/>
    </row>
    <row r="54">
      <c r="A54" s="22" t="inlineStr">
        <is>
          <t>Soliditet og likviditet</t>
        </is>
      </c>
      <c r="B54" s="22" t="n"/>
      <c r="C54" s="22" t="n"/>
      <c r="D54" s="22" t="n"/>
      <c r="F54" s="22" t="n"/>
    </row>
    <row r="55">
      <c r="A55" s="23" t="inlineStr">
        <is>
          <t>Soliditetsgrad, %</t>
        </is>
      </c>
      <c r="B55" s="32">
        <f>IFERROR(B23*100/B21,"")</f>
        <v/>
      </c>
      <c r="C55" s="32">
        <f>IFERROR(C23*100/C21,"")</f>
        <v/>
      </c>
      <c r="D55" s="32">
        <f>IFERROR(D23*100/D21,"")</f>
        <v/>
      </c>
      <c r="F55" s="31" t="n"/>
    </row>
    <row r="56">
      <c r="A56" s="23" t="inlineStr">
        <is>
          <t>Gældsandel, %</t>
        </is>
      </c>
      <c r="B56" s="32">
        <f>IFERROR(B24*100/B21,"")</f>
        <v/>
      </c>
      <c r="C56" s="32">
        <f>IFERROR(C24*100/C21,"")</f>
        <v/>
      </c>
      <c r="D56" s="32">
        <f>IFERROR(D24*100/D21,"")</f>
        <v/>
      </c>
      <c r="F56" s="31" t="n"/>
    </row>
    <row r="57">
      <c r="A57" s="23" t="inlineStr">
        <is>
          <t>Likviditetsgrad, %</t>
        </is>
      </c>
      <c r="B57" s="32">
        <f>IFERROR(B20*100/B30,"")</f>
        <v/>
      </c>
      <c r="C57" s="32">
        <f>IFERROR(C20*100/C30,"")</f>
        <v/>
      </c>
      <c r="D57" s="32">
        <f>IFERROR(D20*100/D30,"")</f>
        <v/>
      </c>
      <c r="F57" s="31" t="n"/>
    </row>
    <row r="58">
      <c r="A58" s="31" t="n"/>
      <c r="B58" s="31" t="n"/>
      <c r="C58" s="31" t="n"/>
      <c r="D58" s="31" t="n"/>
      <c r="F58" s="31" t="n"/>
    </row>
    <row r="59">
      <c r="A59" s="34" t="inlineStr">
        <is>
          <t>Kilde: Bearbejdet uddrag af årsrapporter for 2023-2025. Alle dataceller er live formler der peger på res_raw / balance_raw.</t>
        </is>
      </c>
      <c r="B59" s="31" t="n"/>
      <c r="C59" s="31" t="n"/>
      <c r="D59" s="31" t="n"/>
      <c r="F59" s="31" t="n"/>
    </row>
    <row r="60">
      <c r="A60" s="31" t="n"/>
      <c r="B60" s="31" t="n"/>
      <c r="C60" s="31" t="n"/>
      <c r="D60" s="31" t="n"/>
      <c r="F60" s="31" t="n"/>
    </row>
    <row r="61">
      <c r="A61" s="22" t="inlineStr">
        <is>
          <t>Krydstjek mod rådata (tolerance: 1 t.kr.)</t>
        </is>
      </c>
      <c r="B61" s="22" t="n"/>
      <c r="C61" s="22" t="n"/>
      <c r="D61" s="22" t="n"/>
      <c r="F61" s="22" t="n"/>
    </row>
    <row r="62">
      <c r="A62" s="23" t="inlineStr">
        <is>
          <t>Aktiver i alt = fsa:Assets</t>
        </is>
      </c>
      <c r="B62" s="31">
        <f>IF('balance_raw_10290511'!$F$27="","—",IF(ABS(B21-'balance_raw_10290511'!$F$27)&lt;=1,"✓ OK","❌ "&amp;TEXT(B21-'balance_raw_10290511'!$F$27,"+#,##0;-#,##0")&amp;" t.kr."))</f>
        <v/>
      </c>
      <c r="C62" s="31">
        <f>IF('balance_raw_10290511'!$E$27="","—",IF(ABS(C21-'balance_raw_10290511'!$E$27)&lt;=1,"✓ OK","❌ "&amp;TEXT(C21-'balance_raw_10290511'!$E$27,"+#,##0;-#,##0")&amp;" t.kr."))</f>
        <v/>
      </c>
      <c r="D62" s="31">
        <f>IF('balance_raw_10290511'!$D$27="","—",IF(ABS(D21-'balance_raw_10290511'!$D$27)&lt;=1,"✓ OK","❌ "&amp;TEXT(D21-'balance_raw_10290511'!$D$27,"+#,##0;-#,##0")&amp;" t.kr."))</f>
        <v/>
      </c>
      <c r="F62" s="25" t="inlineStr">
        <is>
          <t>Verificerer at sum(Anlæg+Omsætning) matcher Assets-totalen.</t>
        </is>
      </c>
    </row>
    <row r="63">
      <c r="A63" s="23" t="inlineStr">
        <is>
          <t>Passiver i alt = fsa:LiabilitiesAndEquity</t>
        </is>
      </c>
      <c r="B63" s="31">
        <f>IF('balance_raw_10290511'!$F$51="","—",IF(ABS(B25-'balance_raw_10290511'!$F$51)&lt;=1,"✓ OK","❌ "&amp;TEXT(B25-'balance_raw_10290511'!$F$51,"+#,##0;-#,##0")&amp;" t.kr."))</f>
        <v/>
      </c>
      <c r="C63" s="31">
        <f>IF('balance_raw_10290511'!$E$51="","—",IF(ABS(C25-'balance_raw_10290511'!$E$51)&lt;=1,"✓ OK","❌ "&amp;TEXT(C25-'balance_raw_10290511'!$E$51,"+#,##0;-#,##0")&amp;" t.kr."))</f>
        <v/>
      </c>
      <c r="D63" s="31">
        <f>IF('balance_raw_10290511'!$D$51="","—",IF(ABS(D25-'balance_raw_10290511'!$D$51)&lt;=1,"✓ OK","❌ "&amp;TEXT(D25-'balance_raw_10290511'!$D$51,"+#,##0;-#,##0")&amp;" t.kr."))</f>
        <v/>
      </c>
      <c r="F63" s="25" t="inlineStr">
        <is>
          <t>Verificerer at sum(EK+Forpligtelser) matcher Passiver-totalen.</t>
        </is>
      </c>
    </row>
    <row r="64">
      <c r="A64" s="23" t="inlineStr">
        <is>
          <t>Aktiver i alt = Passiver i alt</t>
        </is>
      </c>
      <c r="B64" s="31">
        <f>IF(ABS(B21-B25)&lt;=1,"✓ OK","❌ "&amp;TEXT(B21-B25,"+#,##0;-#,##0")&amp;" t.kr.")</f>
        <v/>
      </c>
      <c r="C64" s="31">
        <f>IF(ABS(C21-C25)&lt;=1,"✓ OK","❌ "&amp;TEXT(C21-C25,"+#,##0;-#,##0")&amp;" t.kr.")</f>
        <v/>
      </c>
      <c r="D64" s="31">
        <f>IF(ABS(D21-D25)&lt;=1,"✓ OK","❌ "&amp;TEXT(D21-D25,"+#,##0;-#,##0")&amp;" t.kr.")</f>
        <v/>
      </c>
      <c r="F64" s="25" t="inlineStr">
        <is>
          <t>Balance-identitet på arket selv. Skal altid være 0 differance.</t>
        </is>
      </c>
    </row>
    <row r="65">
      <c r="A65" s="23" t="inlineStr">
        <is>
          <t>Bruttoresultat (beregnet) = fsa:GrossResult</t>
        </is>
      </c>
      <c r="B65" s="31">
        <f>IF('res_raw_10290511'!$F$4="","—",IF(ABS(B7-'res_raw_10290511'!$F$4)&lt;=1,"✓ OK","❌ "&amp;TEXT(B7-'res_raw_10290511'!$F$4,"+#,##0;-#,##0")&amp;" t.kr."))</f>
        <v/>
      </c>
      <c r="C65" s="31">
        <f>IF('res_raw_10290511'!$E$4="","—",IF(ABS(C7-'res_raw_10290511'!$E$4)&lt;=1,"✓ OK","❌ "&amp;TEXT(C7-'res_raw_10290511'!$E$4,"+#,##0;-#,##0")&amp;" t.kr."))</f>
        <v/>
      </c>
      <c r="D65" s="31">
        <f>IF('res_raw_10290511'!$D$4="","—",IF(ABS(D7-'res_raw_10290511'!$D$4)&lt;=1,"✓ OK","❌ "&amp;TEXT(D7-'res_raw_10290511'!$D$4,"+#,##0;-#,##0")&amp;" t.kr."))</f>
        <v/>
      </c>
      <c r="F65" s="25" t="inlineStr">
        <is>
          <t>Hvis Nettoomsætning eller omkostninger mangler, vil sumberegnet bruttoresultat afvige.</t>
        </is>
      </c>
    </row>
    <row r="66">
      <c r="A66" s="23" t="inlineStr">
        <is>
          <t>EBIT (beregnet) = fsa:ProfitLossFromOrdinaryOperatingActivities</t>
        </is>
      </c>
      <c r="B66" s="31">
        <f>IF('res_raw_10290511'!$F$10="","—",IF(ABS(B13-'res_raw_10290511'!$F$10)&lt;=1,"✓ OK","❌ "&amp;TEXT(B13-'res_raw_10290511'!$F$10,"+#,##0;-#,##0")&amp;" t.kr."))</f>
        <v/>
      </c>
      <c r="C66" s="31">
        <f>IF('res_raw_10290511'!$E$10="","—",IF(ABS(C13-'res_raw_10290511'!$E$10)&lt;=1,"✓ OK","❌ "&amp;TEXT(C13-'res_raw_10290511'!$E$10,"+#,##0;-#,##0")&amp;" t.kr."))</f>
        <v/>
      </c>
      <c r="D66" s="31">
        <f>IF('res_raw_10290511'!$D$10="","—",IF(ABS(D13-'res_raw_10290511'!$D$10)&lt;=1,"✓ OK","❌ "&amp;TEXT(D13-'res_raw_10290511'!$D$10,"+#,##0;-#,##0")&amp;" t.kr."))</f>
        <v/>
      </c>
      <c r="F66" s="25" t="inlineStr">
        <is>
          <t>Verificerer at sumberegnet EBIT matcher det rapporterede.</t>
        </is>
      </c>
    </row>
    <row r="67">
      <c r="A67" s="23" t="inlineStr">
        <is>
          <t>EBT (beregnet) = fsa:ProfitLossFromOrdinaryActivitiesBeforeTax</t>
        </is>
      </c>
      <c r="B67" s="31">
        <f>IF('res_raw_10290511'!$F$15="","—",IF(ABS(B16-'res_raw_10290511'!$F$15)&lt;=1,"✓ OK","❌ "&amp;TEXT(B16-'res_raw_10290511'!$F$15,"+#,##0;-#,##0")&amp;" t.kr."))</f>
        <v/>
      </c>
      <c r="C67" s="31">
        <f>IF('res_raw_10290511'!$E$15="","—",IF(ABS(C16-'res_raw_10290511'!$E$15)&lt;=1,"✓ OK","❌ "&amp;TEXT(C16-'res_raw_10290511'!$E$15,"+#,##0;-#,##0")&amp;" t.kr."))</f>
        <v/>
      </c>
      <c r="D67" s="31">
        <f>IF('res_raw_10290511'!$D$15="","—",IF(ABS(D16-'res_raw_10290511'!$D$15)&lt;=1,"✓ OK","❌ "&amp;TEXT(D16-'res_raw_10290511'!$D$15,"+#,##0;-#,##0")&amp;" t.kr."))</f>
        <v/>
      </c>
      <c r="F67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5" t="inlineStr">
        <is>
          <t>Linde Gas A/S (CVR 10290511)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6" t="inlineStr">
        <is>
          <t>Øvrige (ukendt)</t>
        </is>
      </c>
      <c r="B3" s="36" t="inlineStr">
        <is>
          <t>fsa:Dividend</t>
        </is>
      </c>
      <c r="C3" s="36" t="inlineStr">
        <is>
          <t>fsa:Dividend</t>
        </is>
      </c>
      <c r="D3" s="37" t="n">
        <v>0</v>
      </c>
      <c r="E3" s="37" t="n">
        <v>0</v>
      </c>
      <c r="F3" s="37" t="n">
        <v>75000</v>
      </c>
      <c r="G3" s="37" t="n">
        <v>100000</v>
      </c>
      <c r="H3" s="37" t="n">
        <v>130000</v>
      </c>
      <c r="I3" s="38" t="inlineStr">
        <is>
          <t>Ingen forklaring tilgængelig.</t>
        </is>
      </c>
    </row>
    <row r="4" ht="30" customHeight="1">
      <c r="A4" s="39" t="inlineStr">
        <is>
          <t>Øvrige (ukendt)</t>
        </is>
      </c>
      <c r="B4" s="39" t="inlineStr">
        <is>
          <t>fsa:LongtermDeferredIncome</t>
        </is>
      </c>
      <c r="C4" s="39" t="inlineStr">
        <is>
          <t>fsa:LongtermDeferredIncome</t>
        </is>
      </c>
      <c r="D4" s="40" t="n">
        <v>2355</v>
      </c>
      <c r="E4" s="40" t="n">
        <v>2092</v>
      </c>
      <c r="F4" s="40" t="n">
        <v>2185</v>
      </c>
      <c r="G4" s="40" t="n">
        <v>1851</v>
      </c>
      <c r="H4" s="40" t="n">
        <v>1829</v>
      </c>
      <c r="I4" s="41" t="inlineStr">
        <is>
          <t>Ingen forklaring tilgængelig.</t>
        </is>
      </c>
    </row>
    <row r="5" ht="30" customHeight="1">
      <c r="A5" s="36" t="inlineStr">
        <is>
          <t>Øvrige (ukendt)</t>
        </is>
      </c>
      <c r="B5" s="36" t="inlineStr">
        <is>
          <t>fsa:ShorttermContractWorkInProgressLiabilities</t>
        </is>
      </c>
      <c r="C5" s="36" t="inlineStr">
        <is>
          <t>fsa:ShorttermContractWorkInProgressLiabilities</t>
        </is>
      </c>
      <c r="D5" s="37" t="n">
        <v>13512</v>
      </c>
      <c r="E5" s="37" t="n">
        <v>15530</v>
      </c>
      <c r="F5" s="37" t="n">
        <v>4186</v>
      </c>
      <c r="G5" s="37" t="n">
        <v>12567</v>
      </c>
      <c r="H5" s="37" t="n">
        <v>29420</v>
      </c>
      <c r="I5" s="38" t="inlineStr">
        <is>
          <t>Ingen forklaring tilgængelig.</t>
        </is>
      </c>
    </row>
    <row r="6" ht="30" customHeight="1">
      <c r="A6" s="39" t="inlineStr">
        <is>
          <t>Øvrige (ukendt)</t>
        </is>
      </c>
      <c r="B6" s="39" t="inlineStr">
        <is>
          <t>fsa:ShorttermPayablesToAssociates</t>
        </is>
      </c>
      <c r="C6" s="39" t="inlineStr">
        <is>
          <t>fsa:ShorttermPayablesToAssociates</t>
        </is>
      </c>
      <c r="D6" s="40" t="n">
        <v>755</v>
      </c>
      <c r="E6" s="40" t="n">
        <v>1558</v>
      </c>
      <c r="F6" s="40" t="n">
        <v>1831</v>
      </c>
      <c r="G6" s="40" t="n">
        <v>1508</v>
      </c>
      <c r="H6" s="40" t="n">
        <v>2807</v>
      </c>
      <c r="I6" s="41" t="inlineStr">
        <is>
          <t>Ingen forklaring tilgængelig.</t>
        </is>
      </c>
    </row>
    <row r="7" ht="30" customHeight="1">
      <c r="A7" s="36" t="inlineStr">
        <is>
          <t>Øvrige (ukendt)</t>
        </is>
      </c>
      <c r="B7" s="36" t="inlineStr">
        <is>
          <t>fsa:ShorttermPayablesToParticipatingInterest</t>
        </is>
      </c>
      <c r="C7" s="36" t="inlineStr">
        <is>
          <t>fsa:ShorttermPayablesToParticipatingInterest</t>
        </is>
      </c>
      <c r="D7" s="37" t="n"/>
      <c r="E7" s="37" t="n">
        <v>0</v>
      </c>
      <c r="F7" s="37" t="n"/>
      <c r="G7" s="37" t="n"/>
      <c r="H7" s="37" t="n"/>
      <c r="I7" s="38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2026-10-01T22:18:37Z</dcterms:created>
  <dcterms:modified xmlns:dcterms="http://purl.org/dc/terms/" xmlns:xsi="http://www.w3.org/2001/XMLSchema-instance" xsi:type="dcterms:W3CDTF">2026-10-01T22:18:38Z</dcterms:modified>
</cp:coreProperties>
</file>