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'res_raw_10290511'!$B$5</f>
        <v/>
      </c>
      <c r="C7" s="11">
        <f>'res_raw_10290511'!$C$5</f>
        <v/>
      </c>
      <c r="D7" s="11">
        <f>'res_raw_10290511'!$D$5</f>
        <v/>
      </c>
      <c r="E7" s="11">
        <f>'res_raw_10290511'!$E$5</f>
        <v/>
      </c>
      <c r="F7" s="11">
        <f>'res_raw_10290511'!$F$5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'res_raw_10290511'!$B$7</f>
        <v/>
      </c>
      <c r="C9" s="8">
        <f>'res_raw_10290511'!$C$7</f>
        <v/>
      </c>
      <c r="D9" s="8">
        <f>'res_raw_10290511'!$D$7</f>
        <v/>
      </c>
      <c r="E9" s="8">
        <f>'res_raw_10290511'!$E$7</f>
        <v/>
      </c>
      <c r="F9" s="8">
        <f>'res_raw_10290511'!$F$7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'res_raw_10290511'!$B$9</f>
        <v/>
      </c>
      <c r="C11" s="11">
        <f>'res_raw_10290511'!$C$9</f>
        <v/>
      </c>
      <c r="D11" s="11">
        <f>'res_raw_10290511'!$D$9</f>
        <v/>
      </c>
      <c r="E11" s="11">
        <f>'res_raw_10290511'!$E$9</f>
        <v/>
      </c>
      <c r="F11" s="11">
        <f>'res_raw_10290511'!$F$9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'res_raw_10290511'!$B$10</f>
        <v/>
      </c>
      <c r="C12" s="8">
        <f>'res_raw_10290511'!$C$10</f>
        <v/>
      </c>
      <c r="D12" s="8">
        <f>'res_raw_10290511'!$D$10</f>
        <v/>
      </c>
      <c r="E12" s="8">
        <f>'res_raw_10290511'!$E$10</f>
        <v/>
      </c>
      <c r="F12" s="8">
        <f>'res_raw_10290511'!$F$10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'res_raw_10290511'!$B$13</f>
        <v/>
      </c>
      <c r="C15" s="11">
        <f>'res_raw_10290511'!$C$13</f>
        <v/>
      </c>
      <c r="D15" s="11">
        <f>'res_raw_10290511'!$D$13</f>
        <v/>
      </c>
      <c r="E15" s="11">
        <f>'res_raw_10290511'!$E$13</f>
        <v/>
      </c>
      <c r="F15" s="11">
        <f>'res_raw_10290511'!$F$13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'res_raw_10290511'!$B$15</f>
        <v/>
      </c>
      <c r="C17" s="8">
        <f>'res_raw_10290511'!$C$15</f>
        <v/>
      </c>
      <c r="D17" s="8">
        <f>'res_raw_10290511'!$D$15</f>
        <v/>
      </c>
      <c r="E17" s="8">
        <f>'res_raw_10290511'!$E$15</f>
        <v/>
      </c>
      <c r="F17" s="8">
        <f>'res_raw_10290511'!$F$15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'res_raw_10290511'!$B$16</f>
        <v/>
      </c>
      <c r="C18" s="5">
        <f>'res_raw_10290511'!$C$16</f>
        <v/>
      </c>
      <c r="D18" s="5">
        <f>'res_raw_10290511'!$D$16</f>
        <v/>
      </c>
      <c r="E18" s="5">
        <f>'res_raw_10290511'!$E$16</f>
        <v/>
      </c>
      <c r="F18" s="5">
        <f>'res_raw_10290511'!$F$16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'res_raw_10290511'!$B$17</f>
        <v/>
      </c>
      <c r="C19" s="8">
        <f>'res_raw_10290511'!$C$17</f>
        <v/>
      </c>
      <c r="D19" s="8">
        <f>'res_raw_10290511'!$D$17</f>
        <v/>
      </c>
      <c r="E19" s="8">
        <f>'res_raw_10290511'!$E$17</f>
        <v/>
      </c>
      <c r="F19" s="8">
        <f>'res_raw_10290511'!$F$17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'balance_raw_10290511'!$B$2</f>
        <v/>
      </c>
      <c r="C22" s="5">
        <f>'balance_raw_10290511'!$C$2</f>
        <v/>
      </c>
      <c r="D22" s="5">
        <f>'balance_raw_10290511'!$D$2</f>
        <v/>
      </c>
      <c r="E22" s="5">
        <f>'balance_raw_10290511'!$E$2</f>
        <v/>
      </c>
      <c r="F22" s="5">
        <f>'balance_raw_10290511'!$F$2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'balance_raw_10290511'!$B$3</f>
        <v/>
      </c>
      <c r="C23" s="11">
        <f>'balance_raw_10290511'!$C$3</f>
        <v/>
      </c>
      <c r="D23" s="11">
        <f>'balance_raw_10290511'!$D$3</f>
        <v/>
      </c>
      <c r="E23" s="11">
        <f>'balance_raw_10290511'!$E$3</f>
        <v/>
      </c>
      <c r="F23" s="11">
        <f>'balance_raw_10290511'!$F$3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'balance_raw_10290511'!$B$4</f>
        <v/>
      </c>
      <c r="C24" s="5">
        <f>'balance_raw_10290511'!$C$4</f>
        <v/>
      </c>
      <c r="D24" s="5">
        <f>'balance_raw_10290511'!$D$4</f>
        <v/>
      </c>
      <c r="E24" s="5">
        <f>'balance_raw_10290511'!$E$4</f>
        <v/>
      </c>
      <c r="F24" s="5">
        <f>'balance_raw_10290511'!$F$4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'balance_raw_10290511'!$B$5</f>
        <v/>
      </c>
      <c r="C25" s="11">
        <f>'balance_raw_10290511'!$C$5</f>
        <v/>
      </c>
      <c r="D25" s="11">
        <f>'balance_raw_10290511'!$D$5</f>
        <v/>
      </c>
      <c r="E25" s="11">
        <f>'balance_raw_10290511'!$E$5</f>
        <v/>
      </c>
      <c r="F25" s="11">
        <f>'balance_raw_10290511'!$F$5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'balance_raw_10290511'!$B$6</f>
        <v/>
      </c>
      <c r="C26" s="5">
        <f>'balance_raw_10290511'!$C$6</f>
        <v/>
      </c>
      <c r="D26" s="5">
        <f>'balance_raw_10290511'!$D$6</f>
        <v/>
      </c>
      <c r="E26" s="5">
        <f>'balance_raw_10290511'!$E$6</f>
        <v/>
      </c>
      <c r="F26" s="5">
        <f>'balance_raw_10290511'!$F$6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'balance_raw_10290511'!$B$7</f>
        <v/>
      </c>
      <c r="C27" s="8">
        <f>'balance_raw_10290511'!$C$7</f>
        <v/>
      </c>
      <c r="D27" s="8">
        <f>'balance_raw_10290511'!$D$7</f>
        <v/>
      </c>
      <c r="E27" s="8">
        <f>'balance_raw_10290511'!$E$7</f>
        <v/>
      </c>
      <c r="F27" s="8">
        <f>'balance_raw_10290511'!$F$7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'balance_raw_10290511'!$B$8</f>
        <v/>
      </c>
      <c r="C28" s="5">
        <f>'balance_raw_10290511'!$C$8</f>
        <v/>
      </c>
      <c r="D28" s="5">
        <f>'balance_raw_10290511'!$D$8</f>
        <v/>
      </c>
      <c r="E28" s="5">
        <f>'balance_raw_10290511'!$E$8</f>
        <v/>
      </c>
      <c r="F28" s="5">
        <f>'balance_raw_10290511'!$F$8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'balance_raw_10290511'!$B$9</f>
        <v/>
      </c>
      <c r="C29" s="11">
        <f>'balance_raw_10290511'!$C$9</f>
        <v/>
      </c>
      <c r="D29" s="11">
        <f>'balance_raw_10290511'!$D$9</f>
        <v/>
      </c>
      <c r="E29" s="11">
        <f>'balance_raw_10290511'!$E$9</f>
        <v/>
      </c>
      <c r="F29" s="11">
        <f>'balance_raw_10290511'!$F$9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'balance_raw_10290511'!$B$10</f>
        <v/>
      </c>
      <c r="C30" s="8">
        <f>'balance_raw_10290511'!$C$10</f>
        <v/>
      </c>
      <c r="D30" s="8">
        <f>'balance_raw_10290511'!$D$10</f>
        <v/>
      </c>
      <c r="E30" s="8">
        <f>'balance_raw_10290511'!$E$10</f>
        <v/>
      </c>
      <c r="F30" s="8">
        <f>'balance_raw_10290511'!$F$10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'balance_raw_10290511'!$B$11</f>
        <v/>
      </c>
      <c r="C31" s="8">
        <f>'balance_raw_10290511'!$C$11</f>
        <v/>
      </c>
      <c r="D31" s="8">
        <f>'balance_raw_10290511'!$D$11</f>
        <v/>
      </c>
      <c r="E31" s="8">
        <f>'balance_raw_10290511'!$E$11</f>
        <v/>
      </c>
      <c r="F31" s="8">
        <f>'balance_raw_10290511'!$F$11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'balance_raw_10290511'!$B$12</f>
        <v/>
      </c>
      <c r="C32" s="5">
        <f>'balance_raw_10290511'!$C$12</f>
        <v/>
      </c>
      <c r="D32" s="5">
        <f>'balance_raw_10290511'!$D$12</f>
        <v/>
      </c>
      <c r="E32" s="5">
        <f>'balance_raw_10290511'!$E$12</f>
        <v/>
      </c>
      <c r="F32" s="5">
        <f>'balance_raw_10290511'!$F$12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'balance_raw_10290511'!$B$13</f>
        <v/>
      </c>
      <c r="C33" s="11">
        <f>'balance_raw_10290511'!$C$13</f>
        <v/>
      </c>
      <c r="D33" s="11">
        <f>'balance_raw_10290511'!$D$13</f>
        <v/>
      </c>
      <c r="E33" s="11">
        <f>'balance_raw_10290511'!$E$13</f>
        <v/>
      </c>
      <c r="F33" s="11">
        <f>'balance_raw_10290511'!$F$13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'balance_raw_10290511'!$B$14</f>
        <v/>
      </c>
      <c r="C34" s="5">
        <f>'balance_raw_10290511'!$C$14</f>
        <v/>
      </c>
      <c r="D34" s="5">
        <f>'balance_raw_10290511'!$D$14</f>
        <v/>
      </c>
      <c r="E34" s="5">
        <f>'balance_raw_10290511'!$E$14</f>
        <v/>
      </c>
      <c r="F34" s="5">
        <f>'balance_raw_10290511'!$F$14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'balance_raw_10290511'!$B$15</f>
        <v/>
      </c>
      <c r="C35" s="8">
        <f>'balance_raw_10290511'!$C$15</f>
        <v/>
      </c>
      <c r="D35" s="8">
        <f>'balance_raw_10290511'!$D$15</f>
        <v/>
      </c>
      <c r="E35" s="8">
        <f>'balance_raw_10290511'!$E$15</f>
        <v/>
      </c>
      <c r="F35" s="8">
        <f>'balance_raw_10290511'!$F$15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'balance_raw_10290511'!$B$16</f>
        <v/>
      </c>
      <c r="C36" s="5">
        <f>'balance_raw_10290511'!$C$16</f>
        <v/>
      </c>
      <c r="D36" s="5">
        <f>'balance_raw_10290511'!$D$16</f>
        <v/>
      </c>
      <c r="E36" s="5">
        <f>'balance_raw_10290511'!$E$16</f>
        <v/>
      </c>
      <c r="F36" s="5">
        <f>'balance_raw_10290511'!$F$16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'balance_raw_10290511'!$B$17</f>
        <v/>
      </c>
      <c r="C37" s="11">
        <f>'balance_raw_10290511'!$C$17</f>
        <v/>
      </c>
      <c r="D37" s="11">
        <f>'balance_raw_10290511'!$D$17</f>
        <v/>
      </c>
      <c r="E37" s="11">
        <f>'balance_raw_10290511'!$E$17</f>
        <v/>
      </c>
      <c r="F37" s="11">
        <f>'balance_raw_10290511'!$F$17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'balance_raw_10290511'!$B$18</f>
        <v/>
      </c>
      <c r="C38" s="5">
        <f>'balance_raw_10290511'!$C$18</f>
        <v/>
      </c>
      <c r="D38" s="5">
        <f>'balance_raw_10290511'!$D$18</f>
        <v/>
      </c>
      <c r="E38" s="5">
        <f>'balance_raw_10290511'!$E$18</f>
        <v/>
      </c>
      <c r="F38" s="5">
        <f>'balance_raw_10290511'!$F$18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'balance_raw_10290511'!$B$19</f>
        <v/>
      </c>
      <c r="C39" s="11">
        <f>'balance_raw_10290511'!$C$19</f>
        <v/>
      </c>
      <c r="D39" s="11">
        <f>'balance_raw_10290511'!$D$19</f>
        <v/>
      </c>
      <c r="E39" s="11">
        <f>'balance_raw_10290511'!$E$19</f>
        <v/>
      </c>
      <c r="F39" s="11">
        <f>'balance_raw_10290511'!$F$19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'balance_raw_10290511'!$B$20</f>
        <v/>
      </c>
      <c r="C40" s="5">
        <f>'balance_raw_10290511'!$C$20</f>
        <v/>
      </c>
      <c r="D40" s="5">
        <f>'balance_raw_10290511'!$D$20</f>
        <v/>
      </c>
      <c r="E40" s="5">
        <f>'balance_raw_10290511'!$E$20</f>
        <v/>
      </c>
      <c r="F40" s="5">
        <f>'balance_raw_10290511'!$F$20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'balance_raw_10290511'!$B$21</f>
        <v/>
      </c>
      <c r="C41" s="11">
        <f>'balance_raw_10290511'!$C$21</f>
        <v/>
      </c>
      <c r="D41" s="11">
        <f>'balance_raw_10290511'!$D$21</f>
        <v/>
      </c>
      <c r="E41" s="11">
        <f>'balance_raw_10290511'!$E$21</f>
        <v/>
      </c>
      <c r="F41" s="11">
        <f>'balance_raw_10290511'!$F$21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'balance_raw_10290511'!$B$22</f>
        <v/>
      </c>
      <c r="C42" s="5">
        <f>'balance_raw_10290511'!$C$22</f>
        <v/>
      </c>
      <c r="D42" s="5">
        <f>'balance_raw_10290511'!$D$22</f>
        <v/>
      </c>
      <c r="E42" s="5">
        <f>'balance_raw_10290511'!$E$22</f>
        <v/>
      </c>
      <c r="F42" s="5">
        <f>'balance_raw_10290511'!$F$22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'balance_raw_10290511'!$B$23</f>
        <v/>
      </c>
      <c r="C43" s="8">
        <f>'balance_raw_10290511'!$C$23</f>
        <v/>
      </c>
      <c r="D43" s="8">
        <f>'balance_raw_10290511'!$D$23</f>
        <v/>
      </c>
      <c r="E43" s="8">
        <f>'balance_raw_10290511'!$E$23</f>
        <v/>
      </c>
      <c r="F43" s="8">
        <f>'balance_raw_10290511'!$F$23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'balance_raw_10290511'!$B$24</f>
        <v/>
      </c>
      <c r="C44" s="5">
        <f>'balance_raw_10290511'!$C$24</f>
        <v/>
      </c>
      <c r="D44" s="5">
        <f>'balance_raw_10290511'!$D$24</f>
        <v/>
      </c>
      <c r="E44" s="5">
        <f>'balance_raw_10290511'!$E$24</f>
        <v/>
      </c>
      <c r="F44" s="5">
        <f>'balance_raw_10290511'!$F$24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'balance_raw_10290511'!$B$25</f>
        <v/>
      </c>
      <c r="C45" s="11">
        <f>'balance_raw_10290511'!$C$25</f>
        <v/>
      </c>
      <c r="D45" s="11">
        <f>'balance_raw_10290511'!$D$25</f>
        <v/>
      </c>
      <c r="E45" s="11">
        <f>'balance_raw_10290511'!$E$25</f>
        <v/>
      </c>
      <c r="F45" s="11">
        <f>'balance_raw_10290511'!$F$25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'balance_raw_10290511'!$B$26</f>
        <v/>
      </c>
      <c r="C46" s="8">
        <f>'balance_raw_10290511'!$C$26</f>
        <v/>
      </c>
      <c r="D46" s="8">
        <f>'balance_raw_10290511'!$D$26</f>
        <v/>
      </c>
      <c r="E46" s="8">
        <f>'balance_raw_10290511'!$E$26</f>
        <v/>
      </c>
      <c r="F46" s="8">
        <f>'balance_raw_10290511'!$F$26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'balance_raw_10290511'!$B$27</f>
        <v/>
      </c>
      <c r="C47" s="8">
        <f>'balance_raw_10290511'!$C$27</f>
        <v/>
      </c>
      <c r="D47" s="8">
        <f>'balance_raw_10290511'!$D$27</f>
        <v/>
      </c>
      <c r="E47" s="8">
        <f>'balance_raw_10290511'!$E$27</f>
        <v/>
      </c>
      <c r="F47" s="8">
        <f>'balance_raw_10290511'!$F$27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'balance_raw_10290511'!$B$28</f>
        <v/>
      </c>
      <c r="C50" s="5">
        <f>'balance_raw_10290511'!$C$28</f>
        <v/>
      </c>
      <c r="D50" s="5">
        <f>'balance_raw_10290511'!$D$28</f>
        <v/>
      </c>
      <c r="E50" s="5">
        <f>'balance_raw_10290511'!$E$28</f>
        <v/>
      </c>
      <c r="F50" s="5">
        <f>'balance_raw_10290511'!$F$28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'balance_raw_10290511'!$B$29</f>
        <v/>
      </c>
      <c r="C51" s="11">
        <f>'balance_raw_10290511'!$C$29</f>
        <v/>
      </c>
      <c r="D51" s="11">
        <f>'balance_raw_10290511'!$D$29</f>
        <v/>
      </c>
      <c r="E51" s="11">
        <f>'balance_raw_10290511'!$E$29</f>
        <v/>
      </c>
      <c r="F51" s="11">
        <f>'balance_raw_10290511'!$F$29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'balance_raw_10290511'!$B$30</f>
        <v/>
      </c>
      <c r="C52" s="5">
        <f>'balance_raw_10290511'!$C$30</f>
        <v/>
      </c>
      <c r="D52" s="5">
        <f>'balance_raw_10290511'!$D$30</f>
        <v/>
      </c>
      <c r="E52" s="5">
        <f>'balance_raw_10290511'!$E$30</f>
        <v/>
      </c>
      <c r="F52" s="5">
        <f>'balance_raw_10290511'!$F$30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'balance_raw_10290511'!$B$31</f>
        <v/>
      </c>
      <c r="C53" s="11">
        <f>'balance_raw_10290511'!$C$31</f>
        <v/>
      </c>
      <c r="D53" s="11">
        <f>'balance_raw_10290511'!$D$31</f>
        <v/>
      </c>
      <c r="E53" s="11">
        <f>'balance_raw_10290511'!$E$31</f>
        <v/>
      </c>
      <c r="F53" s="11">
        <f>'balance_raw_10290511'!$F$31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'balance_raw_10290511'!$B$32</f>
        <v/>
      </c>
      <c r="C54" s="5">
        <f>'balance_raw_10290511'!$C$32</f>
        <v/>
      </c>
      <c r="D54" s="5">
        <f>'balance_raw_10290511'!$D$32</f>
        <v/>
      </c>
      <c r="E54" s="5">
        <f>'balance_raw_10290511'!$E$32</f>
        <v/>
      </c>
      <c r="F54" s="5">
        <f>'balance_raw_10290511'!$F$32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'balance_raw_10290511'!$B$33</f>
        <v/>
      </c>
      <c r="C55" s="11">
        <f>'balance_raw_10290511'!$C$33</f>
        <v/>
      </c>
      <c r="D55" s="11">
        <f>'balance_raw_10290511'!$D$33</f>
        <v/>
      </c>
      <c r="E55" s="11">
        <f>'balance_raw_10290511'!$E$33</f>
        <v/>
      </c>
      <c r="F55" s="11">
        <f>'balance_raw_10290511'!$F$33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'balance_raw_10290511'!$B$34</f>
        <v/>
      </c>
      <c r="C56" s="8">
        <f>'balance_raw_10290511'!$C$34</f>
        <v/>
      </c>
      <c r="D56" s="8">
        <f>'balance_raw_10290511'!$D$34</f>
        <v/>
      </c>
      <c r="E56" s="8">
        <f>'balance_raw_10290511'!$E$34</f>
        <v/>
      </c>
      <c r="F56" s="8">
        <f>'balance_raw_10290511'!$F$34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'balance_raw_10290511'!$B$35</f>
        <v/>
      </c>
      <c r="C57" s="11">
        <f>'balance_raw_10290511'!$C$35</f>
        <v/>
      </c>
      <c r="D57" s="11">
        <f>'balance_raw_10290511'!$D$35</f>
        <v/>
      </c>
      <c r="E57" s="11">
        <f>'balance_raw_10290511'!$E$35</f>
        <v/>
      </c>
      <c r="F57" s="11">
        <f>'balance_raw_10290511'!$F$35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'balance_raw_10290511'!$B$36</f>
        <v/>
      </c>
      <c r="C58" s="8">
        <f>'balance_raw_10290511'!$C$36</f>
        <v/>
      </c>
      <c r="D58" s="8">
        <f>'balance_raw_10290511'!$D$36</f>
        <v/>
      </c>
      <c r="E58" s="8">
        <f>'balance_raw_10290511'!$E$36</f>
        <v/>
      </c>
      <c r="F58" s="8">
        <f>'balance_raw_10290511'!$F$36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'balance_raw_10290511'!$B$37</f>
        <v/>
      </c>
      <c r="C59" s="8">
        <f>'balance_raw_10290511'!$C$37</f>
        <v/>
      </c>
      <c r="D59" s="8">
        <f>'balance_raw_10290511'!$D$37</f>
        <v/>
      </c>
      <c r="E59" s="8">
        <f>'balance_raw_10290511'!$E$37</f>
        <v/>
      </c>
      <c r="F59" s="8">
        <f>'balance_raw_10290511'!$F$37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'balance_raw_10290511'!$B$38</f>
        <v/>
      </c>
      <c r="C60" s="5">
        <f>'balance_raw_10290511'!$C$38</f>
        <v/>
      </c>
      <c r="D60" s="5">
        <f>'balance_raw_10290511'!$D$38</f>
        <v/>
      </c>
      <c r="E60" s="5">
        <f>'balance_raw_10290511'!$E$38</f>
        <v/>
      </c>
      <c r="F60" s="5">
        <f>'balance_raw_10290511'!$F$38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'balance_raw_10290511'!$B$39</f>
        <v/>
      </c>
      <c r="C61" s="11">
        <f>'balance_raw_10290511'!$C$39</f>
        <v/>
      </c>
      <c r="D61" s="11">
        <f>'balance_raw_10290511'!$D$39</f>
        <v/>
      </c>
      <c r="E61" s="11">
        <f>'balance_raw_10290511'!$E$39</f>
        <v/>
      </c>
      <c r="F61" s="11">
        <f>'balance_raw_10290511'!$F$39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'balance_raw_10290511'!$B$40</f>
        <v/>
      </c>
      <c r="C62" s="5">
        <f>'balance_raw_10290511'!$C$40</f>
        <v/>
      </c>
      <c r="D62" s="5">
        <f>'balance_raw_10290511'!$D$40</f>
        <v/>
      </c>
      <c r="E62" s="5">
        <f>'balance_raw_10290511'!$E$40</f>
        <v/>
      </c>
      <c r="F62" s="5">
        <f>'balance_raw_10290511'!$F$40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'balance_raw_10290511'!$B$41</f>
        <v/>
      </c>
      <c r="C63" s="11">
        <f>'balance_raw_10290511'!$C$41</f>
        <v/>
      </c>
      <c r="D63" s="11">
        <f>'balance_raw_10290511'!$D$41</f>
        <v/>
      </c>
      <c r="E63" s="11">
        <f>'balance_raw_10290511'!$E$41</f>
        <v/>
      </c>
      <c r="F63" s="11">
        <f>'balance_raw_10290511'!$F$41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'balance_raw_10290511'!$B$42</f>
        <v/>
      </c>
      <c r="C64" s="5">
        <f>'balance_raw_10290511'!$C$42</f>
        <v/>
      </c>
      <c r="D64" s="5">
        <f>'balance_raw_10290511'!$D$42</f>
        <v/>
      </c>
      <c r="E64" s="5">
        <f>'balance_raw_10290511'!$E$42</f>
        <v/>
      </c>
      <c r="F64" s="5">
        <f>'balance_raw_10290511'!$F$42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'balance_raw_10290511'!$B$43</f>
        <v/>
      </c>
      <c r="C65" s="11">
        <f>'balance_raw_10290511'!$C$43</f>
        <v/>
      </c>
      <c r="D65" s="11">
        <f>'balance_raw_10290511'!$D$43</f>
        <v/>
      </c>
      <c r="E65" s="11">
        <f>'balance_raw_10290511'!$E$43</f>
        <v/>
      </c>
      <c r="F65" s="11">
        <f>'balance_raw_10290511'!$F$43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'balance_raw_10290511'!$B$44</f>
        <v/>
      </c>
      <c r="C66" s="5">
        <f>'balance_raw_10290511'!$C$44</f>
        <v/>
      </c>
      <c r="D66" s="5">
        <f>'balance_raw_10290511'!$D$44</f>
        <v/>
      </c>
      <c r="E66" s="5">
        <f>'balance_raw_10290511'!$E$44</f>
        <v/>
      </c>
      <c r="F66" s="5">
        <f>'balance_raw_10290511'!$F$44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'balance_raw_10290511'!$B$45</f>
        <v/>
      </c>
      <c r="C67" s="11">
        <f>'balance_raw_10290511'!$C$45</f>
        <v/>
      </c>
      <c r="D67" s="11">
        <f>'balance_raw_10290511'!$D$45</f>
        <v/>
      </c>
      <c r="E67" s="11">
        <f>'balance_raw_10290511'!$E$45</f>
        <v/>
      </c>
      <c r="F67" s="11">
        <f>'balance_raw_10290511'!$F$45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'balance_raw_10290511'!$B$46</f>
        <v/>
      </c>
      <c r="C68" s="5">
        <f>'balance_raw_10290511'!$C$46</f>
        <v/>
      </c>
      <c r="D68" s="5">
        <f>'balance_raw_10290511'!$D$46</f>
        <v/>
      </c>
      <c r="E68" s="5">
        <f>'balance_raw_10290511'!$E$46</f>
        <v/>
      </c>
      <c r="F68" s="5">
        <f>'balance_raw_10290511'!$F$46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'balance_raw_10290511'!$B$47</f>
        <v/>
      </c>
      <c r="C69" s="11">
        <f>'balance_raw_10290511'!$C$47</f>
        <v/>
      </c>
      <c r="D69" s="11">
        <f>'balance_raw_10290511'!$D$47</f>
        <v/>
      </c>
      <c r="E69" s="11">
        <f>'balance_raw_10290511'!$E$47</f>
        <v/>
      </c>
      <c r="F69" s="11">
        <f>'balance_raw_10290511'!$F$47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'balance_raw_10290511'!$B$48</f>
        <v/>
      </c>
      <c r="C70" s="5">
        <f>'balance_raw_10290511'!$C$48</f>
        <v/>
      </c>
      <c r="D70" s="5">
        <f>'balance_raw_10290511'!$D$48</f>
        <v/>
      </c>
      <c r="E70" s="5">
        <f>'balance_raw_10290511'!$E$48</f>
        <v/>
      </c>
      <c r="F70" s="5">
        <f>'balance_raw_10290511'!$F$48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'balance_raw_10290511'!$B$49</f>
        <v/>
      </c>
      <c r="C71" s="8">
        <f>'balance_raw_10290511'!$C$49</f>
        <v/>
      </c>
      <c r="D71" s="8">
        <f>'balance_raw_10290511'!$D$49</f>
        <v/>
      </c>
      <c r="E71" s="8">
        <f>'balance_raw_10290511'!$E$49</f>
        <v/>
      </c>
      <c r="F71" s="8">
        <f>'balance_raw_10290511'!$F$49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'balance_raw_10290511'!$B$50</f>
        <v/>
      </c>
      <c r="C72" s="8">
        <f>'balance_raw_10290511'!$C$50</f>
        <v/>
      </c>
      <c r="D72" s="8">
        <f>'balance_raw_10290511'!$D$50</f>
        <v/>
      </c>
      <c r="E72" s="8">
        <f>'balance_raw_10290511'!$E$50</f>
        <v/>
      </c>
      <c r="F72" s="8">
        <f>'balance_raw_10290511'!$F$50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'balance_raw_10290511'!$B$51</f>
        <v/>
      </c>
      <c r="C73" s="8">
        <f>'balance_raw_10290511'!$C$51</f>
        <v/>
      </c>
      <c r="D73" s="8">
        <f>'balance_raw_10290511'!$D$51</f>
        <v/>
      </c>
      <c r="E73" s="8">
        <f>'balance_raw_10290511'!$E$51</f>
        <v/>
      </c>
      <c r="F73" s="8">
        <f>'balance_raw_10290511'!$F$51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'res_raw_10290511'!$B$19</f>
        <v/>
      </c>
      <c r="C77" s="11">
        <f>'res_raw_10290511'!$C$19</f>
        <v/>
      </c>
      <c r="D77" s="11">
        <f>'res_raw_10290511'!$D$19</f>
        <v/>
      </c>
      <c r="E77" s="11">
        <f>'res_raw_10290511'!$E$19</f>
        <v/>
      </c>
      <c r="F77" s="11">
        <f>'res_raw_10290511'!$F$19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IFERROR(($B$12+$B$14+$B$13)/$B$47*100,"")</f>
        <v/>
      </c>
      <c r="C80" s="13">
        <f>IFERROR(($C$12+$C$14+$C$13)/$C$47*100,"")</f>
        <v/>
      </c>
      <c r="D80" s="13">
        <f>IFERROR(($D$12+$D$14+$D$13)/$D$47*100,"")</f>
        <v/>
      </c>
      <c r="E80" s="13">
        <f>IFERROR(($E$12+$E$14+$E$13)/$E$47*100,"")</f>
        <v/>
      </c>
      <c r="F80" s="13">
        <f>IFERROR(($F$12+$F$14+$F$13)/$F$47*100,"")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IFERROR($B$4/$B$47,"")</f>
        <v/>
      </c>
      <c r="C82" s="13">
        <f>IFERROR($C$4/$C$47,"")</f>
        <v/>
      </c>
      <c r="D82" s="13">
        <f>IFERROR($D$4/$D$47,"")</f>
        <v/>
      </c>
      <c r="E82" s="13">
        <f>IFERROR($E$4/$E$47,"")</f>
        <v/>
      </c>
      <c r="F82" s="13">
        <f>IFERROR($F$4/$F$47,"")</f>
        <v/>
      </c>
    </row>
    <row r="83" ht="16" customHeight="1">
      <c r="A83" s="10" t="inlineStr">
        <is>
          <t>Egenkapitalens forrentning, %</t>
        </is>
      </c>
      <c r="B83" s="14">
        <f>IFERROR($B$17/$B$56*100,"")</f>
        <v/>
      </c>
      <c r="C83" s="14">
        <f>IFERROR($C$17/$C$56*100,"")</f>
        <v/>
      </c>
      <c r="D83" s="14">
        <f>IFERROR($D$17/$D$56*100,"")</f>
        <v/>
      </c>
      <c r="E83" s="14">
        <f>IFERROR($E$17/$E$56*100,"")</f>
        <v/>
      </c>
      <c r="F83" s="14">
        <f>IFERROR($F$17/$F$56*100,"")</f>
        <v/>
      </c>
    </row>
    <row r="84" ht="16" customHeight="1">
      <c r="A84" s="4" t="inlineStr">
        <is>
          <t>Gældsrente, %</t>
        </is>
      </c>
      <c r="B84" s="13">
        <f>IFERROR($B$15/($B$73-$B$56)*100,"")</f>
        <v/>
      </c>
      <c r="C84" s="13">
        <f>IFERROR($C$15/($C$73-$C$56)*100,"")</f>
        <v/>
      </c>
      <c r="D84" s="13">
        <f>IFERROR($D$15/($D$73-$D$56)*100,"")</f>
        <v/>
      </c>
      <c r="E84" s="13">
        <f>IFERROR($E$15/($E$73-$E$56)*100,"")</f>
        <v/>
      </c>
      <c r="F84" s="13">
        <f>IFERROR($F$15/($F$73-$F$56)*100,"")</f>
        <v/>
      </c>
    </row>
    <row r="85" ht="16" customHeight="1">
      <c r="A85" s="10" t="inlineStr">
        <is>
          <t>Soliditetsgrad, %</t>
        </is>
      </c>
      <c r="B85" s="14">
        <f>IFERROR($B$56/$B$47*100,"")</f>
        <v/>
      </c>
      <c r="C85" s="14">
        <f>IFERROR($C$56/$C$47*100,"")</f>
        <v/>
      </c>
      <c r="D85" s="14">
        <f>IFERROR($D$56/$D$47*100,"")</f>
        <v/>
      </c>
      <c r="E85" s="14">
        <f>IFERROR($E$56/$E$47*100,"")</f>
        <v/>
      </c>
      <c r="F85" s="14">
        <f>IFERROR($F$56/$F$47*100,"")</f>
        <v/>
      </c>
    </row>
    <row r="86" ht="16" customHeight="1">
      <c r="A86" s="4" t="inlineStr">
        <is>
          <t>Gearing</t>
        </is>
      </c>
      <c r="B86" s="13">
        <f>IFERROR(($B$73-$B$56)/$B$56,"")</f>
        <v/>
      </c>
      <c r="C86" s="13">
        <f>IFERROR(($C$73-$C$56)/$C$56,"")</f>
        <v/>
      </c>
      <c r="D86" s="13">
        <f>IFERROR(($D$73-$D$56)/$D$56,"")</f>
        <v/>
      </c>
      <c r="E86" s="13">
        <f>IFERROR(($E$73-$E$56)/$E$56,"")</f>
        <v/>
      </c>
      <c r="F86" s="13">
        <f>IFERROR(($F$73-$F$56)/$F$56,"")</f>
        <v/>
      </c>
    </row>
    <row r="87" ht="16" customHeight="1">
      <c r="A87" s="10" t="inlineStr">
        <is>
          <t>Likviditetsgrad, %</t>
        </is>
      </c>
      <c r="B87" s="14">
        <f>IFERROR($B$46/$B$71*100,"")</f>
        <v/>
      </c>
      <c r="C87" s="14">
        <f>IFERROR($C$46/$C$71*100,"")</f>
        <v/>
      </c>
      <c r="D87" s="14">
        <f>IFERROR($D$46/$D$71*100,"")</f>
        <v/>
      </c>
      <c r="E87" s="14">
        <f>IFERROR($E$46/$E$71*100,"")</f>
        <v/>
      </c>
      <c r="F87" s="14">
        <f>IFERROR($F$46/$F$71*100,"")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IFERROR(($B$73-$B$56)/$B$47*100,"")</f>
        <v/>
      </c>
      <c r="C89" s="14">
        <f>IFERROR(($C$73-$C$56)/$C$47*100,"")</f>
        <v/>
      </c>
      <c r="D89" s="14">
        <f>IFERROR(($D$73-$D$56)/$D$47*100,"")</f>
        <v/>
      </c>
      <c r="E89" s="14">
        <f>IFERROR(($E$73-$E$56)/$E$47*100,"")</f>
        <v/>
      </c>
      <c r="F89" s="14">
        <f>IFERROR(($F$73-$F$56)/$F$47*100,"")</f>
        <v/>
      </c>
    </row>
    <row r="90" ht="16" customHeight="1">
      <c r="A90" s="4" t="inlineStr">
        <is>
          <t>Kapitalbindingsgrad, %</t>
        </is>
      </c>
      <c r="B90" s="13">
        <f>IFERROR($B$31/($B$56+$B$59)*100,"")</f>
        <v/>
      </c>
      <c r="C90" s="13">
        <f>IFERROR($C$31/($C$56+$C$59)*100,"")</f>
        <v/>
      </c>
      <c r="D90" s="13">
        <f>IFERROR($D$31/($D$56+$D$59)*100,"")</f>
        <v/>
      </c>
      <c r="E90" s="13">
        <f>IFERROR($E$31/($E$56+$E$59)*100,"")</f>
        <v/>
      </c>
      <c r="F90" s="13">
        <f>IFERROR($F$31/($F$56+$F$59)*100,"")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93239</v>
      </c>
      <c r="C6" s="16" t="n">
        <v>100273</v>
      </c>
      <c r="D6" s="16" t="n">
        <v>99427</v>
      </c>
      <c r="E6" s="16" t="n">
        <v>97706</v>
      </c>
      <c r="F6" s="16" t="n">
        <v>96718</v>
      </c>
    </row>
    <row r="7">
      <c r="A7" s="15" t="inlineStr">
        <is>
          <t>Administrationsomkostninger</t>
        </is>
      </c>
      <c r="B7" s="16" t="n">
        <v>24931</v>
      </c>
      <c r="C7" s="16" t="n">
        <v>18919</v>
      </c>
      <c r="D7" s="16" t="n">
        <v>21045</v>
      </c>
      <c r="E7" s="16" t="n">
        <v>22410</v>
      </c>
      <c r="F7" s="16" t="n">
        <v>21440</v>
      </c>
    </row>
    <row r="8">
      <c r="A8" s="15" t="inlineStr">
        <is>
          <t>Andre driftsindtægter</t>
        </is>
      </c>
      <c r="B8" s="16" t="n">
        <v>1760</v>
      </c>
      <c r="C8" s="16" t="n">
        <v>1265</v>
      </c>
      <c r="D8" s="16" t="n">
        <v>1404</v>
      </c>
      <c r="E8" s="16" t="n">
        <v>1742</v>
      </c>
      <c r="F8" s="16" t="n">
        <v>3096</v>
      </c>
    </row>
    <row r="9">
      <c r="A9" s="15" t="inlineStr">
        <is>
          <t>Andre driftsomkostninger</t>
        </is>
      </c>
      <c r="B9" s="16" t="n">
        <v>5887</v>
      </c>
      <c r="C9" s="16" t="n">
        <v>728</v>
      </c>
      <c r="D9" s="16" t="n">
        <v>1162</v>
      </c>
      <c r="E9" s="16" t="n">
        <v>1165</v>
      </c>
      <c r="F9" s="16" t="n">
        <v>3568</v>
      </c>
    </row>
    <row r="10">
      <c r="A10" s="17" t="inlineStr">
        <is>
          <t>Resultat af primær drift</t>
        </is>
      </c>
      <c r="B10" s="16" t="n">
        <v>102385</v>
      </c>
      <c r="C10" s="16" t="n">
        <v>171580</v>
      </c>
      <c r="D10" s="16" t="n">
        <v>198852</v>
      </c>
      <c r="E10" s="16" t="n">
        <v>217916</v>
      </c>
      <c r="F10" s="16" t="n">
        <v>247882</v>
      </c>
    </row>
    <row r="11">
      <c r="A11" s="15" t="inlineStr">
        <is>
          <t>Indtægter af kapitalandele, dattervirksomheder</t>
        </is>
      </c>
      <c r="B11" s="16" t="n">
        <v>1000</v>
      </c>
      <c r="C11" s="16" t="n">
        <v>3500</v>
      </c>
      <c r="D11" s="16" t="n">
        <v>3000</v>
      </c>
      <c r="E11" s="16" t="n">
        <v>3320</v>
      </c>
      <c r="F11" s="16" t="n">
        <v>3680</v>
      </c>
    </row>
    <row r="12">
      <c r="A12" s="15" t="inlineStr">
        <is>
          <t>Finansielle indtægter</t>
        </is>
      </c>
      <c r="B12" s="16" t="n">
        <v>21</v>
      </c>
      <c r="C12" s="16" t="n">
        <v>307</v>
      </c>
      <c r="D12" s="16" t="n">
        <v>5087</v>
      </c>
      <c r="E12" s="16" t="n">
        <v>8878</v>
      </c>
      <c r="F12" s="16" t="n">
        <v>6306</v>
      </c>
    </row>
    <row r="13">
      <c r="A13" s="15" t="inlineStr">
        <is>
          <t>Finansielle omkostninger</t>
        </is>
      </c>
      <c r="B13" s="16" t="n">
        <v>966</v>
      </c>
      <c r="C13" s="16" t="n">
        <v>241</v>
      </c>
      <c r="D13" s="16" t="n">
        <v>489</v>
      </c>
      <c r="E13" s="16" t="n">
        <v>338</v>
      </c>
      <c r="F13" s="16" t="n">
        <v>622</v>
      </c>
    </row>
    <row r="14">
      <c r="A14" s="17" t="inlineStr">
        <is>
          <t>Finansielle poster, netto</t>
        </is>
      </c>
      <c r="B14" s="16" t="n">
        <v>0</v>
      </c>
      <c r="C14" s="16" t="n">
        <v>3600</v>
      </c>
      <c r="D14" s="16" t="n">
        <v>4598</v>
      </c>
      <c r="E14" s="16" t="n">
        <v>8540</v>
      </c>
      <c r="F14" s="16" t="n">
        <v>5684</v>
      </c>
    </row>
    <row r="15">
      <c r="A15" s="17" t="inlineStr">
        <is>
          <t>Resultat før skat</t>
        </is>
      </c>
      <c r="B15" s="16" t="n">
        <v>102440</v>
      </c>
      <c r="C15" s="16" t="n">
        <v>175146</v>
      </c>
      <c r="D15" s="16" t="n">
        <v>206450</v>
      </c>
      <c r="E15" s="16" t="n">
        <v>229776</v>
      </c>
      <c r="F15" s="16" t="n">
        <v>257246</v>
      </c>
    </row>
    <row r="16">
      <c r="A16" s="15" t="inlineStr">
        <is>
          <t>Skat af årets resultat</t>
        </is>
      </c>
      <c r="B16" s="16" t="n">
        <v>22329</v>
      </c>
      <c r="C16" s="16" t="n">
        <v>37803</v>
      </c>
      <c r="D16" s="16" t="n">
        <v>44877</v>
      </c>
      <c r="E16" s="16" t="n">
        <v>49931</v>
      </c>
      <c r="F16" s="16" t="n">
        <v>56156</v>
      </c>
    </row>
    <row r="17">
      <c r="A17" s="17" t="inlineStr">
        <is>
          <t>Årets resultat</t>
        </is>
      </c>
      <c r="B17" s="16" t="n">
        <v>80111</v>
      </c>
      <c r="C17" s="16" t="n">
        <v>137343</v>
      </c>
      <c r="D17" s="16" t="n">
        <v>161573</v>
      </c>
      <c r="E17" s="16" t="n">
        <v>179845</v>
      </c>
      <c r="F17" s="16" t="n">
        <v>201090</v>
      </c>
    </row>
    <row r="18">
      <c r="A18" s="15" t="inlineStr">
        <is>
          <t>Gns. antal medarbejdere</t>
        </is>
      </c>
      <c r="B18" s="16" t="n">
        <v>104</v>
      </c>
      <c r="C18" s="16" t="n">
        <v>98</v>
      </c>
      <c r="D18" s="16" t="n">
        <v>94</v>
      </c>
      <c r="E18" s="16" t="n">
        <v>95</v>
      </c>
      <c r="F18" s="16" t="n">
        <v>96</v>
      </c>
    </row>
    <row r="19">
      <c r="A19" s="15" t="inlineStr">
        <is>
          <t>Investering i materielle anlægsaktiver</t>
        </is>
      </c>
      <c r="B19" s="16" t="n">
        <v>52100</v>
      </c>
      <c r="C19" s="16" t="n">
        <v>26700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IF(ABS((SUM(B5:B6))-'res_raw_10290511'!$F$4)&lt;=2,SUM(B5:B6),'res_raw_10290511'!$F$4)</f>
        <v/>
      </c>
      <c r="C7" s="27">
        <f>IF(ABS((SUM(C5:C6))-'res_raw_10290511'!$E$4)&lt;=2,SUM(C5:C6),'res_raw_10290511'!$E$4)</f>
        <v/>
      </c>
      <c r="D7" s="27">
        <f>IF(ABS((SUM(D5:D6))-'res_raw_10290511'!$D$4)&lt;=2,SUM(D5:D6),'res_raw_10290511'!$D$4)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-'res_raw_10290511'!$F$7</f>
        <v/>
      </c>
      <c r="C10" s="24">
        <f>-'res_raw_10290511'!$E$7</f>
        <v/>
      </c>
      <c r="D10" s="24">
        <f>-'res_raw_10290511'!$D$7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'res_raw_10290511'!$F$8</f>
        <v/>
      </c>
      <c r="C11" s="24">
        <f>'res_raw_10290511'!$E$8</f>
        <v/>
      </c>
      <c r="D11" s="24">
        <f>'res_raw_10290511'!$D$8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-'res_raw_10290511'!$F$9</f>
        <v/>
      </c>
      <c r="C12" s="27">
        <f>-'res_raw_10290511'!$E$9</f>
        <v/>
      </c>
      <c r="D12" s="27">
        <f>-'res_raw_10290511'!$D$9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IF(ABS((SUM(B7:B12))-'res_raw_10290511'!$F$10)&lt;=2,SUM(B7:B12),'res_raw_10290511'!$F$10)</f>
        <v/>
      </c>
      <c r="C13" s="30">
        <f>IF(ABS((SUM(C7:C12))-'res_raw_10290511'!$E$10)&lt;=2,SUM(C7:C12),'res_raw_10290511'!$E$10)</f>
        <v/>
      </c>
      <c r="D13" s="30">
        <f>IF(ABS((SUM(D7:D12))-'res_raw_10290511'!$D$10)&lt;=2,SUM(D7:D12),'res_raw_10290511'!$D$10)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N('res_raw_10290511'!$F$11)+N('res_raw_10290511'!$F$12)</f>
        <v/>
      </c>
      <c r="C14" s="24">
        <f>N('res_raw_10290511'!$E$11)+N('res_raw_10290511'!$E$12)</f>
        <v/>
      </c>
      <c r="D14" s="24">
        <f>N('res_raw_10290511'!$D$11)+N('res_raw_10290511'!$D$12)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-'res_raw_10290511'!$F$13</f>
        <v/>
      </c>
      <c r="C15" s="27">
        <f>-'res_raw_10290511'!$E$13</f>
        <v/>
      </c>
      <c r="D15" s="27">
        <f>-'res_raw_10290511'!$D$13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IF(ABS((SUM(B13:B15))-'res_raw_10290511'!$F$15)&lt;=2,SUM(B13:B15),'res_raw_10290511'!$F$15)</f>
        <v/>
      </c>
      <c r="C16" s="30">
        <f>IF(ABS((SUM(C13:C15))-'res_raw_10290511'!$E$15)&lt;=2,SUM(C13:C15),'res_raw_10290511'!$E$15)</f>
        <v/>
      </c>
      <c r="D16" s="30">
        <f>IF(ABS((SUM(D13:D15))-'res_raw_10290511'!$D$15)&lt;=2,SUM(D13:D15),'res_raw_10290511'!$D$15)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'balance_raw_10290511'!$F$11</f>
        <v/>
      </c>
      <c r="C19" s="24">
        <f>'balance_raw_10290511'!$E$11</f>
        <v/>
      </c>
      <c r="D19" s="24">
        <f>'balance_raw_10290511'!$D$11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'balance_raw_10290511'!$F$26</f>
        <v/>
      </c>
      <c r="C20" s="24">
        <f>'balance_raw_10290511'!$E$26</f>
        <v/>
      </c>
      <c r="D20" s="24">
        <f>'balance_raw_10290511'!$D$26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'balance_raw_10290511'!$F$34</f>
        <v/>
      </c>
      <c r="C23" s="24">
        <f>'balance_raw_10290511'!$E$34</f>
        <v/>
      </c>
      <c r="D23" s="24">
        <f>'balance_raw_10290511'!$D$34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'balance_raw_10290511'!$F$51-'balance_raw_10290511'!$F$34</f>
        <v/>
      </c>
      <c r="C24" s="24">
        <f>'balance_raw_10290511'!$E$51-'balance_raw_10290511'!$E$34</f>
        <v/>
      </c>
      <c r="D24" s="24">
        <f>'balance_raw_10290511'!$D$51-'balance_raw_10290511'!$D$34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'balance_raw_10290511'!$F$15</f>
        <v/>
      </c>
      <c r="C28" s="24">
        <f>'balance_raw_10290511'!$E$15</f>
        <v/>
      </c>
      <c r="D28" s="24">
        <f>'balance_raw_10290511'!$D$15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'balance_raw_10290511'!$F$16</f>
        <v/>
      </c>
      <c r="C29" s="24">
        <f>'balance_raw_10290511'!$E$16</f>
        <v/>
      </c>
      <c r="D29" s="24">
        <f>'balance_raw_10290511'!$D$16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'balance_raw_10290511'!$F$49</f>
        <v/>
      </c>
      <c r="C30" s="24">
        <f>'balance_raw_10290511'!$E$49</f>
        <v/>
      </c>
      <c r="D30" s="24">
        <f>'balance_raw_10290511'!$D$49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IF('balance_raw_10290511'!$F$27="","—",IF(ABS(B21-'balance_raw_10290511'!$F$27)&lt;=1,"✓ OK","❌ "&amp;TEXT(B21-'balance_raw_10290511'!$F$27,"+#,##0;-#,##0")&amp;" t.kr."))</f>
        <v/>
      </c>
      <c r="C62" s="31">
        <f>IF('balance_raw_10290511'!$E$27="","—",IF(ABS(C21-'balance_raw_10290511'!$E$27)&lt;=1,"✓ OK","❌ "&amp;TEXT(C21-'balance_raw_10290511'!$E$27,"+#,##0;-#,##0")&amp;" t.kr."))</f>
        <v/>
      </c>
      <c r="D62" s="31">
        <f>IF('balance_raw_10290511'!$D$27="","—",IF(ABS(D21-'balance_raw_10290511'!$D$27)&lt;=1,"✓ OK","❌ "&amp;TEXT(D21-'balance_raw_10290511'!$D$27,"+#,##0;-#,##0")&amp;"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IF('balance_raw_10290511'!$F$51="","—",IF(ABS(B25-'balance_raw_10290511'!$F$51)&lt;=1,"✓ OK","❌ "&amp;TEXT(B25-'balance_raw_10290511'!$F$51,"+#,##0;-#,##0")&amp;" t.kr."))</f>
        <v/>
      </c>
      <c r="C63" s="31">
        <f>IF('balance_raw_10290511'!$E$51="","—",IF(ABS(C25-'balance_raw_10290511'!$E$51)&lt;=1,"✓ OK","❌ "&amp;TEXT(C25-'balance_raw_10290511'!$E$51,"+#,##0;-#,##0")&amp;" t.kr."))</f>
        <v/>
      </c>
      <c r="D63" s="31">
        <f>IF('balance_raw_10290511'!$D$51="","—",IF(ABS(D25-'balance_raw_10290511'!$D$51)&lt;=1,"✓ OK","❌ "&amp;TEXT(D25-'balance_raw_10290511'!$D$51,"+#,##0;-#,##0")&amp;"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IF('res_raw_10290511'!$F$4="","—",IF(ABS(B7-'res_raw_10290511'!$F$4)&lt;=1,"✓ OK","❌ "&amp;TEXT(B7-'res_raw_10290511'!$F$4,"+#,##0;-#,##0")&amp;" t.kr."))</f>
        <v/>
      </c>
      <c r="C65" s="31">
        <f>IF('res_raw_10290511'!$E$4="","—",IF(ABS(C7-'res_raw_10290511'!$E$4)&lt;=1,"✓ OK","❌ "&amp;TEXT(C7-'res_raw_10290511'!$E$4,"+#,##0;-#,##0")&amp;" t.kr."))</f>
        <v/>
      </c>
      <c r="D65" s="31">
        <f>IF('res_raw_10290511'!$D$4="","—",IF(ABS(D7-'res_raw_10290511'!$D$4)&lt;=1,"✓ OK","❌ "&amp;TEXT(D7-'res_raw_10290511'!$D$4,"+#,##0;-#,##0")&amp;"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IF('res_raw_10290511'!$F$10="","—",IF(ABS(B13-'res_raw_10290511'!$F$10)&lt;=1,"✓ OK","❌ "&amp;TEXT(B13-'res_raw_10290511'!$F$10,"+#,##0;-#,##0")&amp;" t.kr."))</f>
        <v/>
      </c>
      <c r="C66" s="31">
        <f>IF('res_raw_10290511'!$E$10="","—",IF(ABS(C13-'res_raw_10290511'!$E$10)&lt;=1,"✓ OK","❌ "&amp;TEXT(C13-'res_raw_10290511'!$E$10,"+#,##0;-#,##0")&amp;" t.kr."))</f>
        <v/>
      </c>
      <c r="D66" s="31">
        <f>IF('res_raw_10290511'!$D$10="","—",IF(ABS(D13-'res_raw_10290511'!$D$10)&lt;=1,"✓ OK","❌ "&amp;TEXT(D13-'res_raw_10290511'!$D$10,"+#,##0;-#,##0")&amp;"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IF('res_raw_10290511'!$F$15="","—",IF(ABS(B16-'res_raw_10290511'!$F$15)&lt;=1,"✓ OK","❌ "&amp;TEXT(B16-'res_raw_10290511'!$F$15,"+#,##0;-#,##0")&amp;" t.kr."))</f>
        <v/>
      </c>
      <c r="C67" s="31">
        <f>IF('res_raw_10290511'!$E$15="","—",IF(ABS(C16-'res_raw_10290511'!$E$15)&lt;=1,"✓ OK","❌ "&amp;TEXT(C16-'res_raw_10290511'!$E$15,"+#,##0;-#,##0")&amp;" t.kr."))</f>
        <v/>
      </c>
      <c r="D67" s="31">
        <f>IF('res_raw_10290511'!$D$15="","—",IF(ABS(D16-'res_raw_10290511'!$D$15)&lt;=1,"✓ OK","❌ "&amp;TEXT(D16-'res_raw_10290511'!$D$15,"+#,##0;-#,##0")&amp;"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0</v>
      </c>
      <c r="F3" s="37" t="n">
        <v>75000</v>
      </c>
      <c r="G3" s="37" t="n">
        <v>100000</v>
      </c>
      <c r="H3" s="37" t="n">
        <v>130000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2355</v>
      </c>
      <c r="E4" s="40" t="n">
        <v>2092</v>
      </c>
      <c r="F4" s="40" t="n">
        <v>2185</v>
      </c>
      <c r="G4" s="40" t="n">
        <v>1851</v>
      </c>
      <c r="H4" s="40" t="n">
        <v>1829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fsa:ShorttermContractWorkInProgressLiabilities</t>
        </is>
      </c>
      <c r="C5" s="36" t="inlineStr">
        <is>
          <t>fsa:ShorttermContractWorkInProgressLiabilities</t>
        </is>
      </c>
      <c r="D5" s="37" t="n">
        <v>13512</v>
      </c>
      <c r="E5" s="37" t="n">
        <v>15530</v>
      </c>
      <c r="F5" s="37" t="n">
        <v>4186</v>
      </c>
      <c r="G5" s="37" t="n">
        <v>12567</v>
      </c>
      <c r="H5" s="37" t="n">
        <v>29420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fsa:ShorttermPayablesToAssociates</t>
        </is>
      </c>
      <c r="C6" s="39" t="inlineStr">
        <is>
          <t>fsa:ShorttermPayablesToAssociates</t>
        </is>
      </c>
      <c r="D6" s="40" t="n">
        <v>755</v>
      </c>
      <c r="E6" s="40" t="n">
        <v>1558</v>
      </c>
      <c r="F6" s="40" t="n">
        <v>1831</v>
      </c>
      <c r="G6" s="40" t="n">
        <v>1508</v>
      </c>
      <c r="H6" s="40" t="n">
        <v>2807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fsa:ShorttermPayablesToParticipatingInterest</t>
        </is>
      </c>
      <c r="C7" s="36" t="inlineStr">
        <is>
          <t>fsa:ShorttermPayablesToParticipatingInterest</t>
        </is>
      </c>
      <c r="D7" s="37" t="n"/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2026-10-02T21:13:46Z</dcterms:created>
  <dcterms:modified xmlns:dcterms="http://purl.org/dc/terms/" xmlns:xsi="http://www.w3.org/2001/XMLSchema-instance" xsi:type="dcterms:W3CDTF">2026-10-02T21:13:47Z</dcterms:modified>
</cp:coreProperties>
</file>