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'res_raw_41852119'!$B$5</f>
        <v/>
      </c>
      <c r="C7" s="8">
        <f>'res_raw_41852119'!$C$5</f>
        <v/>
      </c>
      <c r="D7" s="8">
        <f>'res_raw_41852119'!$D$5</f>
        <v/>
      </c>
      <c r="E7" s="8">
        <f>'res_raw_41852119'!$E$5</f>
        <v/>
      </c>
      <c r="F7" s="8">
        <f>'res_raw_41852119'!$F$5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'res_raw_41852119'!$B$7</f>
        <v/>
      </c>
      <c r="C9" s="11">
        <f>'res_raw_41852119'!$C$7</f>
        <v/>
      </c>
      <c r="D9" s="11">
        <f>'res_raw_41852119'!$D$7</f>
        <v/>
      </c>
      <c r="E9" s="11">
        <f>'res_raw_41852119'!$E$7</f>
        <v/>
      </c>
      <c r="F9" s="11">
        <f>'res_raw_41852119'!$F$7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'res_raw_41852119'!$B$9</f>
        <v/>
      </c>
      <c r="C11" s="8">
        <f>'res_raw_41852119'!$C$9</f>
        <v/>
      </c>
      <c r="D11" s="8">
        <f>'res_raw_41852119'!$D$9</f>
        <v/>
      </c>
      <c r="E11" s="8">
        <f>'res_raw_41852119'!$E$9</f>
        <v/>
      </c>
      <c r="F11" s="8">
        <f>'res_raw_41852119'!$F$9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'res_raw_41852119'!$B$10</f>
        <v/>
      </c>
      <c r="C12" s="5">
        <f>'res_raw_41852119'!$C$10</f>
        <v/>
      </c>
      <c r="D12" s="5">
        <f>'res_raw_41852119'!$D$10</f>
        <v/>
      </c>
      <c r="E12" s="5">
        <f>'res_raw_41852119'!$E$10</f>
        <v/>
      </c>
      <c r="F12" s="5">
        <f>'res_raw_41852119'!$F$10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'res_raw_41852119'!$B$13</f>
        <v/>
      </c>
      <c r="C15" s="8">
        <f>'res_raw_41852119'!$C$13</f>
        <v/>
      </c>
      <c r="D15" s="8">
        <f>'res_raw_41852119'!$D$13</f>
        <v/>
      </c>
      <c r="E15" s="8">
        <f>'res_raw_41852119'!$E$13</f>
        <v/>
      </c>
      <c r="F15" s="8">
        <f>'res_raw_41852119'!$F$13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'res_raw_41852119'!$B$15</f>
        <v/>
      </c>
      <c r="C17" s="11">
        <f>'res_raw_41852119'!$C$15</f>
        <v/>
      </c>
      <c r="D17" s="11">
        <f>'res_raw_41852119'!$D$15</f>
        <v/>
      </c>
      <c r="E17" s="11">
        <f>'res_raw_41852119'!$E$15</f>
        <v/>
      </c>
      <c r="F17" s="11">
        <f>'res_raw_41852119'!$F$15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'res_raw_41852119'!$B$16</f>
        <v/>
      </c>
      <c r="C18" s="8">
        <f>'res_raw_41852119'!$C$16</f>
        <v/>
      </c>
      <c r="D18" s="8">
        <f>'res_raw_41852119'!$D$16</f>
        <v/>
      </c>
      <c r="E18" s="8">
        <f>'res_raw_41852119'!$E$16</f>
        <v/>
      </c>
      <c r="F18" s="8">
        <f>'res_raw_41852119'!$F$16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'balance_raw_41852119'!$B$2</f>
        <v/>
      </c>
      <c r="C21" s="11">
        <f>'balance_raw_41852119'!$C$2</f>
        <v/>
      </c>
      <c r="D21" s="11">
        <f>'balance_raw_41852119'!$D$2</f>
        <v/>
      </c>
      <c r="E21" s="11">
        <f>'balance_raw_41852119'!$E$2</f>
        <v/>
      </c>
      <c r="F21" s="11">
        <f>'balance_raw_41852119'!$F$2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'balance_raw_41852119'!$B$3</f>
        <v/>
      </c>
      <c r="C22" s="5">
        <f>'balance_raw_41852119'!$C$3</f>
        <v/>
      </c>
      <c r="D22" s="5">
        <f>'balance_raw_41852119'!$D$3</f>
        <v/>
      </c>
      <c r="E22" s="5">
        <f>'balance_raw_41852119'!$E$3</f>
        <v/>
      </c>
      <c r="F22" s="5">
        <f>'balance_raw_41852119'!$F$3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'balance_raw_41852119'!$B$4</f>
        <v/>
      </c>
      <c r="C23" s="11">
        <f>'balance_raw_41852119'!$C$4</f>
        <v/>
      </c>
      <c r="D23" s="11">
        <f>'balance_raw_41852119'!$D$4</f>
        <v/>
      </c>
      <c r="E23" s="11">
        <f>'balance_raw_41852119'!$E$4</f>
        <v/>
      </c>
      <c r="F23" s="11">
        <f>'balance_raw_41852119'!$F$4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'balance_raw_41852119'!$B$5</f>
        <v/>
      </c>
      <c r="C24" s="5">
        <f>'balance_raw_41852119'!$C$5</f>
        <v/>
      </c>
      <c r="D24" s="5">
        <f>'balance_raw_41852119'!$D$5</f>
        <v/>
      </c>
      <c r="E24" s="5">
        <f>'balance_raw_41852119'!$E$5</f>
        <v/>
      </c>
      <c r="F24" s="5">
        <f>'balance_raw_41852119'!$F$5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'balance_raw_41852119'!$B$6</f>
        <v/>
      </c>
      <c r="C25" s="11">
        <f>'balance_raw_41852119'!$C$6</f>
        <v/>
      </c>
      <c r="D25" s="11">
        <f>'balance_raw_41852119'!$D$6</f>
        <v/>
      </c>
      <c r="E25" s="11">
        <f>'balance_raw_41852119'!$E$6</f>
        <v/>
      </c>
      <c r="F25" s="11">
        <f>'balance_raw_41852119'!$F$6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'balance_raw_41852119'!$B$7</f>
        <v/>
      </c>
      <c r="C26" s="8">
        <f>'balance_raw_41852119'!$C$7</f>
        <v/>
      </c>
      <c r="D26" s="8">
        <f>'balance_raw_41852119'!$D$7</f>
        <v/>
      </c>
      <c r="E26" s="8">
        <f>'balance_raw_41852119'!$E$7</f>
        <v/>
      </c>
      <c r="F26" s="8">
        <f>'balance_raw_41852119'!$F$7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'balance_raw_41852119'!$B$8</f>
        <v/>
      </c>
      <c r="C27" s="8">
        <f>'balance_raw_41852119'!$C$8</f>
        <v/>
      </c>
      <c r="D27" s="8">
        <f>'balance_raw_41852119'!$D$8</f>
        <v/>
      </c>
      <c r="E27" s="8">
        <f>'balance_raw_41852119'!$E$8</f>
        <v/>
      </c>
      <c r="F27" s="8">
        <f>'balance_raw_41852119'!$F$8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Råvarer og hjælpematerialer</t>
        </is>
      </c>
      <c r="B28" s="5">
        <f>'balance_raw_41852119'!$B$9</f>
        <v/>
      </c>
      <c r="C28" s="5">
        <f>'balance_raw_41852119'!$C$9</f>
        <v/>
      </c>
      <c r="D28" s="5">
        <f>'balance_raw_41852119'!$D$9</f>
        <v/>
      </c>
      <c r="E28" s="5">
        <f>'balance_raw_41852119'!$E$9</f>
        <v/>
      </c>
      <c r="F28" s="5">
        <f>'balance_raw_41852119'!$F$9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Varer under fremstilling</t>
        </is>
      </c>
      <c r="B29" s="11">
        <f>'balance_raw_41852119'!$B$10</f>
        <v/>
      </c>
      <c r="C29" s="11">
        <f>'balance_raw_41852119'!$C$10</f>
        <v/>
      </c>
      <c r="D29" s="11">
        <f>'balance_raw_41852119'!$D$10</f>
        <v/>
      </c>
      <c r="E29" s="11">
        <f>'balance_raw_41852119'!$E$10</f>
        <v/>
      </c>
      <c r="F29" s="11">
        <f>'balance_raw_41852119'!$F$10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Færdigvarer og handelsvarer</t>
        </is>
      </c>
      <c r="B30" s="5">
        <f>'balance_raw_41852119'!$B$11</f>
        <v/>
      </c>
      <c r="C30" s="5">
        <f>'balance_raw_41852119'!$C$11</f>
        <v/>
      </c>
      <c r="D30" s="5">
        <f>'balance_raw_41852119'!$D$11</f>
        <v/>
      </c>
      <c r="E30" s="5">
        <f>'balance_raw_41852119'!$E$11</f>
        <v/>
      </c>
      <c r="F30" s="5">
        <f>'balance_raw_41852119'!$F$11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Varebeholdninger</t>
        </is>
      </c>
      <c r="B31" s="8">
        <f>'balance_raw_41852119'!$B$12</f>
        <v/>
      </c>
      <c r="C31" s="8">
        <f>'balance_raw_41852119'!$C$12</f>
        <v/>
      </c>
      <c r="D31" s="8">
        <f>'balance_raw_41852119'!$D$12</f>
        <v/>
      </c>
      <c r="E31" s="8">
        <f>'balance_raw_41852119'!$E$12</f>
        <v/>
      </c>
      <c r="F31" s="8">
        <f>'balance_raw_41852119'!$F$12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'balance_raw_41852119'!$B$13</f>
        <v/>
      </c>
      <c r="C32" s="5">
        <f>'balance_raw_41852119'!$C$13</f>
        <v/>
      </c>
      <c r="D32" s="5">
        <f>'balance_raw_41852119'!$D$13</f>
        <v/>
      </c>
      <c r="E32" s="5">
        <f>'balance_raw_41852119'!$E$13</f>
        <v/>
      </c>
      <c r="F32" s="5">
        <f>'balance_raw_41852119'!$F$13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'balance_raw_41852119'!$B$14</f>
        <v/>
      </c>
      <c r="C33" s="11">
        <f>'balance_raw_41852119'!$C$14</f>
        <v/>
      </c>
      <c r="D33" s="11">
        <f>'balance_raw_41852119'!$D$14</f>
        <v/>
      </c>
      <c r="E33" s="11">
        <f>'balance_raw_41852119'!$E$14</f>
        <v/>
      </c>
      <c r="F33" s="11">
        <f>'balance_raw_41852119'!$F$14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'balance_raw_41852119'!$B$15</f>
        <v/>
      </c>
      <c r="C34" s="5">
        <f>'balance_raw_41852119'!$C$15</f>
        <v/>
      </c>
      <c r="D34" s="5">
        <f>'balance_raw_41852119'!$D$15</f>
        <v/>
      </c>
      <c r="E34" s="5">
        <f>'balance_raw_41852119'!$E$15</f>
        <v/>
      </c>
      <c r="F34" s="5">
        <f>'balance_raw_41852119'!$F$15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'balance_raw_41852119'!$B$16</f>
        <v/>
      </c>
      <c r="C35" s="11">
        <f>'balance_raw_41852119'!$C$16</f>
        <v/>
      </c>
      <c r="D35" s="11">
        <f>'balance_raw_41852119'!$D$16</f>
        <v/>
      </c>
      <c r="E35" s="11">
        <f>'balance_raw_41852119'!$E$16</f>
        <v/>
      </c>
      <c r="F35" s="11">
        <f>'balance_raw_41852119'!$F$16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'balance_raw_41852119'!$B$17</f>
        <v/>
      </c>
      <c r="C36" s="5">
        <f>'balance_raw_41852119'!$C$17</f>
        <v/>
      </c>
      <c r="D36" s="5">
        <f>'balance_raw_41852119'!$D$17</f>
        <v/>
      </c>
      <c r="E36" s="5">
        <f>'balance_raw_41852119'!$E$17</f>
        <v/>
      </c>
      <c r="F36" s="5">
        <f>'balance_raw_41852119'!$F$17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'balance_raw_41852119'!$B$18</f>
        <v/>
      </c>
      <c r="C37" s="11">
        <f>'balance_raw_41852119'!$C$18</f>
        <v/>
      </c>
      <c r="D37" s="11">
        <f>'balance_raw_41852119'!$D$18</f>
        <v/>
      </c>
      <c r="E37" s="11">
        <f>'balance_raw_41852119'!$E$18</f>
        <v/>
      </c>
      <c r="F37" s="11">
        <f>'balance_raw_41852119'!$F$18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'balance_raw_41852119'!$B$19</f>
        <v/>
      </c>
      <c r="C38" s="5">
        <f>'balance_raw_41852119'!$C$19</f>
        <v/>
      </c>
      <c r="D38" s="5">
        <f>'balance_raw_41852119'!$D$19</f>
        <v/>
      </c>
      <c r="E38" s="5">
        <f>'balance_raw_41852119'!$E$19</f>
        <v/>
      </c>
      <c r="F38" s="5">
        <f>'balance_raw_41852119'!$F$19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'balance_raw_41852119'!$B$20</f>
        <v/>
      </c>
      <c r="C39" s="8">
        <f>'balance_raw_41852119'!$C$20</f>
        <v/>
      </c>
      <c r="D39" s="8">
        <f>'balance_raw_41852119'!$D$20</f>
        <v/>
      </c>
      <c r="E39" s="8">
        <f>'balance_raw_41852119'!$E$20</f>
        <v/>
      </c>
      <c r="F39" s="8">
        <f>'balance_raw_41852119'!$F$20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'balance_raw_41852119'!$B$21</f>
        <v/>
      </c>
      <c r="C40" s="5">
        <f>'balance_raw_41852119'!$C$21</f>
        <v/>
      </c>
      <c r="D40" s="5">
        <f>'balance_raw_41852119'!$D$21</f>
        <v/>
      </c>
      <c r="E40" s="5">
        <f>'balance_raw_41852119'!$E$21</f>
        <v/>
      </c>
      <c r="F40" s="5">
        <f>'balance_raw_41852119'!$F$21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'balance_raw_41852119'!$B$22</f>
        <v/>
      </c>
      <c r="C41" s="11">
        <f>'balance_raw_41852119'!$C$22</f>
        <v/>
      </c>
      <c r="D41" s="11">
        <f>'balance_raw_41852119'!$D$22</f>
        <v/>
      </c>
      <c r="E41" s="11">
        <f>'balance_raw_41852119'!$E$22</f>
        <v/>
      </c>
      <c r="F41" s="11">
        <f>'balance_raw_41852119'!$F$22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'balance_raw_41852119'!$B$23</f>
        <v/>
      </c>
      <c r="C42" s="8">
        <f>'balance_raw_41852119'!$C$23</f>
        <v/>
      </c>
      <c r="D42" s="8">
        <f>'balance_raw_41852119'!$D$23</f>
        <v/>
      </c>
      <c r="E42" s="8">
        <f>'balance_raw_41852119'!$E$23</f>
        <v/>
      </c>
      <c r="F42" s="8">
        <f>'balance_raw_41852119'!$F$23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'balance_raw_41852119'!$B$24</f>
        <v/>
      </c>
      <c r="C43" s="8">
        <f>'balance_raw_41852119'!$C$24</f>
        <v/>
      </c>
      <c r="D43" s="8">
        <f>'balance_raw_41852119'!$D$24</f>
        <v/>
      </c>
      <c r="E43" s="8">
        <f>'balance_raw_41852119'!$E$24</f>
        <v/>
      </c>
      <c r="F43" s="8">
        <f>'balance_raw_41852119'!$F$24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'balance_raw_41852119'!$B$25</f>
        <v/>
      </c>
      <c r="C46" s="5">
        <f>'balance_raw_41852119'!$C$25</f>
        <v/>
      </c>
      <c r="D46" s="5">
        <f>'balance_raw_41852119'!$D$25</f>
        <v/>
      </c>
      <c r="E46" s="5">
        <f>'balance_raw_41852119'!$E$25</f>
        <v/>
      </c>
      <c r="F46" s="5">
        <f>'balance_raw_41852119'!$F$25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'balance_raw_41852119'!$B$26</f>
        <v/>
      </c>
      <c r="C47" s="11">
        <f>'balance_raw_41852119'!$C$26</f>
        <v/>
      </c>
      <c r="D47" s="11">
        <f>'balance_raw_41852119'!$D$26</f>
        <v/>
      </c>
      <c r="E47" s="11">
        <f>'balance_raw_41852119'!$E$26</f>
        <v/>
      </c>
      <c r="F47" s="11">
        <f>'balance_raw_41852119'!$F$26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'balance_raw_41852119'!$B$27</f>
        <v/>
      </c>
      <c r="C48" s="5">
        <f>'balance_raw_41852119'!$C$27</f>
        <v/>
      </c>
      <c r="D48" s="5">
        <f>'balance_raw_41852119'!$D$27</f>
        <v/>
      </c>
      <c r="E48" s="5">
        <f>'balance_raw_41852119'!$E$27</f>
        <v/>
      </c>
      <c r="F48" s="5">
        <f>'balance_raw_41852119'!$F$27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'balance_raw_41852119'!$B$28</f>
        <v/>
      </c>
      <c r="C49" s="11">
        <f>'balance_raw_41852119'!$C$28</f>
        <v/>
      </c>
      <c r="D49" s="11">
        <f>'balance_raw_41852119'!$D$28</f>
        <v/>
      </c>
      <c r="E49" s="11">
        <f>'balance_raw_41852119'!$E$28</f>
        <v/>
      </c>
      <c r="F49" s="11">
        <f>'balance_raw_41852119'!$F$28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'balance_raw_41852119'!$B$29</f>
        <v/>
      </c>
      <c r="C50" s="5">
        <f>'balance_raw_41852119'!$C$29</f>
        <v/>
      </c>
      <c r="D50" s="5">
        <f>'balance_raw_41852119'!$D$29</f>
        <v/>
      </c>
      <c r="E50" s="5">
        <f>'balance_raw_41852119'!$E$29</f>
        <v/>
      </c>
      <c r="F50" s="5">
        <f>'balance_raw_41852119'!$F$29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'balance_raw_41852119'!$B$30</f>
        <v/>
      </c>
      <c r="C51" s="11">
        <f>'balance_raw_41852119'!$C$30</f>
        <v/>
      </c>
      <c r="D51" s="11">
        <f>'balance_raw_41852119'!$D$30</f>
        <v/>
      </c>
      <c r="E51" s="11">
        <f>'balance_raw_41852119'!$E$30</f>
        <v/>
      </c>
      <c r="F51" s="11">
        <f>'balance_raw_41852119'!$F$30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'balance_raw_41852119'!$B$31</f>
        <v/>
      </c>
      <c r="C52" s="8">
        <f>'balance_raw_41852119'!$C$31</f>
        <v/>
      </c>
      <c r="D52" s="8">
        <f>'balance_raw_41852119'!$D$31</f>
        <v/>
      </c>
      <c r="E52" s="8">
        <f>'balance_raw_41852119'!$E$31</f>
        <v/>
      </c>
      <c r="F52" s="8">
        <f>'balance_raw_41852119'!$F$31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'balance_raw_41852119'!$B$32</f>
        <v/>
      </c>
      <c r="C53" s="11">
        <f>'balance_raw_41852119'!$C$32</f>
        <v/>
      </c>
      <c r="D53" s="11">
        <f>'balance_raw_41852119'!$D$32</f>
        <v/>
      </c>
      <c r="E53" s="11">
        <f>'balance_raw_41852119'!$E$32</f>
        <v/>
      </c>
      <c r="F53" s="11">
        <f>'balance_raw_41852119'!$F$32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'balance_raw_41852119'!$B$33</f>
        <v/>
      </c>
      <c r="C54" s="8">
        <f>'balance_raw_41852119'!$C$33</f>
        <v/>
      </c>
      <c r="D54" s="8">
        <f>'balance_raw_41852119'!$D$33</f>
        <v/>
      </c>
      <c r="E54" s="8">
        <f>'balance_raw_41852119'!$E$33</f>
        <v/>
      </c>
      <c r="F54" s="8">
        <f>'balance_raw_41852119'!$F$33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'balance_raw_41852119'!$B$34</f>
        <v/>
      </c>
      <c r="C55" s="11">
        <f>'balance_raw_41852119'!$C$34</f>
        <v/>
      </c>
      <c r="D55" s="11">
        <f>'balance_raw_41852119'!$D$34</f>
        <v/>
      </c>
      <c r="E55" s="11">
        <f>'balance_raw_41852119'!$E$34</f>
        <v/>
      </c>
      <c r="F55" s="11">
        <f>'balance_raw_41852119'!$F$34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'balance_raw_41852119'!$B$35</f>
        <v/>
      </c>
      <c r="C56" s="5">
        <f>'balance_raw_41852119'!$C$35</f>
        <v/>
      </c>
      <c r="D56" s="5">
        <f>'balance_raw_41852119'!$D$35</f>
        <v/>
      </c>
      <c r="E56" s="5">
        <f>'balance_raw_41852119'!$E$35</f>
        <v/>
      </c>
      <c r="F56" s="5">
        <f>'balance_raw_41852119'!$F$35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'balance_raw_41852119'!$B$36</f>
        <v/>
      </c>
      <c r="C57" s="11">
        <f>'balance_raw_41852119'!$C$36</f>
        <v/>
      </c>
      <c r="D57" s="11">
        <f>'balance_raw_41852119'!$D$36</f>
        <v/>
      </c>
      <c r="E57" s="11">
        <f>'balance_raw_41852119'!$E$36</f>
        <v/>
      </c>
      <c r="F57" s="11">
        <f>'balance_raw_41852119'!$F$36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'balance_raw_41852119'!$B$37</f>
        <v/>
      </c>
      <c r="C58" s="5">
        <f>'balance_raw_41852119'!$C$37</f>
        <v/>
      </c>
      <c r="D58" s="5">
        <f>'balance_raw_41852119'!$D$37</f>
        <v/>
      </c>
      <c r="E58" s="5">
        <f>'balance_raw_41852119'!$E$37</f>
        <v/>
      </c>
      <c r="F58" s="5">
        <f>'balance_raw_41852119'!$F$37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'balance_raw_41852119'!$B$38</f>
        <v/>
      </c>
      <c r="C59" s="8">
        <f>'balance_raw_41852119'!$C$38</f>
        <v/>
      </c>
      <c r="D59" s="8">
        <f>'balance_raw_41852119'!$D$38</f>
        <v/>
      </c>
      <c r="E59" s="8">
        <f>'balance_raw_41852119'!$E$38</f>
        <v/>
      </c>
      <c r="F59" s="8">
        <f>'balance_raw_41852119'!$F$38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'balance_raw_41852119'!$B$39</f>
        <v/>
      </c>
      <c r="C60" s="5">
        <f>'balance_raw_41852119'!$C$39</f>
        <v/>
      </c>
      <c r="D60" s="5">
        <f>'balance_raw_41852119'!$D$39</f>
        <v/>
      </c>
      <c r="E60" s="5">
        <f>'balance_raw_41852119'!$E$39</f>
        <v/>
      </c>
      <c r="F60" s="5">
        <f>'balance_raw_41852119'!$F$39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'balance_raw_41852119'!$B$40</f>
        <v/>
      </c>
      <c r="C61" s="11">
        <f>'balance_raw_41852119'!$C$40</f>
        <v/>
      </c>
      <c r="D61" s="11">
        <f>'balance_raw_41852119'!$D$40</f>
        <v/>
      </c>
      <c r="E61" s="11">
        <f>'balance_raw_41852119'!$E$40</f>
        <v/>
      </c>
      <c r="F61" s="11">
        <f>'balance_raw_41852119'!$F$40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'balance_raw_41852119'!$B$41</f>
        <v/>
      </c>
      <c r="C62" s="5">
        <f>'balance_raw_41852119'!$C$41</f>
        <v/>
      </c>
      <c r="D62" s="5">
        <f>'balance_raw_41852119'!$D$41</f>
        <v/>
      </c>
      <c r="E62" s="5">
        <f>'balance_raw_41852119'!$E$41</f>
        <v/>
      </c>
      <c r="F62" s="5">
        <f>'balance_raw_41852119'!$F$41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'balance_raw_41852119'!$B$42</f>
        <v/>
      </c>
      <c r="C63" s="11">
        <f>'balance_raw_41852119'!$C$42</f>
        <v/>
      </c>
      <c r="D63" s="11">
        <f>'balance_raw_41852119'!$D$42</f>
        <v/>
      </c>
      <c r="E63" s="11">
        <f>'balance_raw_41852119'!$E$42</f>
        <v/>
      </c>
      <c r="F63" s="11">
        <f>'balance_raw_41852119'!$F$42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'balance_raw_41852119'!$B$43</f>
        <v/>
      </c>
      <c r="C64" s="5">
        <f>'balance_raw_41852119'!$C$43</f>
        <v/>
      </c>
      <c r="D64" s="5">
        <f>'balance_raw_41852119'!$D$43</f>
        <v/>
      </c>
      <c r="E64" s="5">
        <f>'balance_raw_41852119'!$E$43</f>
        <v/>
      </c>
      <c r="F64" s="5">
        <f>'balance_raw_41852119'!$F$43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'balance_raw_41852119'!$B$44</f>
        <v/>
      </c>
      <c r="C65" s="11">
        <f>'balance_raw_41852119'!$C$44</f>
        <v/>
      </c>
      <c r="D65" s="11">
        <f>'balance_raw_41852119'!$D$44</f>
        <v/>
      </c>
      <c r="E65" s="11">
        <f>'balance_raw_41852119'!$E$44</f>
        <v/>
      </c>
      <c r="F65" s="11">
        <f>'balance_raw_41852119'!$F$44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'balance_raw_41852119'!$B$45</f>
        <v/>
      </c>
      <c r="C66" s="5">
        <f>'balance_raw_41852119'!$C$45</f>
        <v/>
      </c>
      <c r="D66" s="5">
        <f>'balance_raw_41852119'!$D$45</f>
        <v/>
      </c>
      <c r="E66" s="5">
        <f>'balance_raw_41852119'!$E$45</f>
        <v/>
      </c>
      <c r="F66" s="5">
        <f>'balance_raw_41852119'!$F$45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'balance_raw_41852119'!$B$46</f>
        <v/>
      </c>
      <c r="C67" s="11">
        <f>'balance_raw_41852119'!$C$46</f>
        <v/>
      </c>
      <c r="D67" s="11">
        <f>'balance_raw_41852119'!$D$46</f>
        <v/>
      </c>
      <c r="E67" s="11">
        <f>'balance_raw_41852119'!$E$46</f>
        <v/>
      </c>
      <c r="F67" s="11">
        <f>'balance_raw_41852119'!$F$46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'balance_raw_41852119'!$B$47</f>
        <v/>
      </c>
      <c r="C68" s="5">
        <f>'balance_raw_41852119'!$C$47</f>
        <v/>
      </c>
      <c r="D68" s="5">
        <f>'balance_raw_41852119'!$D$47</f>
        <v/>
      </c>
      <c r="E68" s="5">
        <f>'balance_raw_41852119'!$E$47</f>
        <v/>
      </c>
      <c r="F68" s="5">
        <f>'balance_raw_41852119'!$F$47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'balance_raw_41852119'!$B$48</f>
        <v/>
      </c>
      <c r="C69" s="11">
        <f>'balance_raw_41852119'!$C$48</f>
        <v/>
      </c>
      <c r="D69" s="11">
        <f>'balance_raw_41852119'!$D$48</f>
        <v/>
      </c>
      <c r="E69" s="11">
        <f>'balance_raw_41852119'!$E$48</f>
        <v/>
      </c>
      <c r="F69" s="11">
        <f>'balance_raw_41852119'!$F$48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'balance_raw_41852119'!$B$49</f>
        <v/>
      </c>
      <c r="C70" s="5">
        <f>'balance_raw_41852119'!$C$49</f>
        <v/>
      </c>
      <c r="D70" s="5">
        <f>'balance_raw_41852119'!$D$49</f>
        <v/>
      </c>
      <c r="E70" s="5">
        <f>'balance_raw_41852119'!$E$49</f>
        <v/>
      </c>
      <c r="F70" s="5">
        <f>'balance_raw_41852119'!$F$49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'balance_raw_41852119'!$B$50</f>
        <v/>
      </c>
      <c r="C71" s="8">
        <f>'balance_raw_41852119'!$C$50</f>
        <v/>
      </c>
      <c r="D71" s="8">
        <f>'balance_raw_41852119'!$D$50</f>
        <v/>
      </c>
      <c r="E71" s="8">
        <f>'balance_raw_41852119'!$E$50</f>
        <v/>
      </c>
      <c r="F71" s="8">
        <f>'balance_raw_41852119'!$F$50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'balance_raw_41852119'!$B$51</f>
        <v/>
      </c>
      <c r="C72" s="8">
        <f>'balance_raw_41852119'!$C$51</f>
        <v/>
      </c>
      <c r="D72" s="8">
        <f>'balance_raw_41852119'!$D$51</f>
        <v/>
      </c>
      <c r="E72" s="8">
        <f>'balance_raw_41852119'!$E$51</f>
        <v/>
      </c>
      <c r="F72" s="8">
        <f>'balance_raw_41852119'!$F$51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'balance_raw_41852119'!$B$52</f>
        <v/>
      </c>
      <c r="C73" s="8">
        <f>'balance_raw_41852119'!$C$52</f>
        <v/>
      </c>
      <c r="D73" s="8">
        <f>'balance_raw_41852119'!$D$52</f>
        <v/>
      </c>
      <c r="E73" s="8">
        <f>'balance_raw_41852119'!$E$52</f>
        <v/>
      </c>
      <c r="F73" s="8">
        <f>'balance_raw_41852119'!$F$52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'res_raw_41852119'!$B$17</f>
        <v/>
      </c>
      <c r="C76" s="5">
        <f>'res_raw_41852119'!$C$17</f>
        <v/>
      </c>
      <c r="D76" s="5">
        <f>'res_raw_41852119'!$D$17</f>
        <v/>
      </c>
      <c r="E76" s="5">
        <f>'res_raw_41852119'!$E$17</f>
        <v/>
      </c>
      <c r="F76" s="5">
        <f>'res_raw_41852119'!$F$17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IFERROR(($B$11+$B$13+$B$12)/$B$43*100,"")</f>
        <v/>
      </c>
      <c r="C80" s="13">
        <f>IFERROR(($C$11+$C$13+$C$12)/$C$43*100,"")</f>
        <v/>
      </c>
      <c r="D80" s="13">
        <f>IFERROR(($D$11+$D$13+$D$12)/$D$43*100,"")</f>
        <v/>
      </c>
      <c r="E80" s="13">
        <f>IFERROR(($E$11+$E$13+$E$12)/$E$43*100,"")</f>
        <v/>
      </c>
      <c r="F80" s="13">
        <f>IFERROR(($F$11+$F$13+$F$12)/$F$43*100,"")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IFERROR($B$16/$B$52*100,"")</f>
        <v/>
      </c>
      <c r="C83" s="14">
        <f>IFERROR($C$16/$C$52*100,"")</f>
        <v/>
      </c>
      <c r="D83" s="14">
        <f>IFERROR($D$16/$D$52*100,"")</f>
        <v/>
      </c>
      <c r="E83" s="14">
        <f>IFERROR($E$16/$E$52*100,"")</f>
        <v/>
      </c>
      <c r="F83" s="14">
        <f>IFERROR($F$16/$F$52*100,"")</f>
        <v/>
      </c>
    </row>
    <row r="84" ht="16" customHeight="1">
      <c r="A84" s="4" t="inlineStr">
        <is>
          <t>Gældsrente, %</t>
        </is>
      </c>
      <c r="B84" s="13">
        <f>IFERROR($B$14/($B$73-$B$52)*100,"")</f>
        <v/>
      </c>
      <c r="C84" s="13">
        <f>IFERROR($C$14/($C$73-$C$52)*100,"")</f>
        <v/>
      </c>
      <c r="D84" s="13">
        <f>IFERROR($D$14/($D$73-$D$52)*100,"")</f>
        <v/>
      </c>
      <c r="E84" s="13">
        <f>IFERROR($E$14/($E$73-$E$52)*100,"")</f>
        <v/>
      </c>
      <c r="F84" s="13">
        <f>IFERROR($F$14/($F$73-$F$52)*100,"")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IFERROR($B$27/($B$52+$B$59)*100,"")</f>
        <v/>
      </c>
      <c r="C90" s="13">
        <f>IFERROR($C$27/($C$52+$C$59)*100,"")</f>
        <v/>
      </c>
      <c r="D90" s="13">
        <f>IFERROR($D$27/($D$52+$D$59)*100,"")</f>
        <v/>
      </c>
      <c r="E90" s="13">
        <f>IFERROR($E$27/($E$52+$E$59)*100,"")</f>
        <v/>
      </c>
      <c r="F90" s="13">
        <f>IFERROR($F$27/($F$52+$F$59)*100,"")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'pengestrom_raw_41852119'!$B$2</f>
        <v/>
      </c>
      <c r="C93" s="17">
        <f>'pengestrom_raw_41852119'!$C$2</f>
        <v/>
      </c>
      <c r="D93" s="17">
        <f>'pengestrom_raw_41852119'!$D$2</f>
        <v/>
      </c>
      <c r="E93" s="17">
        <f>'pengestrom_raw_41852119'!$E$2</f>
        <v/>
      </c>
      <c r="F93" s="17">
        <f>'pengestrom_raw_41852119'!$F$2</f>
        <v/>
      </c>
    </row>
    <row r="94">
      <c r="A94" s="16" t="inlineStr">
        <is>
          <t>Pengestrømme fra investeringsaktivitet</t>
        </is>
      </c>
      <c r="B94" s="17">
        <f>'pengestrom_raw_41852119'!$B$3</f>
        <v/>
      </c>
      <c r="C94" s="17">
        <f>'pengestrom_raw_41852119'!$C$3</f>
        <v/>
      </c>
      <c r="D94" s="17">
        <f>'pengestrom_raw_41852119'!$D$3</f>
        <v/>
      </c>
      <c r="E94" s="17">
        <f>'pengestrom_raw_41852119'!$E$3</f>
        <v/>
      </c>
      <c r="F94" s="17">
        <f>'pengestrom_raw_41852119'!$F$3</f>
        <v/>
      </c>
    </row>
    <row r="95">
      <c r="A95" s="16" t="inlineStr">
        <is>
          <t>Pengestrømme fra finansieringsaktivitet</t>
        </is>
      </c>
      <c r="B95" s="17">
        <f>'pengestrom_raw_41852119'!$B$4</f>
        <v/>
      </c>
      <c r="C95" s="17">
        <f>'pengestrom_raw_41852119'!$C$4</f>
        <v/>
      </c>
      <c r="D95" s="17">
        <f>'pengestrom_raw_41852119'!$D$4</f>
        <v/>
      </c>
      <c r="E95" s="17">
        <f>'pengestrom_raw_41852119'!$E$4</f>
        <v/>
      </c>
      <c r="F95" s="17">
        <f>'pengestrom_raw_41852119'!$F$4</f>
        <v/>
      </c>
    </row>
    <row r="96">
      <c r="A96" s="16" t="inlineStr">
        <is>
          <t>Årets pengestrøm (rapporteret)</t>
        </is>
      </c>
      <c r="B96" s="17">
        <f>'pengestrom_raw_41852119'!$B$5</f>
        <v/>
      </c>
      <c r="C96" s="17">
        <f>'pengestrom_raw_41852119'!$C$5</f>
        <v/>
      </c>
      <c r="D96" s="17">
        <f>'pengestrom_raw_41852119'!$D$5</f>
        <v/>
      </c>
      <c r="E96" s="17">
        <f>'pengestrom_raw_41852119'!$E$5</f>
        <v/>
      </c>
      <c r="F96" s="17">
        <f>'pengestrom_raw_41852119'!$F$5</f>
        <v/>
      </c>
    </row>
    <row r="97">
      <c r="A97" s="16" t="inlineStr">
        <is>
          <t>Krydstjek: drift + inv. + fin. = årets pengestrøm</t>
        </is>
      </c>
      <c r="B97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7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7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7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7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Salgs- og distributionsomkostninger</t>
        </is>
      </c>
      <c r="B5" s="17" t="n">
        <v>122354</v>
      </c>
      <c r="C5" s="17" t="n">
        <v>112287</v>
      </c>
      <c r="D5" s="17" t="n">
        <v>102672</v>
      </c>
      <c r="E5" s="17" t="n">
        <v>108950</v>
      </c>
      <c r="F5" s="17" t="n">
        <v>102255</v>
      </c>
    </row>
    <row r="6">
      <c r="A6" s="16" t="inlineStr">
        <is>
          <t>Administrationsomkostninger</t>
        </is>
      </c>
      <c r="B6" s="17" t="n">
        <v>46165</v>
      </c>
      <c r="C6" s="17" t="n">
        <v>65131</v>
      </c>
      <c r="D6" s="17" t="n">
        <v>62691</v>
      </c>
      <c r="E6" s="17" t="n">
        <v>68033</v>
      </c>
      <c r="F6" s="17" t="n">
        <v>62537</v>
      </c>
    </row>
    <row r="7">
      <c r="A7" s="16" t="inlineStr">
        <is>
          <t>Andre driftsindtægter</t>
        </is>
      </c>
      <c r="B7" s="17" t="n">
        <v>1815</v>
      </c>
      <c r="C7" s="17" t="n">
        <v>0</v>
      </c>
      <c r="D7" s="17" t="n"/>
      <c r="E7" s="17" t="n">
        <v>744</v>
      </c>
      <c r="F7" s="17" t="n">
        <v>467571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67</v>
      </c>
      <c r="E8" s="17" t="n">
        <v>414</v>
      </c>
      <c r="F8" s="17" t="n">
        <v>787</v>
      </c>
    </row>
    <row r="9">
      <c r="A9" s="15" t="inlineStr">
        <is>
          <t>Resultat af primær drift</t>
        </is>
      </c>
      <c r="B9" s="17" t="n">
        <v>57003</v>
      </c>
      <c r="C9" s="17" t="n">
        <v>86404</v>
      </c>
      <c r="D9" s="17" t="n">
        <v>49058</v>
      </c>
      <c r="E9" s="17" t="n">
        <v>11166</v>
      </c>
      <c r="F9" s="17" t="n">
        <v>532932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</v>
      </c>
      <c r="C11" s="17" t="n">
        <v>97</v>
      </c>
      <c r="D11" s="17" t="n">
        <v>212</v>
      </c>
      <c r="E11" s="17" t="n">
        <v>576</v>
      </c>
      <c r="F11" s="17" t="n">
        <v>37178</v>
      </c>
    </row>
    <row r="12">
      <c r="A12" s="16" t="inlineStr">
        <is>
          <t>Finansielle omkostninger</t>
        </is>
      </c>
      <c r="B12" s="17" t="n">
        <v>3534</v>
      </c>
      <c r="C12" s="17" t="n">
        <v>4786</v>
      </c>
      <c r="D12" s="17" t="n">
        <v>17919</v>
      </c>
      <c r="E12" s="17" t="n">
        <v>-3000</v>
      </c>
      <c r="F12" s="17" t="n">
        <v>-12939</v>
      </c>
    </row>
    <row r="13">
      <c r="A13" s="15" t="inlineStr">
        <is>
          <t>Finansielle poster, netto</t>
        </is>
      </c>
      <c r="B13" s="17" t="n">
        <v>-3531</v>
      </c>
      <c r="C13" s="17" t="n">
        <v>-4689</v>
      </c>
      <c r="D13" s="17" t="n">
        <v>-17707</v>
      </c>
      <c r="E13" s="17" t="n">
        <v>-17674</v>
      </c>
      <c r="F13" s="17" t="n">
        <v>14264</v>
      </c>
    </row>
    <row r="14">
      <c r="A14" s="15" t="inlineStr">
        <is>
          <t>Resultat før skat</t>
        </is>
      </c>
      <c r="B14" s="17" t="n">
        <v>53472</v>
      </c>
      <c r="C14" s="17" t="n">
        <v>81715</v>
      </c>
      <c r="D14" s="17" t="n">
        <v>31351</v>
      </c>
      <c r="E14" s="17" t="n">
        <v>-6508</v>
      </c>
      <c r="F14" s="17" t="n">
        <v>547196</v>
      </c>
    </row>
    <row r="15">
      <c r="A15" s="16" t="inlineStr">
        <is>
          <t>Skat af årets resultat</t>
        </is>
      </c>
      <c r="B15" s="17" t="n">
        <v>-808</v>
      </c>
      <c r="C15" s="17" t="n">
        <v>17046</v>
      </c>
      <c r="D15" s="17" t="n">
        <v>7430</v>
      </c>
      <c r="E15" s="17" t="n">
        <v>1255</v>
      </c>
      <c r="F15" s="17" t="n">
        <v>-123107</v>
      </c>
    </row>
    <row r="16">
      <c r="A16" s="15" t="inlineStr">
        <is>
          <t>Årets resultat</t>
        </is>
      </c>
      <c r="B16" s="17" t="n">
        <v>54280</v>
      </c>
      <c r="C16" s="17" t="n">
        <v>64669</v>
      </c>
      <c r="D16" s="17" t="n">
        <v>23921</v>
      </c>
      <c r="E16" s="17" t="n">
        <v>-5253</v>
      </c>
      <c r="F16" s="17" t="n">
        <v>424089</v>
      </c>
    </row>
    <row r="17">
      <c r="A17" s="16" t="inlineStr">
        <is>
          <t>Gns. antal medarbejdere</t>
        </is>
      </c>
      <c r="B17" s="17" t="n">
        <v>406</v>
      </c>
      <c r="C17" s="17" t="n">
        <v>402</v>
      </c>
      <c r="D17" s="17" t="n">
        <v>400</v>
      </c>
      <c r="E17" s="17" t="n">
        <v>401000</v>
      </c>
      <c r="F17" s="17" t="n">
        <v>412000</v>
      </c>
    </row>
    <row r="18">
      <c r="A18" s="16" t="inlineStr">
        <is>
          <t>Investering i materielle anlægsaktiver</t>
        </is>
      </c>
      <c r="B18" s="17" t="n">
        <v>-10001</v>
      </c>
      <c r="C18" s="17" t="n">
        <v>-11785</v>
      </c>
      <c r="D18" s="17" t="n">
        <v>-12606</v>
      </c>
      <c r="E18" s="17" t="n">
        <v>-46585</v>
      </c>
      <c r="F18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IF(COUNT('res_raw_41852119'!$F$2,'res_raw_41852119'!$F$3)=0,'res_raw_41852119'!$F$4,SUM(B5:B6))</f>
        <v/>
      </c>
      <c r="C7" s="27">
        <f>IF(COUNT('res_raw_41852119'!$E$2,'res_raw_41852119'!$E$3)=0,'res_raw_41852119'!$E$4,SUM(C5:C6))</f>
        <v/>
      </c>
      <c r="D7" s="27">
        <f>IF(COUNT('res_raw_41852119'!$D$2,'res_raw_41852119'!$D$3)=0,'res_raw_41852119'!$D$4,SUM(D5:D6))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'res_raw_41852119'!$F$7</f>
        <v/>
      </c>
      <c r="C10" s="24">
        <f>'res_raw_41852119'!$E$7</f>
        <v/>
      </c>
      <c r="D10" s="24">
        <f>'res_raw_41852119'!$D$7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-'res_raw_41852119'!$F$8</f>
        <v/>
      </c>
      <c r="C11" s="24">
        <f>-'res_raw_41852119'!$E$8</f>
        <v/>
      </c>
      <c r="D11" s="24">
        <f>-'res_raw_41852119'!$D$8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N('res_raw_41852119'!$F$10)+N('res_raw_41852119'!$F$11)</f>
        <v/>
      </c>
      <c r="C13" s="24">
        <f>N('res_raw_41852119'!$E$10)+N('res_raw_41852119'!$E$11)</f>
        <v/>
      </c>
      <c r="D13" s="24">
        <f>N('res_raw_41852119'!$D$10)+N('res_raw_41852119'!$D$11)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-'res_raw_41852119'!$F$12</f>
        <v/>
      </c>
      <c r="C14" s="24">
        <f>-'res_raw_41852119'!$E$12</f>
        <v/>
      </c>
      <c r="D14" s="24">
        <f>-'res_raw_41852119'!$D$12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'balance_raw_41852119'!$F$8</f>
        <v/>
      </c>
      <c r="C18" s="24">
        <f>'balance_raw_41852119'!$E$8</f>
        <v/>
      </c>
      <c r="D18" s="24">
        <f>'balance_raw_41852119'!$D$8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'balance_raw_41852119'!$F$23</f>
        <v/>
      </c>
      <c r="C19" s="24">
        <f>'balance_raw_41852119'!$E$23</f>
        <v/>
      </c>
      <c r="D19" s="24">
        <f>'balance_raw_41852119'!$D$23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'balance_raw_41852119'!$F$31</f>
        <v/>
      </c>
      <c r="C22" s="24">
        <f>'balance_raw_41852119'!$E$31</f>
        <v/>
      </c>
      <c r="D22" s="24">
        <f>'balance_raw_41852119'!$D$31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'balance_raw_41852119'!$F$52-'balance_raw_41852119'!$F$31</f>
        <v/>
      </c>
      <c r="C23" s="24">
        <f>'balance_raw_41852119'!$E$52-'balance_raw_41852119'!$E$31</f>
        <v/>
      </c>
      <c r="D23" s="24">
        <f>'balance_raw_41852119'!$D$52-'balance_raw_41852119'!$D$31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'balance_raw_41852119'!$F$12</f>
        <v/>
      </c>
      <c r="C27" s="24">
        <f>'balance_raw_41852119'!$E$12</f>
        <v/>
      </c>
      <c r="D27" s="24">
        <f>'balance_raw_41852119'!$D$12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'balance_raw_41852119'!$F$13</f>
        <v/>
      </c>
      <c r="C28" s="24">
        <f>'balance_raw_41852119'!$E$13</f>
        <v/>
      </c>
      <c r="D28" s="24">
        <f>'balance_raw_41852119'!$D$13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'balance_raw_41852119'!$F$50</f>
        <v/>
      </c>
      <c r="C29" s="24">
        <f>'balance_raw_41852119'!$E$50</f>
        <v/>
      </c>
      <c r="D29" s="24">
        <f>'balance_raw_41852119'!$D$50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IF('balance_raw_41852119'!$F$24="","—",IF(ABS(B20-'balance_raw_41852119'!$F$24)&lt;=1,"✓ OK","❌ "&amp;TEXT(B20-'balance_raw_41852119'!$F$24,"+#,##0;-#,##0")&amp;" t.kr."))</f>
        <v/>
      </c>
      <c r="C60" s="29">
        <f>IF('balance_raw_41852119'!$E$24="","—",IF(ABS(C20-'balance_raw_41852119'!$E$24)&lt;=1,"✓ OK","❌ "&amp;TEXT(C20-'balance_raw_41852119'!$E$24,"+#,##0;-#,##0")&amp;" t.kr."))</f>
        <v/>
      </c>
      <c r="D60" s="29">
        <f>IF('balance_raw_41852119'!$D$24="","—",IF(ABS(D20-'balance_raw_41852119'!$D$24)&lt;=1,"✓ OK","❌ "&amp;TEXT(D20-'balance_raw_41852119'!$D$24,"+#,##0;-#,##0")&amp;"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IF('balance_raw_41852119'!$F$52="","—",IF(ABS(B24-'balance_raw_41852119'!$F$52)&lt;=1,"✓ OK","❌ "&amp;TEXT(B24-'balance_raw_41852119'!$F$52,"+#,##0;-#,##0")&amp;" t.kr."))</f>
        <v/>
      </c>
      <c r="C61" s="29">
        <f>IF('balance_raw_41852119'!$E$52="","—",IF(ABS(C24-'balance_raw_41852119'!$E$52)&lt;=1,"✓ OK","❌ "&amp;TEXT(C24-'balance_raw_41852119'!$E$52,"+#,##0;-#,##0")&amp;" t.kr."))</f>
        <v/>
      </c>
      <c r="D61" s="29">
        <f>IF('balance_raw_41852119'!$D$52="","—",IF(ABS(D24-'balance_raw_41852119'!$D$52)&lt;=1,"✓ OK","❌ "&amp;TEXT(D24-'balance_raw_41852119'!$D$52,"+#,##0;-#,##0")&amp;"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IF('res_raw_41852119'!$F$4="","—",IF(ABS(B7-'res_raw_41852119'!$F$4)&lt;=1,"✓ OK","❌ "&amp;TEXT(B7-'res_raw_41852119'!$F$4,"+#,##0;-#,##0")&amp;" t.kr."))</f>
        <v/>
      </c>
      <c r="C63" s="29">
        <f>IF('res_raw_41852119'!$E$4="","—",IF(ABS(C7-'res_raw_41852119'!$E$4)&lt;=1,"✓ OK","❌ "&amp;TEXT(C7-'res_raw_41852119'!$E$4,"+#,##0;-#,##0")&amp;" t.kr."))</f>
        <v/>
      </c>
      <c r="D63" s="29">
        <f>IF('res_raw_41852119'!$D$4="","—",IF(ABS(D7-'res_raw_41852119'!$D$4)&lt;=1,"✓ OK","❌ "&amp;TEXT(D7-'res_raw_41852119'!$D$4,"+#,##0;-#,##0")&amp;"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IF('res_raw_41852119'!$F$9="","—",IF(ABS(B12-'res_raw_41852119'!$F$9)&lt;=1,"✓ OK","❌ "&amp;TEXT(B12-'res_raw_41852119'!$F$9,"+#,##0;-#,##0")&amp;" t.kr."))</f>
        <v/>
      </c>
      <c r="C64" s="29">
        <f>IF('res_raw_41852119'!$E$9="","—",IF(ABS(C12-'res_raw_41852119'!$E$9)&lt;=1,"✓ OK","❌ "&amp;TEXT(C12-'res_raw_41852119'!$E$9,"+#,##0;-#,##0")&amp;" t.kr."))</f>
        <v/>
      </c>
      <c r="D64" s="29">
        <f>IF('res_raw_41852119'!$D$9="","—",IF(ABS(D12-'res_raw_41852119'!$D$9)&lt;=1,"✓ OK","❌ "&amp;TEXT(D12-'res_raw_41852119'!$D$9,"+#,##0;-#,##0")&amp;"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IF('res_raw_41852119'!$F$14="","—",IF(ABS(B15-'res_raw_41852119'!$F$14)&lt;=1,"✓ OK","❌ "&amp;TEXT(B15-'res_raw_41852119'!$F$14,"+#,##0;-#,##0")&amp;" t.kr."))</f>
        <v/>
      </c>
      <c r="C65" s="29">
        <f>IF('res_raw_41852119'!$E$14="","—",IF(ABS(C15-'res_raw_41852119'!$E$14)&lt;=1,"✓ OK","❌ "&amp;TEXT(C15-'res_raw_41852119'!$E$14,"+#,##0;-#,##0")&amp;" t.kr."))</f>
        <v/>
      </c>
      <c r="D65" s="29">
        <f>IF('res_raw_41852119'!$D$14="","—",IF(ABS(D15-'res_raw_41852119'!$D$14)&lt;=1,"✓ OK","❌ "&amp;TEXT(D15-'res_raw_41852119'!$D$14,"+#,##0;-#,##0")&amp;"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31737</v>
      </c>
      <c r="E3" s="35" t="n">
        <v>16261</v>
      </c>
      <c r="F3" s="35" t="n">
        <v>41586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180</v>
      </c>
      <c r="E4" s="38" t="n">
        <v>79</v>
      </c>
      <c r="F4" s="38" t="n">
        <v>359</v>
      </c>
      <c r="G4" s="38" t="n">
        <v>884</v>
      </c>
      <c r="H4" s="38" t="n">
        <v>764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fsa:InformationOnAuditorsFees</t>
        </is>
      </c>
      <c r="C5" s="34" t="inlineStr">
        <is>
          <t>fsa:InformationOnAuditorsFees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fsa:InterestIncomeFromParticipatingInterests</t>
        </is>
      </c>
      <c r="C6" s="37" t="inlineStr">
        <is>
          <t>fsa:InterestIncomeFromParticipatingInterests</t>
        </is>
      </c>
      <c r="D6" s="38" t="n"/>
      <c r="E6" s="38" t="n"/>
      <c r="F6" s="38" t="n"/>
      <c r="G6" s="38" t="n">
        <v>0</v>
      </c>
      <c r="H6" s="38" t="n">
        <v>35627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fsa:NominalValueOfIssuedShares</t>
        </is>
      </c>
      <c r="C7" s="34" t="inlineStr">
        <is>
          <t>fsa:NominalValueOfIssuedShares</t>
        </is>
      </c>
      <c r="D7" s="35" t="n"/>
      <c r="E7" s="35" t="n"/>
      <c r="F7" s="35" t="n"/>
      <c r="G7" s="35" t="n">
        <v>12000</v>
      </c>
      <c r="H7" s="35" t="n">
        <v>12000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fsa:OtherProvisionsLiabilitiesShortterm</t>
        </is>
      </c>
      <c r="C8" s="37" t="inlineStr">
        <is>
          <t>fsa:OtherProvisionsLiabilitiesShortterm</t>
        </is>
      </c>
      <c r="D8" s="38" t="n"/>
      <c r="E8" s="38" t="n"/>
      <c r="F8" s="38" t="n"/>
      <c r="G8" s="38" t="n">
        <v>19619</v>
      </c>
      <c r="H8" s="38" t="n">
        <v>21169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fsa:OtherReceivables</t>
        </is>
      </c>
      <c r="C9" s="34" t="inlineStr">
        <is>
          <t>fsa:OtherReceivables</t>
        </is>
      </c>
      <c r="D9" s="35" t="n"/>
      <c r="E9" s="35" t="n"/>
      <c r="F9" s="35" t="n">
        <v>43079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fsa:Planes</t>
        </is>
      </c>
      <c r="C10" s="37" t="inlineStr">
        <is>
          <t>fsa:Planes</t>
        </is>
      </c>
      <c r="D10" s="38" t="n">
        <v>2823</v>
      </c>
      <c r="E10" s="38" t="n">
        <v>3019</v>
      </c>
      <c r="F10" s="38" t="n">
        <v>1814</v>
      </c>
      <c r="G10" s="38" t="n">
        <v>32605</v>
      </c>
      <c r="H10" s="38" t="n">
        <v>16607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0</v>
      </c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fsa:ReductionOfLeaseCommitments</t>
        </is>
      </c>
      <c r="C12" s="37" t="inlineStr">
        <is>
          <t>fsa:ReductionOfLeaseCommitments</t>
        </is>
      </c>
      <c r="D12" s="38" t="n"/>
      <c r="E12" s="38" t="n"/>
      <c r="F12" s="38" t="n"/>
      <c r="G12" s="38" t="n">
        <v>-7826</v>
      </c>
      <c r="H12" s="38" t="n">
        <v>-7539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fsa:RestOfOtherReceivables</t>
        </is>
      </c>
      <c r="C13" s="34" t="inlineStr">
        <is>
          <t>fsa:RestOfOtherReceivables</t>
        </is>
      </c>
      <c r="D13" s="35" t="n"/>
      <c r="E13" s="35" t="n"/>
      <c r="F13" s="35" t="n">
        <v>43079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fsa:SaleOfTreasuryShares</t>
        </is>
      </c>
      <c r="C14" s="37" t="inlineStr">
        <is>
          <t>fsa:SaleOfTreasuryShares</t>
        </is>
      </c>
      <c r="D14" s="38" t="n">
        <v>-9829</v>
      </c>
      <c r="E14" s="38" t="n">
        <v>-8226</v>
      </c>
      <c r="F14" s="38" t="n">
        <v>-8391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fsa:Ships</t>
        </is>
      </c>
      <c r="C15" s="34" t="inlineStr">
        <is>
          <t>fsa:Ships</t>
        </is>
      </c>
      <c r="D15" s="35" t="n">
        <v>16821</v>
      </c>
      <c r="E15" s="35" t="n">
        <v>10666</v>
      </c>
      <c r="F15" s="35" t="n">
        <v>16991</v>
      </c>
      <c r="G15" s="35" t="n">
        <v>905</v>
      </c>
      <c r="H15" s="35" t="n">
        <v>1189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2026-09-27T21:19:45Z</dcterms:created>
  <dcterms:modified xmlns:dcterms="http://purl.org/dc/terms/" xmlns:xsi="http://www.w3.org/2001/XMLSchema-instance" xsi:type="dcterms:W3CDTF">2026-09-27T21:19:46Z</dcterms:modified>
</cp:coreProperties>
</file>