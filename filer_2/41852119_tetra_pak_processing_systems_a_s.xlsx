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41852119" sheetId="1" state="visible" r:id="rId1"/>
    <sheet xmlns:r="http://schemas.openxmlformats.org/officeDocument/2006/relationships" name="res_raw_41852119" sheetId="2" state="visible" r:id="rId2"/>
    <sheet xmlns:r="http://schemas.openxmlformats.org/officeDocument/2006/relationships" name="balance_raw_41852119" sheetId="3" state="visible" r:id="rId3"/>
    <sheet xmlns:r="http://schemas.openxmlformats.org/officeDocument/2006/relationships" name="pengestrom_raw_41852119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3" fillId="0" borderId="3" pivotButton="0" quotePrefix="0" xfId="0"/>
    <xf numFmtId="3" fontId="3" fillId="0" borderId="3" applyAlignment="1" pivotButton="0" quotePrefix="0" xfId="0">
      <alignment horizontal="right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Tetra Pak Processing Systems A/S (CVR 41852119) — Regnskabsanalyse – Resultatopgørelse &amp; Balance (t.kr.) · Klasse C-mellem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'res_raw_41852119'!$B$2</f>
        <v/>
      </c>
      <c r="C4" s="5">
        <f>'res_raw_41852119'!$C$2</f>
        <v/>
      </c>
      <c r="D4" s="5">
        <f>'res_raw_41852119'!$D$2</f>
        <v/>
      </c>
      <c r="E4" s="5">
        <f>'res_raw_41852119'!$E$2</f>
        <v/>
      </c>
      <c r="F4" s="5">
        <f>'res_raw_41852119'!$F$2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'res_raw_41852119'!$B$3</f>
        <v/>
      </c>
      <c r="C5" s="8">
        <f>'res_raw_41852119'!$C$3</f>
        <v/>
      </c>
      <c r="D5" s="8">
        <f>'res_raw_41852119'!$D$3</f>
        <v/>
      </c>
      <c r="E5" s="8">
        <f>'res_raw_41852119'!$E$3</f>
        <v/>
      </c>
      <c r="F5" s="8">
        <f>'res_raw_41852119'!$F$3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'res_raw_41852119'!$B$4</f>
        <v/>
      </c>
      <c r="C6" s="8">
        <f>'res_raw_41852119'!$C$4</f>
        <v/>
      </c>
      <c r="D6" s="8">
        <f>'res_raw_41852119'!$D$4</f>
        <v/>
      </c>
      <c r="E6" s="8">
        <f>'res_raw_41852119'!$E$4</f>
        <v/>
      </c>
      <c r="F6" s="8">
        <f>'res_raw_41852119'!$F$4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10" t="inlineStr">
        <is>
          <t>Udviklingsomkostninger</t>
        </is>
      </c>
      <c r="B7" s="11">
        <f>'res_raw_41852119'!$B$5</f>
        <v/>
      </c>
      <c r="C7" s="11">
        <f>'res_raw_41852119'!$C$5</f>
        <v/>
      </c>
      <c r="D7" s="11">
        <f>'res_raw_41852119'!$D$5</f>
        <v/>
      </c>
      <c r="E7" s="11">
        <f>'res_raw_41852119'!$E$5</f>
        <v/>
      </c>
      <c r="F7" s="11">
        <f>'res_raw_41852119'!$F$5</f>
        <v/>
      </c>
      <c r="G7" t="inlineStr"/>
      <c r="H7" s="12">
        <f>IFERROR(B7/$B$7*100,"")</f>
        <v/>
      </c>
      <c r="I7" s="12">
        <f>IFERROR(C7/$B$7*100,"")</f>
        <v/>
      </c>
      <c r="J7" s="12">
        <f>IFERROR(D7/$B$7*100,"")</f>
        <v/>
      </c>
      <c r="K7" s="12">
        <f>IFERROR(E7/$B$7*100,"")</f>
        <v/>
      </c>
      <c r="L7" s="12">
        <f>IFERROR(F7/$B$7*100,"")</f>
        <v/>
      </c>
    </row>
    <row r="8" ht="16" customHeight="1">
      <c r="A8" s="7" t="inlineStr">
        <is>
          <t>Salgs- og distributionsomkostninger</t>
        </is>
      </c>
      <c r="B8" s="8">
        <f>'res_raw_41852119'!$B$6</f>
        <v/>
      </c>
      <c r="C8" s="8">
        <f>'res_raw_41852119'!$C$6</f>
        <v/>
      </c>
      <c r="D8" s="8">
        <f>'res_raw_41852119'!$D$6</f>
        <v/>
      </c>
      <c r="E8" s="8">
        <f>'res_raw_41852119'!$E$6</f>
        <v/>
      </c>
      <c r="F8" s="8">
        <f>'res_raw_41852119'!$F$6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7" t="inlineStr">
        <is>
          <t>Administrationsomkostninger</t>
        </is>
      </c>
      <c r="B9" s="8">
        <f>'res_raw_41852119'!$B$7</f>
        <v/>
      </c>
      <c r="C9" s="8">
        <f>'res_raw_41852119'!$C$7</f>
        <v/>
      </c>
      <c r="D9" s="8">
        <f>'res_raw_41852119'!$D$7</f>
        <v/>
      </c>
      <c r="E9" s="8">
        <f>'res_raw_41852119'!$E$7</f>
        <v/>
      </c>
      <c r="F9" s="8">
        <f>'res_raw_41852119'!$F$7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4" t="inlineStr">
        <is>
          <t>Andre driftsindtægter</t>
        </is>
      </c>
      <c r="B10" s="5">
        <f>'res_raw_41852119'!$B$8</f>
        <v/>
      </c>
      <c r="C10" s="5">
        <f>'res_raw_41852119'!$C$8</f>
        <v/>
      </c>
      <c r="D10" s="5">
        <f>'res_raw_41852119'!$D$8</f>
        <v/>
      </c>
      <c r="E10" s="5">
        <f>'res_raw_41852119'!$E$8</f>
        <v/>
      </c>
      <c r="F10" s="5">
        <f>'res_raw_41852119'!$F$8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10" t="inlineStr">
        <is>
          <t>Andre driftsomkostninger</t>
        </is>
      </c>
      <c r="B11" s="11">
        <f>'res_raw_41852119'!$B$9</f>
        <v/>
      </c>
      <c r="C11" s="11">
        <f>'res_raw_41852119'!$C$9</f>
        <v/>
      </c>
      <c r="D11" s="11">
        <f>'res_raw_41852119'!$D$9</f>
        <v/>
      </c>
      <c r="E11" s="11">
        <f>'res_raw_41852119'!$E$9</f>
        <v/>
      </c>
      <c r="F11" s="11">
        <f>'res_raw_41852119'!$F$9</f>
        <v/>
      </c>
      <c r="G11" t="inlineStr"/>
      <c r="H11" s="12">
        <f>IFERROR(B11/$B$11*100,"")</f>
        <v/>
      </c>
      <c r="I11" s="12">
        <f>IFERROR(C11/$B$11*100,"")</f>
        <v/>
      </c>
      <c r="J11" s="12">
        <f>IFERROR(D11/$B$11*100,"")</f>
        <v/>
      </c>
      <c r="K11" s="12">
        <f>IFERROR(E11/$B$11*100,"")</f>
        <v/>
      </c>
      <c r="L11" s="12">
        <f>IFERROR(F11/$B$11*100,"")</f>
        <v/>
      </c>
    </row>
    <row r="12" ht="16" customHeight="1">
      <c r="A12" s="7" t="inlineStr">
        <is>
          <t>Resultat af primær drift</t>
        </is>
      </c>
      <c r="B12" s="8">
        <f>'res_raw_41852119'!$B$10</f>
        <v/>
      </c>
      <c r="C12" s="8">
        <f>'res_raw_41852119'!$C$10</f>
        <v/>
      </c>
      <c r="D12" s="8">
        <f>'res_raw_41852119'!$D$10</f>
        <v/>
      </c>
      <c r="E12" s="8">
        <f>'res_raw_41852119'!$E$10</f>
        <v/>
      </c>
      <c r="F12" s="8">
        <f>'res_raw_41852119'!$F$10</f>
        <v/>
      </c>
      <c r="G12" t="inlineStr"/>
      <c r="H12" s="9">
        <f>IFERROR(B12/$B$12*100,"")</f>
        <v/>
      </c>
      <c r="I12" s="9">
        <f>IFERROR(C12/$B$12*100,"")</f>
        <v/>
      </c>
      <c r="J12" s="9">
        <f>IFERROR(D12/$B$12*100,"")</f>
        <v/>
      </c>
      <c r="K12" s="9">
        <f>IFERROR(E12/$B$12*100,"")</f>
        <v/>
      </c>
      <c r="L12" s="9">
        <f>IFERROR(F12/$B$12*100,"")</f>
        <v/>
      </c>
    </row>
    <row r="13" ht="16" customHeight="1">
      <c r="A13" s="10" t="inlineStr">
        <is>
          <t>Indtægter af kapitalandele, dattervirksomheder</t>
        </is>
      </c>
      <c r="B13" s="11">
        <f>'res_raw_41852119'!$B$11</f>
        <v/>
      </c>
      <c r="C13" s="11">
        <f>'res_raw_41852119'!$C$11</f>
        <v/>
      </c>
      <c r="D13" s="11">
        <f>'res_raw_41852119'!$D$11</f>
        <v/>
      </c>
      <c r="E13" s="11">
        <f>'res_raw_41852119'!$E$11</f>
        <v/>
      </c>
      <c r="F13" s="11">
        <f>'res_raw_41852119'!$F$11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indtægter</t>
        </is>
      </c>
      <c r="B14" s="5">
        <f>'res_raw_41852119'!$B$12</f>
        <v/>
      </c>
      <c r="C14" s="5">
        <f>'res_raw_41852119'!$C$12</f>
        <v/>
      </c>
      <c r="D14" s="5">
        <f>'res_raw_41852119'!$D$12</f>
        <v/>
      </c>
      <c r="E14" s="5">
        <f>'res_raw_41852119'!$E$12</f>
        <v/>
      </c>
      <c r="F14" s="5">
        <f>'res_raw_41852119'!$F$12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10" t="inlineStr">
        <is>
          <t>Finansielle omkostninger</t>
        </is>
      </c>
      <c r="B15" s="11">
        <f>'res_raw_41852119'!$B$13</f>
        <v/>
      </c>
      <c r="C15" s="11">
        <f>'res_raw_41852119'!$C$13</f>
        <v/>
      </c>
      <c r="D15" s="11">
        <f>'res_raw_41852119'!$D$13</f>
        <v/>
      </c>
      <c r="E15" s="11">
        <f>'res_raw_41852119'!$E$13</f>
        <v/>
      </c>
      <c r="F15" s="11">
        <f>'res_raw_41852119'!$F$13</f>
        <v/>
      </c>
      <c r="G15" t="inlineStr"/>
      <c r="H15" s="12">
        <f>IFERROR(B15/$B$15*100,"")</f>
        <v/>
      </c>
      <c r="I15" s="12">
        <f>IFERROR(C15/$B$15*100,"")</f>
        <v/>
      </c>
      <c r="J15" s="12">
        <f>IFERROR(D15/$B$15*100,"")</f>
        <v/>
      </c>
      <c r="K15" s="12">
        <f>IFERROR(E15/$B$15*100,"")</f>
        <v/>
      </c>
      <c r="L15" s="12">
        <f>IFERROR(F15/$B$15*100,"")</f>
        <v/>
      </c>
    </row>
    <row r="16" ht="16" customHeight="1">
      <c r="A16" s="7" t="inlineStr">
        <is>
          <t>Finansielle poster, netto</t>
        </is>
      </c>
      <c r="B16" s="8">
        <f>'res_raw_41852119'!$B$14</f>
        <v/>
      </c>
      <c r="C16" s="8">
        <f>'res_raw_41852119'!$C$14</f>
        <v/>
      </c>
      <c r="D16" s="8">
        <f>'res_raw_41852119'!$D$14</f>
        <v/>
      </c>
      <c r="E16" s="8">
        <f>'res_raw_41852119'!$E$14</f>
        <v/>
      </c>
      <c r="F16" s="8">
        <f>'res_raw_41852119'!$F$14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7" t="inlineStr">
        <is>
          <t>Resultat før skat</t>
        </is>
      </c>
      <c r="B17" s="8">
        <f>'res_raw_41852119'!$B$15</f>
        <v/>
      </c>
      <c r="C17" s="8">
        <f>'res_raw_41852119'!$C$15</f>
        <v/>
      </c>
      <c r="D17" s="8">
        <f>'res_raw_41852119'!$D$15</f>
        <v/>
      </c>
      <c r="E17" s="8">
        <f>'res_raw_41852119'!$E$15</f>
        <v/>
      </c>
      <c r="F17" s="8">
        <f>'res_raw_41852119'!$F$15</f>
        <v/>
      </c>
      <c r="G17" t="inlineStr"/>
      <c r="H17" s="9">
        <f>IFERROR(B17/$B$17*100,"")</f>
        <v/>
      </c>
      <c r="I17" s="9">
        <f>IFERROR(C17/$B$17*100,"")</f>
        <v/>
      </c>
      <c r="J17" s="9">
        <f>IFERROR(D17/$B$17*100,"")</f>
        <v/>
      </c>
      <c r="K17" s="9">
        <f>IFERROR(E17/$B$17*100,"")</f>
        <v/>
      </c>
      <c r="L17" s="9">
        <f>IFERROR(F17/$B$17*100,"")</f>
        <v/>
      </c>
    </row>
    <row r="18" ht="16" customHeight="1">
      <c r="A18" s="4" t="inlineStr">
        <is>
          <t>Skat af årets resultat</t>
        </is>
      </c>
      <c r="B18" s="5">
        <f>'res_raw_41852119'!$B$16</f>
        <v/>
      </c>
      <c r="C18" s="5">
        <f>'res_raw_41852119'!$C$16</f>
        <v/>
      </c>
      <c r="D18" s="5">
        <f>'res_raw_41852119'!$D$16</f>
        <v/>
      </c>
      <c r="E18" s="5">
        <f>'res_raw_41852119'!$E$16</f>
        <v/>
      </c>
      <c r="F18" s="5">
        <f>'res_raw_41852119'!$F$16</f>
        <v/>
      </c>
      <c r="G18" t="inlineStr"/>
      <c r="H18" s="6">
        <f>IFERROR(B18/$B$18*100,"")</f>
        <v/>
      </c>
      <c r="I18" s="6">
        <f>IFERROR(C18/$B$18*100,"")</f>
        <v/>
      </c>
      <c r="J18" s="6">
        <f>IFERROR(D18/$B$18*100,"")</f>
        <v/>
      </c>
      <c r="K18" s="6">
        <f>IFERROR(E18/$B$18*100,"")</f>
        <v/>
      </c>
      <c r="L18" s="6">
        <f>IFERROR(F18/$B$18*100,"")</f>
        <v/>
      </c>
    </row>
    <row r="19" ht="16" customHeight="1">
      <c r="A19" s="7" t="inlineStr">
        <is>
          <t>Årets resultat</t>
        </is>
      </c>
      <c r="B19" s="8">
        <f>'res_raw_41852119'!$B$17</f>
        <v/>
      </c>
      <c r="C19" s="8">
        <f>'res_raw_41852119'!$C$17</f>
        <v/>
      </c>
      <c r="D19" s="8">
        <f>'res_raw_41852119'!$D$17</f>
        <v/>
      </c>
      <c r="E19" s="8">
        <f>'res_raw_41852119'!$E$17</f>
        <v/>
      </c>
      <c r="F19" s="8">
        <f>'res_raw_41852119'!$F$17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1" ht="22" customHeight="1">
      <c r="A21" s="3" t="inlineStr">
        <is>
          <t>AKTIVER t.kr.</t>
        </is>
      </c>
      <c r="B21" s="3" t="n">
        <v>2021</v>
      </c>
      <c r="C21" s="3" t="n">
        <v>2022</v>
      </c>
      <c r="D21" s="3" t="n">
        <v>2023</v>
      </c>
      <c r="E21" s="3" t="n">
        <v>2024</v>
      </c>
      <c r="F21" s="3" t="n">
        <v>2025</v>
      </c>
      <c r="G21" t="inlineStr"/>
      <c r="H21" s="3" t="n">
        <v>2021</v>
      </c>
      <c r="I21" s="3" t="n">
        <v>2022</v>
      </c>
      <c r="J21" s="3" t="n">
        <v>2023</v>
      </c>
      <c r="K21" s="3" t="n">
        <v>2024</v>
      </c>
      <c r="L21" s="3" t="n">
        <v>2025</v>
      </c>
    </row>
    <row r="22" ht="16" customHeight="1">
      <c r="A22" s="4" t="inlineStr">
        <is>
          <t>Grunde og bygninger</t>
        </is>
      </c>
      <c r="B22" s="5">
        <f>'balance_raw_41852119'!$B$2</f>
        <v/>
      </c>
      <c r="C22" s="5">
        <f>'balance_raw_41852119'!$C$2</f>
        <v/>
      </c>
      <c r="D22" s="5">
        <f>'balance_raw_41852119'!$D$2</f>
        <v/>
      </c>
      <c r="E22" s="5">
        <f>'balance_raw_41852119'!$E$2</f>
        <v/>
      </c>
      <c r="F22" s="5">
        <f>'balance_raw_41852119'!$F$2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Produktionsanlæg og maskiner</t>
        </is>
      </c>
      <c r="B23" s="11">
        <f>'balance_raw_41852119'!$B$3</f>
        <v/>
      </c>
      <c r="C23" s="11">
        <f>'balance_raw_41852119'!$C$3</f>
        <v/>
      </c>
      <c r="D23" s="11">
        <f>'balance_raw_41852119'!$D$3</f>
        <v/>
      </c>
      <c r="E23" s="11">
        <f>'balance_raw_41852119'!$E$3</f>
        <v/>
      </c>
      <c r="F23" s="11">
        <f>'balance_raw_41852119'!$F$3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Driftsmateriel og inventar</t>
        </is>
      </c>
      <c r="B24" s="5">
        <f>'balance_raw_41852119'!$B$4</f>
        <v/>
      </c>
      <c r="C24" s="5">
        <f>'balance_raw_41852119'!$C$4</f>
        <v/>
      </c>
      <c r="D24" s="5">
        <f>'balance_raw_41852119'!$D$4</f>
        <v/>
      </c>
      <c r="E24" s="5">
        <f>'balance_raw_41852119'!$E$4</f>
        <v/>
      </c>
      <c r="F24" s="5">
        <f>'balance_raw_41852119'!$F$4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10" t="inlineStr">
        <is>
          <t>Indretning af lejede lokaler</t>
        </is>
      </c>
      <c r="B25" s="11">
        <f>'balance_raw_41852119'!$B$5</f>
        <v/>
      </c>
      <c r="C25" s="11">
        <f>'balance_raw_41852119'!$C$5</f>
        <v/>
      </c>
      <c r="D25" s="11">
        <f>'balance_raw_41852119'!$D$5</f>
        <v/>
      </c>
      <c r="E25" s="11">
        <f>'balance_raw_41852119'!$E$5</f>
        <v/>
      </c>
      <c r="F25" s="11">
        <f>'balance_raw_41852119'!$F$5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Forudbetaling og anlægsaktiver under opførelse</t>
        </is>
      </c>
      <c r="B26" s="5">
        <f>'balance_raw_41852119'!$B$6</f>
        <v/>
      </c>
      <c r="C26" s="5">
        <f>'balance_raw_41852119'!$C$6</f>
        <v/>
      </c>
      <c r="D26" s="5">
        <f>'balance_raw_41852119'!$D$6</f>
        <v/>
      </c>
      <c r="E26" s="5">
        <f>'balance_raw_41852119'!$E$6</f>
        <v/>
      </c>
      <c r="F26" s="5">
        <f>'balance_raw_41852119'!$F$6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Materielle anlægsaktiver</t>
        </is>
      </c>
      <c r="B27" s="8">
        <f>'balance_raw_41852119'!$B$7</f>
        <v/>
      </c>
      <c r="C27" s="8">
        <f>'balance_raw_41852119'!$C$7</f>
        <v/>
      </c>
      <c r="D27" s="8">
        <f>'balance_raw_41852119'!$D$7</f>
        <v/>
      </c>
      <c r="E27" s="8">
        <f>'balance_raw_41852119'!$E$7</f>
        <v/>
      </c>
      <c r="F27" s="8">
        <f>'balance_raw_41852119'!$F$7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7" t="inlineStr">
        <is>
          <t>Anlægsaktiver</t>
        </is>
      </c>
      <c r="B28" s="8">
        <f>'balance_raw_41852119'!$B$8</f>
        <v/>
      </c>
      <c r="C28" s="8">
        <f>'balance_raw_41852119'!$C$8</f>
        <v/>
      </c>
      <c r="D28" s="8">
        <f>'balance_raw_41852119'!$D$8</f>
        <v/>
      </c>
      <c r="E28" s="8">
        <f>'balance_raw_41852119'!$E$8</f>
        <v/>
      </c>
      <c r="F28" s="8">
        <f>'balance_raw_41852119'!$F$8</f>
        <v/>
      </c>
      <c r="G28" t="inlineStr"/>
      <c r="H28" s="9">
        <f>IFERROR(B28/$B$28*100,"")</f>
        <v/>
      </c>
      <c r="I28" s="9">
        <f>IFERROR(C28/$B$28*100,"")</f>
        <v/>
      </c>
      <c r="J28" s="9">
        <f>IFERROR(D28/$B$28*100,"")</f>
        <v/>
      </c>
      <c r="K28" s="9">
        <f>IFERROR(E28/$B$28*100,"")</f>
        <v/>
      </c>
      <c r="L28" s="9">
        <f>IFERROR(F28/$B$28*100,"")</f>
        <v/>
      </c>
    </row>
    <row r="29" ht="16" customHeight="1">
      <c r="A29" s="10" t="inlineStr">
        <is>
          <t>Råvarer og hjælpematerialer</t>
        </is>
      </c>
      <c r="B29" s="11">
        <f>'balance_raw_41852119'!$B$9</f>
        <v/>
      </c>
      <c r="C29" s="11">
        <f>'balance_raw_41852119'!$C$9</f>
        <v/>
      </c>
      <c r="D29" s="11">
        <f>'balance_raw_41852119'!$D$9</f>
        <v/>
      </c>
      <c r="E29" s="11">
        <f>'balance_raw_41852119'!$E$9</f>
        <v/>
      </c>
      <c r="F29" s="11">
        <f>'balance_raw_41852119'!$F$9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Varer under fremstilling</t>
        </is>
      </c>
      <c r="B30" s="5">
        <f>'balance_raw_41852119'!$B$10</f>
        <v/>
      </c>
      <c r="C30" s="5">
        <f>'balance_raw_41852119'!$C$10</f>
        <v/>
      </c>
      <c r="D30" s="5">
        <f>'balance_raw_41852119'!$D$10</f>
        <v/>
      </c>
      <c r="E30" s="5">
        <f>'balance_raw_41852119'!$E$10</f>
        <v/>
      </c>
      <c r="F30" s="5">
        <f>'balance_raw_41852119'!$F$10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Færdigvarer og handelsvarer</t>
        </is>
      </c>
      <c r="B31" s="11">
        <f>'balance_raw_41852119'!$B$11</f>
        <v/>
      </c>
      <c r="C31" s="11">
        <f>'balance_raw_41852119'!$C$11</f>
        <v/>
      </c>
      <c r="D31" s="11">
        <f>'balance_raw_41852119'!$D$11</f>
        <v/>
      </c>
      <c r="E31" s="11">
        <f>'balance_raw_41852119'!$E$11</f>
        <v/>
      </c>
      <c r="F31" s="11">
        <f>'balance_raw_41852119'!$F$11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7" t="inlineStr">
        <is>
          <t>Varebeholdninger</t>
        </is>
      </c>
      <c r="B32" s="8">
        <f>'balance_raw_41852119'!$B$12</f>
        <v/>
      </c>
      <c r="C32" s="8">
        <f>'balance_raw_41852119'!$C$12</f>
        <v/>
      </c>
      <c r="D32" s="8">
        <f>'balance_raw_41852119'!$D$12</f>
        <v/>
      </c>
      <c r="E32" s="8">
        <f>'balance_raw_41852119'!$E$12</f>
        <v/>
      </c>
      <c r="F32" s="8">
        <f>'balance_raw_41852119'!$F$12</f>
        <v/>
      </c>
      <c r="G32" t="inlineStr"/>
      <c r="H32" s="9">
        <f>IFERROR(B32/$B$32*100,"")</f>
        <v/>
      </c>
      <c r="I32" s="9">
        <f>IFERROR(C32/$B$32*100,"")</f>
        <v/>
      </c>
      <c r="J32" s="9">
        <f>IFERROR(D32/$B$32*100,"")</f>
        <v/>
      </c>
      <c r="K32" s="9">
        <f>IFERROR(E32/$B$32*100,"")</f>
        <v/>
      </c>
      <c r="L32" s="9">
        <f>IFERROR(F32/$B$32*100,"")</f>
        <v/>
      </c>
    </row>
    <row r="33" ht="16" customHeight="1">
      <c r="A33" s="10" t="inlineStr">
        <is>
          <t>Tilgodehavender fra salg og tjenesteydelser</t>
        </is>
      </c>
      <c r="B33" s="11">
        <f>'balance_raw_41852119'!$B$13</f>
        <v/>
      </c>
      <c r="C33" s="11">
        <f>'balance_raw_41852119'!$C$13</f>
        <v/>
      </c>
      <c r="D33" s="11">
        <f>'balance_raw_41852119'!$D$13</f>
        <v/>
      </c>
      <c r="E33" s="11">
        <f>'balance_raw_41852119'!$E$13</f>
        <v/>
      </c>
      <c r="F33" s="11">
        <f>'balance_raw_41852119'!$F$13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Tilgodehavender hos tilknyttede virksomheder</t>
        </is>
      </c>
      <c r="B34" s="5">
        <f>'balance_raw_41852119'!$B$14</f>
        <v/>
      </c>
      <c r="C34" s="5">
        <f>'balance_raw_41852119'!$C$14</f>
        <v/>
      </c>
      <c r="D34" s="5">
        <f>'balance_raw_41852119'!$D$14</f>
        <v/>
      </c>
      <c r="E34" s="5">
        <f>'balance_raw_41852119'!$E$14</f>
        <v/>
      </c>
      <c r="F34" s="5">
        <f>'balance_raw_41852119'!$F$14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Andre tilgodehavender</t>
        </is>
      </c>
      <c r="B35" s="11">
        <f>'balance_raw_41852119'!$B$15</f>
        <v/>
      </c>
      <c r="C35" s="11">
        <f>'balance_raw_41852119'!$C$15</f>
        <v/>
      </c>
      <c r="D35" s="11">
        <f>'balance_raw_41852119'!$D$15</f>
        <v/>
      </c>
      <c r="E35" s="11">
        <f>'balance_raw_41852119'!$E$15</f>
        <v/>
      </c>
      <c r="F35" s="11">
        <f>'balance_raw_41852119'!$F$15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Periodeafgrænsningsposter (aktiver)</t>
        </is>
      </c>
      <c r="B36" s="5">
        <f>'balance_raw_41852119'!$B$16</f>
        <v/>
      </c>
      <c r="C36" s="5">
        <f>'balance_raw_41852119'!$C$16</f>
        <v/>
      </c>
      <c r="D36" s="5">
        <f>'balance_raw_41852119'!$D$16</f>
        <v/>
      </c>
      <c r="E36" s="5">
        <f>'balance_raw_41852119'!$E$16</f>
        <v/>
      </c>
      <c r="F36" s="5">
        <f>'balance_raw_41852119'!$F$16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Udskudt skatteaktiv</t>
        </is>
      </c>
      <c r="B37" s="11">
        <f>'balance_raw_41852119'!$B$17</f>
        <v/>
      </c>
      <c r="C37" s="11">
        <f>'balance_raw_41852119'!$C$17</f>
        <v/>
      </c>
      <c r="D37" s="11">
        <f>'balance_raw_41852119'!$D$17</f>
        <v/>
      </c>
      <c r="E37" s="11">
        <f>'balance_raw_41852119'!$E$17</f>
        <v/>
      </c>
      <c r="F37" s="11">
        <f>'balance_raw_41852119'!$F$17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Tilgodehavende skat hos tilknyttede virksomheder</t>
        </is>
      </c>
      <c r="B38" s="5">
        <f>'balance_raw_41852119'!$B$18</f>
        <v/>
      </c>
      <c r="C38" s="5">
        <f>'balance_raw_41852119'!$C$18</f>
        <v/>
      </c>
      <c r="D38" s="5">
        <f>'balance_raw_41852119'!$D$18</f>
        <v/>
      </c>
      <c r="E38" s="5">
        <f>'balance_raw_41852119'!$E$18</f>
        <v/>
      </c>
      <c r="F38" s="5">
        <f>'balance_raw_41852119'!$F$18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Kortfristede skattetilgodehavender</t>
        </is>
      </c>
      <c r="B39" s="11">
        <f>'balance_raw_41852119'!$B$19</f>
        <v/>
      </c>
      <c r="C39" s="11">
        <f>'balance_raw_41852119'!$C$19</f>
        <v/>
      </c>
      <c r="D39" s="11">
        <f>'balance_raw_41852119'!$D$19</f>
        <v/>
      </c>
      <c r="E39" s="11">
        <f>'balance_raw_41852119'!$E$19</f>
        <v/>
      </c>
      <c r="F39" s="11">
        <f>'balance_raw_41852119'!$F$19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7" t="inlineStr">
        <is>
          <t>Tilgodehavender</t>
        </is>
      </c>
      <c r="B40" s="8">
        <f>'balance_raw_41852119'!$B$20</f>
        <v/>
      </c>
      <c r="C40" s="8">
        <f>'balance_raw_41852119'!$C$20</f>
        <v/>
      </c>
      <c r="D40" s="8">
        <f>'balance_raw_41852119'!$D$20</f>
        <v/>
      </c>
      <c r="E40" s="8">
        <f>'balance_raw_41852119'!$E$20</f>
        <v/>
      </c>
      <c r="F40" s="8">
        <f>'balance_raw_41852119'!$F$20</f>
        <v/>
      </c>
      <c r="G40" t="inlineStr"/>
      <c r="H40" s="9">
        <f>IFERROR(B40/$B$40*100,"")</f>
        <v/>
      </c>
      <c r="I40" s="9">
        <f>IFERROR(C40/$B$40*100,"")</f>
        <v/>
      </c>
      <c r="J40" s="9">
        <f>IFERROR(D40/$B$40*100,"")</f>
        <v/>
      </c>
      <c r="K40" s="9">
        <f>IFERROR(E40/$B$40*100,"")</f>
        <v/>
      </c>
      <c r="L40" s="9">
        <f>IFERROR(F40/$B$40*100,"")</f>
        <v/>
      </c>
    </row>
    <row r="41" ht="16" customHeight="1">
      <c r="A41" s="10" t="inlineStr">
        <is>
          <t>Værdipapirer</t>
        </is>
      </c>
      <c r="B41" s="11">
        <f>'balance_raw_41852119'!$B$21</f>
        <v/>
      </c>
      <c r="C41" s="11">
        <f>'balance_raw_41852119'!$C$21</f>
        <v/>
      </c>
      <c r="D41" s="11">
        <f>'balance_raw_41852119'!$D$21</f>
        <v/>
      </c>
      <c r="E41" s="11">
        <f>'balance_raw_41852119'!$E$21</f>
        <v/>
      </c>
      <c r="F41" s="11">
        <f>'balance_raw_41852119'!$F$21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Likvide beholdninger</t>
        </is>
      </c>
      <c r="B42" s="5">
        <f>'balance_raw_41852119'!$B$22</f>
        <v/>
      </c>
      <c r="C42" s="5">
        <f>'balance_raw_41852119'!$C$22</f>
        <v/>
      </c>
      <c r="D42" s="5">
        <f>'balance_raw_41852119'!$D$22</f>
        <v/>
      </c>
      <c r="E42" s="5">
        <f>'balance_raw_41852119'!$E$22</f>
        <v/>
      </c>
      <c r="F42" s="5">
        <f>'balance_raw_41852119'!$F$22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Omsætningsaktiver</t>
        </is>
      </c>
      <c r="B43" s="8">
        <f>'balance_raw_41852119'!$B$23</f>
        <v/>
      </c>
      <c r="C43" s="8">
        <f>'balance_raw_41852119'!$C$23</f>
        <v/>
      </c>
      <c r="D43" s="8">
        <f>'balance_raw_41852119'!$D$23</f>
        <v/>
      </c>
      <c r="E43" s="8">
        <f>'balance_raw_41852119'!$E$23</f>
        <v/>
      </c>
      <c r="F43" s="8">
        <f>'balance_raw_41852119'!$F$23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7" t="inlineStr">
        <is>
          <t>Aktiver</t>
        </is>
      </c>
      <c r="B44" s="8">
        <f>'balance_raw_41852119'!$B$24</f>
        <v/>
      </c>
      <c r="C44" s="8">
        <f>'balance_raw_41852119'!$C$24</f>
        <v/>
      </c>
      <c r="D44" s="8">
        <f>'balance_raw_41852119'!$D$24</f>
        <v/>
      </c>
      <c r="E44" s="8">
        <f>'balance_raw_41852119'!$E$24</f>
        <v/>
      </c>
      <c r="F44" s="8">
        <f>'balance_raw_41852119'!$F$24</f>
        <v/>
      </c>
      <c r="G44" t="inlineStr"/>
      <c r="H44" s="9">
        <f>IFERROR(B44/$B$44*100,"")</f>
        <v/>
      </c>
      <c r="I44" s="9">
        <f>IFERROR(C44/$B$44*100,"")</f>
        <v/>
      </c>
      <c r="J44" s="9">
        <f>IFERROR(D44/$B$44*100,"")</f>
        <v/>
      </c>
      <c r="K44" s="9">
        <f>IFERROR(E44/$B$44*100,"")</f>
        <v/>
      </c>
      <c r="L44" s="9">
        <f>IFERROR(F44/$B$44*100,"")</f>
        <v/>
      </c>
    </row>
    <row r="46" ht="22" customHeight="1">
      <c r="A46" s="3" t="inlineStr">
        <is>
          <t>PASSIVER t.kr.</t>
        </is>
      </c>
      <c r="B46" s="3" t="n">
        <v>2021</v>
      </c>
      <c r="C46" s="3" t="n">
        <v>2022</v>
      </c>
      <c r="D46" s="3" t="n">
        <v>2023</v>
      </c>
      <c r="E46" s="3" t="n">
        <v>2024</v>
      </c>
      <c r="F46" s="3" t="n">
        <v>2025</v>
      </c>
      <c r="G46" t="inlineStr"/>
      <c r="H46" s="3" t="n">
        <v>2021</v>
      </c>
      <c r="I46" s="3" t="n">
        <v>2022</v>
      </c>
      <c r="J46" s="3" t="n">
        <v>2023</v>
      </c>
      <c r="K46" s="3" t="n">
        <v>2024</v>
      </c>
      <c r="L46" s="3" t="n">
        <v>2025</v>
      </c>
    </row>
    <row r="47" ht="16" customHeight="1">
      <c r="A47" s="10" t="inlineStr">
        <is>
          <t>Selskabskapital</t>
        </is>
      </c>
      <c r="B47" s="11">
        <f>'balance_raw_41852119'!$B$25</f>
        <v/>
      </c>
      <c r="C47" s="11">
        <f>'balance_raw_41852119'!$C$25</f>
        <v/>
      </c>
      <c r="D47" s="11">
        <f>'balance_raw_41852119'!$D$25</f>
        <v/>
      </c>
      <c r="E47" s="11">
        <f>'balance_raw_41852119'!$E$25</f>
        <v/>
      </c>
      <c r="F47" s="11">
        <f>'balance_raw_41852119'!$F$25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Reserve for nettoopskrivning (indre værdis metode)</t>
        </is>
      </c>
      <c r="B48" s="5">
        <f>'balance_raw_41852119'!$B$26</f>
        <v/>
      </c>
      <c r="C48" s="5">
        <f>'balance_raw_41852119'!$C$26</f>
        <v/>
      </c>
      <c r="D48" s="5">
        <f>'balance_raw_41852119'!$D$26</f>
        <v/>
      </c>
      <c r="E48" s="5">
        <f>'balance_raw_41852119'!$E$26</f>
        <v/>
      </c>
      <c r="F48" s="5">
        <f>'balance_raw_41852119'!$F$26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Reserve for udviklingsomkostninger</t>
        </is>
      </c>
      <c r="B49" s="11">
        <f>'balance_raw_41852119'!$B$27</f>
        <v/>
      </c>
      <c r="C49" s="11">
        <f>'balance_raw_41852119'!$C$27</f>
        <v/>
      </c>
      <c r="D49" s="11">
        <f>'balance_raw_41852119'!$D$27</f>
        <v/>
      </c>
      <c r="E49" s="11">
        <f>'balance_raw_41852119'!$E$27</f>
        <v/>
      </c>
      <c r="F49" s="11">
        <f>'balance_raw_41852119'!$F$27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4" t="inlineStr">
        <is>
          <t>Reserve for sikringstransaktioner</t>
        </is>
      </c>
      <c r="B50" s="5">
        <f>'balance_raw_41852119'!$B$28</f>
        <v/>
      </c>
      <c r="C50" s="5">
        <f>'balance_raw_41852119'!$C$28</f>
        <v/>
      </c>
      <c r="D50" s="5">
        <f>'balance_raw_41852119'!$D$28</f>
        <v/>
      </c>
      <c r="E50" s="5">
        <f>'balance_raw_41852119'!$E$28</f>
        <v/>
      </c>
      <c r="F50" s="5">
        <f>'balance_raw_41852119'!$F$28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Andre reserver</t>
        </is>
      </c>
      <c r="B51" s="11">
        <f>'balance_raw_41852119'!$B$29</f>
        <v/>
      </c>
      <c r="C51" s="11">
        <f>'balance_raw_41852119'!$C$29</f>
        <v/>
      </c>
      <c r="D51" s="11">
        <f>'balance_raw_41852119'!$D$29</f>
        <v/>
      </c>
      <c r="E51" s="11">
        <f>'balance_raw_41852119'!$E$29</f>
        <v/>
      </c>
      <c r="F51" s="11">
        <f>'balance_raw_41852119'!$F$29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Overført resultat</t>
        </is>
      </c>
      <c r="B52" s="5">
        <f>'balance_raw_41852119'!$B$30</f>
        <v/>
      </c>
      <c r="C52" s="5">
        <f>'balance_raw_41852119'!$C$30</f>
        <v/>
      </c>
      <c r="D52" s="5">
        <f>'balance_raw_41852119'!$D$30</f>
        <v/>
      </c>
      <c r="E52" s="5">
        <f>'balance_raw_41852119'!$E$30</f>
        <v/>
      </c>
      <c r="F52" s="5">
        <f>'balance_raw_41852119'!$F$30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Egenkapital i alt</t>
        </is>
      </c>
      <c r="B53" s="8">
        <f>'balance_raw_41852119'!$B$31</f>
        <v/>
      </c>
      <c r="C53" s="8">
        <f>'balance_raw_41852119'!$C$31</f>
        <v/>
      </c>
      <c r="D53" s="8">
        <f>'balance_raw_41852119'!$D$31</f>
        <v/>
      </c>
      <c r="E53" s="8">
        <f>'balance_raw_41852119'!$E$31</f>
        <v/>
      </c>
      <c r="F53" s="8">
        <f>'balance_raw_41852119'!$F$31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Hensættelse til udskudt skat</t>
        </is>
      </c>
      <c r="B54" s="5">
        <f>'balance_raw_41852119'!$B$32</f>
        <v/>
      </c>
      <c r="C54" s="5">
        <f>'balance_raw_41852119'!$C$32</f>
        <v/>
      </c>
      <c r="D54" s="5">
        <f>'balance_raw_41852119'!$D$32</f>
        <v/>
      </c>
      <c r="E54" s="5">
        <f>'balance_raw_41852119'!$E$32</f>
        <v/>
      </c>
      <c r="F54" s="5">
        <f>'balance_raw_41852119'!$F$32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Hensatte forpligtelser</t>
        </is>
      </c>
      <c r="B55" s="8">
        <f>'balance_raw_41852119'!$B$33</f>
        <v/>
      </c>
      <c r="C55" s="8">
        <f>'balance_raw_41852119'!$C$33</f>
        <v/>
      </c>
      <c r="D55" s="8">
        <f>'balance_raw_41852119'!$D$33</f>
        <v/>
      </c>
      <c r="E55" s="8">
        <f>'balance_raw_41852119'!$E$33</f>
        <v/>
      </c>
      <c r="F55" s="8">
        <f>'balance_raw_41852119'!$F$33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Ansvarlig lånekapital (langfristet)</t>
        </is>
      </c>
      <c r="B56" s="5">
        <f>'balance_raw_41852119'!$B$34</f>
        <v/>
      </c>
      <c r="C56" s="5">
        <f>'balance_raw_41852119'!$C$34</f>
        <v/>
      </c>
      <c r="D56" s="5">
        <f>'balance_raw_41852119'!$D$34</f>
        <v/>
      </c>
      <c r="E56" s="5">
        <f>'balance_raw_41852119'!$E$34</f>
        <v/>
      </c>
      <c r="F56" s="5">
        <f>'balance_raw_41852119'!$F$34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Langfristede lån</t>
        </is>
      </c>
      <c r="B57" s="11">
        <f>'balance_raw_41852119'!$B$35</f>
        <v/>
      </c>
      <c r="C57" s="11">
        <f>'balance_raw_41852119'!$C$35</f>
        <v/>
      </c>
      <c r="D57" s="11">
        <f>'balance_raw_41852119'!$D$35</f>
        <v/>
      </c>
      <c r="E57" s="11">
        <f>'balance_raw_41852119'!$E$35</f>
        <v/>
      </c>
      <c r="F57" s="11">
        <f>'balance_raw_41852119'!$F$35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Leasingforpligtelser (langfristet)</t>
        </is>
      </c>
      <c r="B58" s="5">
        <f>'balance_raw_41852119'!$B$36</f>
        <v/>
      </c>
      <c r="C58" s="5">
        <f>'balance_raw_41852119'!$C$36</f>
        <v/>
      </c>
      <c r="D58" s="5">
        <f>'balance_raw_41852119'!$D$36</f>
        <v/>
      </c>
      <c r="E58" s="5">
        <f>'balance_raw_41852119'!$E$36</f>
        <v/>
      </c>
      <c r="F58" s="5">
        <f>'balance_raw_41852119'!$F$36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Anden gæld (langfristet)</t>
        </is>
      </c>
      <c r="B59" s="11">
        <f>'balance_raw_41852119'!$B$37</f>
        <v/>
      </c>
      <c r="C59" s="11">
        <f>'balance_raw_41852119'!$C$37</f>
        <v/>
      </c>
      <c r="D59" s="11">
        <f>'balance_raw_41852119'!$D$37</f>
        <v/>
      </c>
      <c r="E59" s="11">
        <f>'balance_raw_41852119'!$E$37</f>
        <v/>
      </c>
      <c r="F59" s="11">
        <f>'balance_raw_41852119'!$F$37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7" t="inlineStr">
        <is>
          <t>Langfristede gældsforpligtelser</t>
        </is>
      </c>
      <c r="B60" s="8">
        <f>'balance_raw_41852119'!$B$38</f>
        <v/>
      </c>
      <c r="C60" s="8">
        <f>'balance_raw_41852119'!$C$38</f>
        <v/>
      </c>
      <c r="D60" s="8">
        <f>'balance_raw_41852119'!$D$38</f>
        <v/>
      </c>
      <c r="E60" s="8">
        <f>'balance_raw_41852119'!$E$38</f>
        <v/>
      </c>
      <c r="F60" s="8">
        <f>'balance_raw_41852119'!$F$38</f>
        <v/>
      </c>
      <c r="G60" t="inlineStr"/>
      <c r="H60" s="9">
        <f>IFERROR(B60/$B$60*100,"")</f>
        <v/>
      </c>
      <c r="I60" s="9">
        <f>IFERROR(C60/$B$60*100,"")</f>
        <v/>
      </c>
      <c r="J60" s="9">
        <f>IFERROR(D60/$B$60*100,"")</f>
        <v/>
      </c>
      <c r="K60" s="9">
        <f>IFERROR(E60/$B$60*100,"")</f>
        <v/>
      </c>
      <c r="L60" s="9">
        <f>IFERROR(F60/$B$60*100,"")</f>
        <v/>
      </c>
    </row>
    <row r="61" ht="16" customHeight="1">
      <c r="A61" s="10" t="inlineStr">
        <is>
          <t>Ansvarlig lånekapital (kortfristet)</t>
        </is>
      </c>
      <c r="B61" s="11">
        <f>'balance_raw_41852119'!$B$39</f>
        <v/>
      </c>
      <c r="C61" s="11">
        <f>'balance_raw_41852119'!$C$39</f>
        <v/>
      </c>
      <c r="D61" s="11">
        <f>'balance_raw_41852119'!$D$39</f>
        <v/>
      </c>
      <c r="E61" s="11">
        <f>'balance_raw_41852119'!$E$39</f>
        <v/>
      </c>
      <c r="F61" s="11">
        <f>'balance_raw_41852119'!$F$39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Kortfristet del af langfristede gældsforpligtelser</t>
        </is>
      </c>
      <c r="B62" s="5">
        <f>'balance_raw_41852119'!$B$40</f>
        <v/>
      </c>
      <c r="C62" s="5">
        <f>'balance_raw_41852119'!$C$40</f>
        <v/>
      </c>
      <c r="D62" s="5">
        <f>'balance_raw_41852119'!$D$40</f>
        <v/>
      </c>
      <c r="E62" s="5">
        <f>'balance_raw_41852119'!$E$40</f>
        <v/>
      </c>
      <c r="F62" s="5">
        <f>'balance_raw_41852119'!$F$40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Kreditinstitutter</t>
        </is>
      </c>
      <c r="B63" s="11">
        <f>'balance_raw_41852119'!$B$41</f>
        <v/>
      </c>
      <c r="C63" s="11">
        <f>'balance_raw_41852119'!$C$41</f>
        <v/>
      </c>
      <c r="D63" s="11">
        <f>'balance_raw_41852119'!$D$41</f>
        <v/>
      </c>
      <c r="E63" s="11">
        <f>'balance_raw_41852119'!$E$41</f>
        <v/>
      </c>
      <c r="F63" s="11">
        <f>'balance_raw_41852119'!$F$41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Leasingforpligtelser (kortfristet)</t>
        </is>
      </c>
      <c r="B64" s="5">
        <f>'balance_raw_41852119'!$B$42</f>
        <v/>
      </c>
      <c r="C64" s="5">
        <f>'balance_raw_41852119'!$C$42</f>
        <v/>
      </c>
      <c r="D64" s="5">
        <f>'balance_raw_41852119'!$D$42</f>
        <v/>
      </c>
      <c r="E64" s="5">
        <f>'balance_raw_41852119'!$E$42</f>
        <v/>
      </c>
      <c r="F64" s="5">
        <f>'balance_raw_41852119'!$F$42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Leverandører af varer og tjenesteydelser</t>
        </is>
      </c>
      <c r="B65" s="11">
        <f>'balance_raw_41852119'!$B$43</f>
        <v/>
      </c>
      <c r="C65" s="11">
        <f>'balance_raw_41852119'!$C$43</f>
        <v/>
      </c>
      <c r="D65" s="11">
        <f>'balance_raw_41852119'!$D$43</f>
        <v/>
      </c>
      <c r="E65" s="11">
        <f>'balance_raw_41852119'!$E$43</f>
        <v/>
      </c>
      <c r="F65" s="11">
        <f>'balance_raw_41852119'!$F$43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Gæld til tilknyttede virksomheder</t>
        </is>
      </c>
      <c r="B66" s="5">
        <f>'balance_raw_41852119'!$B$44</f>
        <v/>
      </c>
      <c r="C66" s="5">
        <f>'balance_raw_41852119'!$C$44</f>
        <v/>
      </c>
      <c r="D66" s="5">
        <f>'balance_raw_41852119'!$D$44</f>
        <v/>
      </c>
      <c r="E66" s="5">
        <f>'balance_raw_41852119'!$E$44</f>
        <v/>
      </c>
      <c r="F66" s="5">
        <f>'balance_raw_41852119'!$F$44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Gæld til selskabsdeltagere og ledelse</t>
        </is>
      </c>
      <c r="B67" s="11">
        <f>'balance_raw_41852119'!$B$45</f>
        <v/>
      </c>
      <c r="C67" s="11">
        <f>'balance_raw_41852119'!$C$45</f>
        <v/>
      </c>
      <c r="D67" s="11">
        <f>'balance_raw_41852119'!$D$45</f>
        <v/>
      </c>
      <c r="E67" s="11">
        <f>'balance_raw_41852119'!$E$45</f>
        <v/>
      </c>
      <c r="F67" s="11">
        <f>'balance_raw_41852119'!$F$45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Selskabsskat</t>
        </is>
      </c>
      <c r="B68" s="5">
        <f>'balance_raw_41852119'!$B$46</f>
        <v/>
      </c>
      <c r="C68" s="5">
        <f>'balance_raw_41852119'!$C$46</f>
        <v/>
      </c>
      <c r="D68" s="5">
        <f>'balance_raw_41852119'!$D$46</f>
        <v/>
      </c>
      <c r="E68" s="5">
        <f>'balance_raw_41852119'!$E$46</f>
        <v/>
      </c>
      <c r="F68" s="5">
        <f>'balance_raw_41852119'!$F$46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Gæld til tilknyttede virksomheder vedr. selskabsskat</t>
        </is>
      </c>
      <c r="B69" s="11">
        <f>'balance_raw_41852119'!$B$47</f>
        <v/>
      </c>
      <c r="C69" s="11">
        <f>'balance_raw_41852119'!$C$47</f>
        <v/>
      </c>
      <c r="D69" s="11">
        <f>'balance_raw_41852119'!$D$47</f>
        <v/>
      </c>
      <c r="E69" s="11">
        <f>'balance_raw_41852119'!$E$47</f>
        <v/>
      </c>
      <c r="F69" s="11">
        <f>'balance_raw_41852119'!$F$47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Anden gæld (kortfristet)</t>
        </is>
      </c>
      <c r="B70" s="5">
        <f>'balance_raw_41852119'!$B$48</f>
        <v/>
      </c>
      <c r="C70" s="5">
        <f>'balance_raw_41852119'!$C$48</f>
        <v/>
      </c>
      <c r="D70" s="5">
        <f>'balance_raw_41852119'!$D$48</f>
        <v/>
      </c>
      <c r="E70" s="5">
        <f>'balance_raw_41852119'!$E$48</f>
        <v/>
      </c>
      <c r="F70" s="5">
        <f>'balance_raw_41852119'!$F$48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Periodeafgrænsningsposter (passiver)</t>
        </is>
      </c>
      <c r="B71" s="11">
        <f>'balance_raw_41852119'!$B$49</f>
        <v/>
      </c>
      <c r="C71" s="11">
        <f>'balance_raw_41852119'!$C$49</f>
        <v/>
      </c>
      <c r="D71" s="11">
        <f>'balance_raw_41852119'!$D$49</f>
        <v/>
      </c>
      <c r="E71" s="11">
        <f>'balance_raw_41852119'!$E$49</f>
        <v/>
      </c>
      <c r="F71" s="11">
        <f>'balance_raw_41852119'!$F$49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7" t="inlineStr">
        <is>
          <t>Kortfristede gældsforpligtelser</t>
        </is>
      </c>
      <c r="B72" s="8">
        <f>'balance_raw_41852119'!$B$50</f>
        <v/>
      </c>
      <c r="C72" s="8">
        <f>'balance_raw_41852119'!$C$50</f>
        <v/>
      </c>
      <c r="D72" s="8">
        <f>'balance_raw_41852119'!$D$50</f>
        <v/>
      </c>
      <c r="E72" s="8">
        <f>'balance_raw_41852119'!$E$50</f>
        <v/>
      </c>
      <c r="F72" s="8">
        <f>'balance_raw_41852119'!$F$50</f>
        <v/>
      </c>
      <c r="G72" t="inlineStr"/>
      <c r="H72" s="9">
        <f>IFERROR(B72/$B$72*100,"")</f>
        <v/>
      </c>
      <c r="I72" s="9">
        <f>IFERROR(C72/$B$72*100,"")</f>
        <v/>
      </c>
      <c r="J72" s="9">
        <f>IFERROR(D72/$B$72*100,"")</f>
        <v/>
      </c>
      <c r="K72" s="9">
        <f>IFERROR(E72/$B$72*100,"")</f>
        <v/>
      </c>
      <c r="L72" s="9">
        <f>IFERROR(F72/$B$72*100,"")</f>
        <v/>
      </c>
    </row>
    <row r="73" ht="16" customHeight="1">
      <c r="A73" s="7" t="inlineStr">
        <is>
          <t>Gældsforpligtelser</t>
        </is>
      </c>
      <c r="B73" s="8">
        <f>'balance_raw_41852119'!$B$51</f>
        <v/>
      </c>
      <c r="C73" s="8">
        <f>'balance_raw_41852119'!$C$51</f>
        <v/>
      </c>
      <c r="D73" s="8">
        <f>'balance_raw_41852119'!$D$51</f>
        <v/>
      </c>
      <c r="E73" s="8">
        <f>'balance_raw_41852119'!$E$51</f>
        <v/>
      </c>
      <c r="F73" s="8">
        <f>'balance_raw_41852119'!$F$51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7" t="inlineStr">
        <is>
          <t>Passiver</t>
        </is>
      </c>
      <c r="B74" s="8">
        <f>'balance_raw_41852119'!$B$52</f>
        <v/>
      </c>
      <c r="C74" s="8">
        <f>'balance_raw_41852119'!$C$52</f>
        <v/>
      </c>
      <c r="D74" s="8">
        <f>'balance_raw_41852119'!$D$52</f>
        <v/>
      </c>
      <c r="E74" s="8">
        <f>'balance_raw_41852119'!$E$52</f>
        <v/>
      </c>
      <c r="F74" s="8">
        <f>'balance_raw_41852119'!$F$52</f>
        <v/>
      </c>
      <c r="G74" t="inlineStr"/>
      <c r="H74" s="9">
        <f>IFERROR(B74/$B$74*100,"")</f>
        <v/>
      </c>
      <c r="I74" s="9">
        <f>IFERROR(C74/$B$74*100,"")</f>
        <v/>
      </c>
      <c r="J74" s="9">
        <f>IFERROR(D74/$B$74*100,"")</f>
        <v/>
      </c>
      <c r="K74" s="9">
        <f>IFERROR(E74/$B$74*100,"")</f>
        <v/>
      </c>
      <c r="L74" s="9">
        <f>IFERROR(F74/$B$74*100,"")</f>
        <v/>
      </c>
    </row>
    <row r="76" ht="22" customHeight="1">
      <c r="A76" s="3" t="inlineStr">
        <is>
          <t>NØGLEOPLYSNINGER</t>
        </is>
      </c>
      <c r="B76" s="3" t="n">
        <v>2021</v>
      </c>
      <c r="C76" s="3" t="n">
        <v>2022</v>
      </c>
      <c r="D76" s="3" t="n">
        <v>2023</v>
      </c>
      <c r="E76" s="3" t="n">
        <v>2024</v>
      </c>
      <c r="F76" s="3" t="n">
        <v>2025</v>
      </c>
    </row>
    <row r="77" ht="16" customHeight="1">
      <c r="A77" s="10" t="inlineStr">
        <is>
          <t>Gns. antal medarbejdere</t>
        </is>
      </c>
      <c r="B77" s="11">
        <f>'res_raw_41852119'!$B$18</f>
        <v/>
      </c>
      <c r="C77" s="11">
        <f>'res_raw_41852119'!$C$18</f>
        <v/>
      </c>
      <c r="D77" s="11">
        <f>'res_raw_41852119'!$D$18</f>
        <v/>
      </c>
      <c r="E77" s="11">
        <f>'res_raw_41852119'!$E$18</f>
        <v/>
      </c>
      <c r="F77" s="11">
        <f>'res_raw_41852119'!$F$18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4" t="inlineStr">
        <is>
          <t>Investering i materielle anlægsaktiver</t>
        </is>
      </c>
      <c r="B78" s="5">
        <f>'res_raw_41852119'!$B$19</f>
        <v/>
      </c>
      <c r="C78" s="5">
        <f>'res_raw_41852119'!$C$19</f>
        <v/>
      </c>
      <c r="D78" s="5">
        <f>'res_raw_41852119'!$D$19</f>
        <v/>
      </c>
      <c r="E78" s="5">
        <f>'res_raw_41852119'!$E$19</f>
        <v/>
      </c>
      <c r="F78" s="5">
        <f>'res_raw_41852119'!$F$19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80" ht="22" customHeight="1">
      <c r="A80" s="3" t="inlineStr">
        <is>
          <t>NØGLETAL</t>
        </is>
      </c>
      <c r="B80" s="3" t="n">
        <v>2021</v>
      </c>
      <c r="C80" s="3" t="n">
        <v>2022</v>
      </c>
      <c r="D80" s="3" t="n">
        <v>2023</v>
      </c>
      <c r="E80" s="3" t="n">
        <v>2024</v>
      </c>
      <c r="F80" s="3" t="n">
        <v>2025</v>
      </c>
    </row>
    <row r="81" ht="16" customHeight="1">
      <c r="A81" s="10" t="inlineStr">
        <is>
          <t>Afkastningsgrad, %</t>
        </is>
      </c>
      <c r="B81" s="13">
        <f>IFERROR(($B$12+$B$14+$B$13)/$B$44*100,"")</f>
        <v/>
      </c>
      <c r="C81" s="13">
        <f>IFERROR(($C$12+$C$14+$C$13)/$C$44*100,"")</f>
        <v/>
      </c>
      <c r="D81" s="13">
        <f>IFERROR(($D$12+$D$14+$D$13)/$D$44*100,"")</f>
        <v/>
      </c>
      <c r="E81" s="13">
        <f>IFERROR(($E$12+$E$14+$E$13)/$E$44*100,"")</f>
        <v/>
      </c>
      <c r="F81" s="13">
        <f>IFERROR(($F$12+$F$14+$F$13)/$F$44*100,"")</f>
        <v/>
      </c>
    </row>
    <row r="82" ht="16" customHeight="1">
      <c r="A82" s="4" t="inlineStr">
        <is>
          <t>Overskudsgrad, %</t>
        </is>
      </c>
      <c r="B82" s="14">
        <f>IFERROR(($B$12+$B$14+$B$13)/$B$4*100,"")</f>
        <v/>
      </c>
      <c r="C82" s="14">
        <f>IFERROR(($C$12+$C$14+$C$13)/$C$4*100,"")</f>
        <v/>
      </c>
      <c r="D82" s="14">
        <f>IFERROR(($D$12+$D$14+$D$13)/$D$4*100,"")</f>
        <v/>
      </c>
      <c r="E82" s="14">
        <f>IFERROR(($E$12+$E$14+$E$13)/$E$4*100,"")</f>
        <v/>
      </c>
      <c r="F82" s="14">
        <f>IFERROR(($F$12+$F$14+$F$13)/$F$4*100,"")</f>
        <v/>
      </c>
    </row>
    <row r="83" ht="16" customHeight="1">
      <c r="A83" s="10" t="inlineStr">
        <is>
          <t>Aktivernes omsætningshastighed, gange</t>
        </is>
      </c>
      <c r="B83" s="13">
        <f>IFERROR($B$4/$B$44,"")</f>
        <v/>
      </c>
      <c r="C83" s="13">
        <f>IFERROR($C$4/$C$44,"")</f>
        <v/>
      </c>
      <c r="D83" s="13">
        <f>IFERROR($D$4/$D$44,"")</f>
        <v/>
      </c>
      <c r="E83" s="13">
        <f>IFERROR($E$4/$E$44,"")</f>
        <v/>
      </c>
      <c r="F83" s="13">
        <f>IFERROR($F$4/$F$44,"")</f>
        <v/>
      </c>
    </row>
    <row r="84" ht="16" customHeight="1">
      <c r="A84" s="4" t="inlineStr">
        <is>
          <t>Egenkapitalens forrentning, %</t>
        </is>
      </c>
      <c r="B84" s="14">
        <f>IFERROR($B$17/$B$53*100,"")</f>
        <v/>
      </c>
      <c r="C84" s="14">
        <f>IFERROR($C$17/$C$53*100,"")</f>
        <v/>
      </c>
      <c r="D84" s="14">
        <f>IFERROR($D$17/$D$53*100,"")</f>
        <v/>
      </c>
      <c r="E84" s="14">
        <f>IFERROR($E$17/$E$53*100,"")</f>
        <v/>
      </c>
      <c r="F84" s="14">
        <f>IFERROR($F$17/$F$53*100,"")</f>
        <v/>
      </c>
    </row>
    <row r="85" ht="16" customHeight="1">
      <c r="A85" s="10" t="inlineStr">
        <is>
          <t>Gældsrente, %</t>
        </is>
      </c>
      <c r="B85" s="13">
        <f>IFERROR($B$15/($B$74-$B$53)*100,"")</f>
        <v/>
      </c>
      <c r="C85" s="13">
        <f>IFERROR($C$15/($C$74-$C$53)*100,"")</f>
        <v/>
      </c>
      <c r="D85" s="13">
        <f>IFERROR($D$15/($D$74-$D$53)*100,"")</f>
        <v/>
      </c>
      <c r="E85" s="13">
        <f>IFERROR($E$15/($E$74-$E$53)*100,"")</f>
        <v/>
      </c>
      <c r="F85" s="13">
        <f>IFERROR($F$15/($F$74-$F$53)*100,"")</f>
        <v/>
      </c>
    </row>
    <row r="86" ht="16" customHeight="1">
      <c r="A86" s="4" t="inlineStr">
        <is>
          <t>Soliditetsgrad, %</t>
        </is>
      </c>
      <c r="B86" s="14">
        <f>IFERROR($B$53/$B$44*100,"")</f>
        <v/>
      </c>
      <c r="C86" s="14">
        <f>IFERROR($C$53/$C$44*100,"")</f>
        <v/>
      </c>
      <c r="D86" s="14">
        <f>IFERROR($D$53/$D$44*100,"")</f>
        <v/>
      </c>
      <c r="E86" s="14">
        <f>IFERROR($E$53/$E$44*100,"")</f>
        <v/>
      </c>
      <c r="F86" s="14">
        <f>IFERROR($F$53/$F$44*100,"")</f>
        <v/>
      </c>
    </row>
    <row r="87" ht="16" customHeight="1">
      <c r="A87" s="10" t="inlineStr">
        <is>
          <t>Gearing</t>
        </is>
      </c>
      <c r="B87" s="13">
        <f>IFERROR(($B$74-$B$53)/$B$53,"")</f>
        <v/>
      </c>
      <c r="C87" s="13">
        <f>IFERROR(($C$74-$C$53)/$C$53,"")</f>
        <v/>
      </c>
      <c r="D87" s="13">
        <f>IFERROR(($D$74-$D$53)/$D$53,"")</f>
        <v/>
      </c>
      <c r="E87" s="13">
        <f>IFERROR(($E$74-$E$53)/$E$53,"")</f>
        <v/>
      </c>
      <c r="F87" s="13">
        <f>IFERROR(($F$74-$F$53)/$F$53,"")</f>
        <v/>
      </c>
    </row>
    <row r="88" ht="16" customHeight="1">
      <c r="A88" s="4" t="inlineStr">
        <is>
          <t>Likviditetsgrad, %</t>
        </is>
      </c>
      <c r="B88" s="14">
        <f>IFERROR($B$43/$B$72*100,"")</f>
        <v/>
      </c>
      <c r="C88" s="14">
        <f>IFERROR($C$43/$C$72*100,"")</f>
        <v/>
      </c>
      <c r="D88" s="14">
        <f>IFERROR($D$43/$D$72*100,"")</f>
        <v/>
      </c>
      <c r="E88" s="14">
        <f>IFERROR($E$43/$E$72*100,"")</f>
        <v/>
      </c>
      <c r="F88" s="14">
        <f>IFERROR($F$43/$F$72*100,"")</f>
        <v/>
      </c>
    </row>
    <row r="89" ht="16" customHeight="1">
      <c r="A89" s="10" t="inlineStr">
        <is>
          <t>Rentemarginal, %</t>
        </is>
      </c>
      <c r="B89" s="13">
        <f>IFERROR(B81-B85,"")</f>
        <v/>
      </c>
      <c r="C89" s="13">
        <f>IFERROR(C81-C85,"")</f>
        <v/>
      </c>
      <c r="D89" s="13">
        <f>IFERROR(D81-D85,"")</f>
        <v/>
      </c>
      <c r="E89" s="13">
        <f>IFERROR(E81-E85,"")</f>
        <v/>
      </c>
      <c r="F89" s="13">
        <f>IFERROR(F81-F85,"")</f>
        <v/>
      </c>
    </row>
    <row r="90" ht="16" customHeight="1">
      <c r="A90" s="4" t="inlineStr">
        <is>
          <t>Gældsandel, %</t>
        </is>
      </c>
      <c r="B90" s="14">
        <f>IFERROR(($B$74-$B$53)/$B$44*100,"")</f>
        <v/>
      </c>
      <c r="C90" s="14">
        <f>IFERROR(($C$74-$C$53)/$C$44*100,"")</f>
        <v/>
      </c>
      <c r="D90" s="14">
        <f>IFERROR(($D$74-$D$53)/$D$44*100,"")</f>
        <v/>
      </c>
      <c r="E90" s="14">
        <f>IFERROR(($E$74-$E$53)/$E$44*100,"")</f>
        <v/>
      </c>
      <c r="F90" s="14">
        <f>IFERROR(($F$74-$F$53)/$F$44*100,"")</f>
        <v/>
      </c>
    </row>
    <row r="91" ht="16" customHeight="1">
      <c r="A91" s="10" t="inlineStr">
        <is>
          <t>Kapitalbindingsgrad, %</t>
        </is>
      </c>
      <c r="B91" s="13">
        <f>IFERROR($B$28/($B$53+$B$60)*100,"")</f>
        <v/>
      </c>
      <c r="C91" s="13">
        <f>IFERROR($C$28/($C$53+$C$60)*100,"")</f>
        <v/>
      </c>
      <c r="D91" s="13">
        <f>IFERROR($D$28/($D$53+$D$60)*100,"")</f>
        <v/>
      </c>
      <c r="E91" s="13">
        <f>IFERROR($E$28/($E$53+$E$60)*100,"")</f>
        <v/>
      </c>
      <c r="F91" s="13">
        <f>IFERROR($F$28/($F$53+$F$60)*100,"")</f>
        <v/>
      </c>
    </row>
    <row r="93">
      <c r="A93" s="15" t="inlineStr">
        <is>
          <t>PENGESTRØMSOPGØRELSE t.kr.</t>
        </is>
      </c>
    </row>
    <row r="94">
      <c r="A94" s="16" t="inlineStr">
        <is>
          <t>Pengestrømme fra driftsaktivitet</t>
        </is>
      </c>
      <c r="B94" s="17">
        <f>'pengestrom_raw_41852119'!$B$2</f>
        <v/>
      </c>
      <c r="C94" s="17">
        <f>'pengestrom_raw_41852119'!$C$2</f>
        <v/>
      </c>
      <c r="D94" s="17">
        <f>'pengestrom_raw_41852119'!$D$2</f>
        <v/>
      </c>
      <c r="E94" s="17">
        <f>'pengestrom_raw_41852119'!$E$2</f>
        <v/>
      </c>
      <c r="F94" s="17">
        <f>'pengestrom_raw_41852119'!$F$2</f>
        <v/>
      </c>
    </row>
    <row r="95">
      <c r="A95" s="16" t="inlineStr">
        <is>
          <t>Pengestrømme fra investeringsaktivitet</t>
        </is>
      </c>
      <c r="B95" s="17">
        <f>'pengestrom_raw_41852119'!$B$3</f>
        <v/>
      </c>
      <c r="C95" s="17">
        <f>'pengestrom_raw_41852119'!$C$3</f>
        <v/>
      </c>
      <c r="D95" s="17">
        <f>'pengestrom_raw_41852119'!$D$3</f>
        <v/>
      </c>
      <c r="E95" s="17">
        <f>'pengestrom_raw_41852119'!$E$3</f>
        <v/>
      </c>
      <c r="F95" s="17">
        <f>'pengestrom_raw_41852119'!$F$3</f>
        <v/>
      </c>
    </row>
    <row r="96">
      <c r="A96" s="16" t="inlineStr">
        <is>
          <t>Pengestrømme fra finansieringsaktivitet</t>
        </is>
      </c>
      <c r="B96" s="17">
        <f>'pengestrom_raw_41852119'!$B$4</f>
        <v/>
      </c>
      <c r="C96" s="17">
        <f>'pengestrom_raw_41852119'!$C$4</f>
        <v/>
      </c>
      <c r="D96" s="17">
        <f>'pengestrom_raw_41852119'!$D$4</f>
        <v/>
      </c>
      <c r="E96" s="17">
        <f>'pengestrom_raw_41852119'!$E$4</f>
        <v/>
      </c>
      <c r="F96" s="17">
        <f>'pengestrom_raw_41852119'!$F$4</f>
        <v/>
      </c>
    </row>
    <row r="97">
      <c r="A97" s="16" t="inlineStr">
        <is>
          <t>Årets pengestrøm (rapporteret)</t>
        </is>
      </c>
      <c r="B97" s="17">
        <f>'pengestrom_raw_41852119'!$B$5</f>
        <v/>
      </c>
      <c r="C97" s="17">
        <f>'pengestrom_raw_41852119'!$C$5</f>
        <v/>
      </c>
      <c r="D97" s="17">
        <f>'pengestrom_raw_41852119'!$D$5</f>
        <v/>
      </c>
      <c r="E97" s="17">
        <f>'pengestrom_raw_41852119'!$E$5</f>
        <v/>
      </c>
      <c r="F97" s="17">
        <f>'pengestrom_raw_41852119'!$F$5</f>
        <v/>
      </c>
    </row>
    <row r="98">
      <c r="A98" s="16" t="inlineStr">
        <is>
          <t>Krydstjek: drift + inv. + fin. = årets pengestrøm</t>
        </is>
      </c>
      <c r="B98">
        <f>IF(ABS(('pengestrom_raw_41852119'!$B$2+'pengestrom_raw_41852119'!$B$3+'pengestrom_raw_41852119'!$B$4)-'pengestrom_raw_41852119'!$B$5)&lt;=2,"✓","⚠ "&amp;TEXT(('pengestrom_raw_41852119'!$B$2+'pengestrom_raw_41852119'!$B$3+'pengestrom_raw_41852119'!$B$4)-'pengestrom_raw_41852119'!$B$5,"+#,##0;-#,##0"))</f>
        <v/>
      </c>
      <c r="C98">
        <f>IF(ABS(('pengestrom_raw_41852119'!$C$2+'pengestrom_raw_41852119'!$C$3+'pengestrom_raw_41852119'!$C$4)-'pengestrom_raw_41852119'!$C$5)&lt;=2,"✓","⚠ "&amp;TEXT(('pengestrom_raw_41852119'!$C$2+'pengestrom_raw_41852119'!$C$3+'pengestrom_raw_41852119'!$C$4)-'pengestrom_raw_41852119'!$C$5,"+#,##0;-#,##0"))</f>
        <v/>
      </c>
      <c r="D98">
        <f>IF(ABS(('pengestrom_raw_41852119'!$D$2+'pengestrom_raw_41852119'!$D$3+'pengestrom_raw_41852119'!$D$4)-'pengestrom_raw_41852119'!$D$5)&lt;=2,"✓","⚠ "&amp;TEXT(('pengestrom_raw_41852119'!$D$2+'pengestrom_raw_41852119'!$D$3+'pengestrom_raw_41852119'!$D$4)-'pengestrom_raw_41852119'!$D$5,"+#,##0;-#,##0"))</f>
        <v/>
      </c>
      <c r="E98">
        <f>IF(ABS(('pengestrom_raw_41852119'!$E$2+'pengestrom_raw_41852119'!$E$3+'pengestrom_raw_41852119'!$E$4)-'pengestrom_raw_41852119'!$E$5)&lt;=2,"✓","⚠ "&amp;TEXT(('pengestrom_raw_41852119'!$E$2+'pengestrom_raw_41852119'!$E$3+'pengestrom_raw_41852119'!$E$4)-'pengestrom_raw_41852119'!$E$5,"+#,##0;-#,##0"))</f>
        <v/>
      </c>
      <c r="F98">
        <f>IF(ABS(('pengestrom_raw_41852119'!$F$2+'pengestrom_raw_41852119'!$F$3+'pengestrom_raw_41852119'!$F$4)-'pengestrom_raw_41852119'!$F$5)&lt;=2,"✓","⚠ "&amp;TEXT(('pengestrom_raw_41852119'!$F$2+'pengestrom_raw_41852119'!$F$3+'pengestrom_raw_41852119'!$F$4)-'pengestrom_raw_41852119'!$F$5,"+#,##0;-#,##0"))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Tetra Pak Processing Systems A/S (CVR 41852119)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1125847</v>
      </c>
      <c r="C2" s="17" t="n">
        <v>1384459</v>
      </c>
      <c r="D2" s="17" t="n">
        <v>1423500</v>
      </c>
      <c r="E2" s="17" t="n">
        <v>1275850</v>
      </c>
      <c r="F2" s="17" t="n">
        <v>1352275</v>
      </c>
    </row>
    <row r="3">
      <c r="A3" s="16" t="inlineStr">
        <is>
          <t>Produktionsomkostninger</t>
        </is>
      </c>
      <c r="B3" s="17" t="n">
        <v>902140</v>
      </c>
      <c r="C3" s="17" t="n">
        <v>1120637</v>
      </c>
      <c r="D3" s="17" t="n">
        <v>1209012</v>
      </c>
      <c r="E3" s="17" t="n">
        <v>1088031</v>
      </c>
      <c r="F3" s="17" t="n">
        <v>1121335</v>
      </c>
    </row>
    <row r="4">
      <c r="A4" s="15" t="inlineStr">
        <is>
          <t>Bruttoresultat</t>
        </is>
      </c>
      <c r="B4" s="17" t="n">
        <v>223707</v>
      </c>
      <c r="C4" s="17" t="n">
        <v>263822</v>
      </c>
      <c r="D4" s="17" t="n">
        <v>214488</v>
      </c>
      <c r="E4" s="17" t="n">
        <v>187819</v>
      </c>
      <c r="F4" s="17" t="n">
        <v>230940</v>
      </c>
    </row>
    <row r="5">
      <c r="A5" s="16" t="inlineStr">
        <is>
          <t>Udviklingsomkostninger</t>
        </is>
      </c>
      <c r="B5" s="17" t="n"/>
      <c r="C5" s="17" t="n"/>
      <c r="D5" s="17" t="n"/>
      <c r="E5" s="17" t="n"/>
      <c r="F5" s="17" t="n"/>
    </row>
    <row r="6">
      <c r="A6" s="16" t="inlineStr">
        <is>
          <t>Salgs- og distributionsomkostninger</t>
        </is>
      </c>
      <c r="B6" s="17" t="n">
        <v>122354</v>
      </c>
      <c r="C6" s="17" t="n">
        <v>112287</v>
      </c>
      <c r="D6" s="17" t="n">
        <v>102672</v>
      </c>
      <c r="E6" s="17" t="n">
        <v>108950</v>
      </c>
      <c r="F6" s="17" t="n">
        <v>102255</v>
      </c>
    </row>
    <row r="7">
      <c r="A7" s="16" t="inlineStr">
        <is>
          <t>Administrationsomkostninger</t>
        </is>
      </c>
      <c r="B7" s="17" t="n">
        <v>46165</v>
      </c>
      <c r="C7" s="17" t="n">
        <v>65131</v>
      </c>
      <c r="D7" s="17" t="n">
        <v>62691</v>
      </c>
      <c r="E7" s="17" t="n">
        <v>68033</v>
      </c>
      <c r="F7" s="17" t="n">
        <v>62537</v>
      </c>
    </row>
    <row r="8">
      <c r="A8" s="16" t="inlineStr">
        <is>
          <t>Andre driftsindtægter</t>
        </is>
      </c>
      <c r="B8" s="17" t="n">
        <v>1815</v>
      </c>
      <c r="C8" s="17" t="n">
        <v>0</v>
      </c>
      <c r="D8" s="17" t="n"/>
      <c r="E8" s="17" t="n">
        <v>744</v>
      </c>
      <c r="F8" s="17" t="n">
        <v>467571</v>
      </c>
    </row>
    <row r="9">
      <c r="A9" s="16" t="inlineStr">
        <is>
          <t>Andre driftsomkostninger</t>
        </is>
      </c>
      <c r="B9" s="17" t="n">
        <v>0</v>
      </c>
      <c r="C9" s="17" t="n"/>
      <c r="D9" s="17" t="n">
        <v>67</v>
      </c>
      <c r="E9" s="17" t="n">
        <v>414</v>
      </c>
      <c r="F9" s="17" t="n">
        <v>787</v>
      </c>
    </row>
    <row r="10">
      <c r="A10" s="15" t="inlineStr">
        <is>
          <t>Resultat af primær drift</t>
        </is>
      </c>
      <c r="B10" s="17" t="n">
        <v>57003</v>
      </c>
      <c r="C10" s="17" t="n">
        <v>86404</v>
      </c>
      <c r="D10" s="17" t="n">
        <v>49058</v>
      </c>
      <c r="E10" s="17" t="n">
        <v>11166</v>
      </c>
      <c r="F10" s="17" t="n">
        <v>532932</v>
      </c>
    </row>
    <row r="11">
      <c r="A11" s="16" t="inlineStr">
        <is>
          <t>Indtægter af kapitalandele, dattervirksomheder</t>
        </is>
      </c>
      <c r="B11" s="17" t="n"/>
      <c r="C11" s="17" t="n"/>
      <c r="D11" s="17" t="n"/>
      <c r="E11" s="17" t="n"/>
      <c r="F11" s="17" t="n"/>
    </row>
    <row r="12">
      <c r="A12" s="16" t="inlineStr">
        <is>
          <t>Finansielle indtægter</t>
        </is>
      </c>
      <c r="B12" s="17" t="n">
        <v>3</v>
      </c>
      <c r="C12" s="17" t="n">
        <v>97</v>
      </c>
      <c r="D12" s="17" t="n">
        <v>212</v>
      </c>
      <c r="E12" s="17" t="n">
        <v>576</v>
      </c>
      <c r="F12" s="17" t="n">
        <v>37178</v>
      </c>
    </row>
    <row r="13">
      <c r="A13" s="16" t="inlineStr">
        <is>
          <t>Finansielle omkostninger</t>
        </is>
      </c>
      <c r="B13" s="17" t="n">
        <v>3534</v>
      </c>
      <c r="C13" s="17" t="n">
        <v>4786</v>
      </c>
      <c r="D13" s="17" t="n">
        <v>17919</v>
      </c>
      <c r="E13" s="17" t="n">
        <v>-3000</v>
      </c>
      <c r="F13" s="17" t="n">
        <v>-12939</v>
      </c>
    </row>
    <row r="14">
      <c r="A14" s="15" t="inlineStr">
        <is>
          <t>Finansielle poster, netto</t>
        </is>
      </c>
      <c r="B14" s="17" t="n">
        <v>-3531</v>
      </c>
      <c r="C14" s="17" t="n">
        <v>-4689</v>
      </c>
      <c r="D14" s="17" t="n">
        <v>-17707</v>
      </c>
      <c r="E14" s="17" t="n">
        <v>-17674</v>
      </c>
      <c r="F14" s="17" t="n">
        <v>14264</v>
      </c>
    </row>
    <row r="15">
      <c r="A15" s="15" t="inlineStr">
        <is>
          <t>Resultat før skat</t>
        </is>
      </c>
      <c r="B15" s="17" t="n">
        <v>53472</v>
      </c>
      <c r="C15" s="17" t="n">
        <v>81715</v>
      </c>
      <c r="D15" s="17" t="n">
        <v>31351</v>
      </c>
      <c r="E15" s="17" t="n">
        <v>-6508</v>
      </c>
      <c r="F15" s="17" t="n">
        <v>547196</v>
      </c>
    </row>
    <row r="16">
      <c r="A16" s="16" t="inlineStr">
        <is>
          <t>Skat af årets resultat</t>
        </is>
      </c>
      <c r="B16" s="17" t="n">
        <v>-808</v>
      </c>
      <c r="C16" s="17" t="n">
        <v>17046</v>
      </c>
      <c r="D16" s="17" t="n">
        <v>7430</v>
      </c>
      <c r="E16" s="17" t="n">
        <v>1255</v>
      </c>
      <c r="F16" s="17" t="n">
        <v>-123107</v>
      </c>
    </row>
    <row r="17">
      <c r="A17" s="15" t="inlineStr">
        <is>
          <t>Årets resultat</t>
        </is>
      </c>
      <c r="B17" s="17" t="n">
        <v>54280</v>
      </c>
      <c r="C17" s="17" t="n">
        <v>64669</v>
      </c>
      <c r="D17" s="17" t="n">
        <v>23921</v>
      </c>
      <c r="E17" s="17" t="n">
        <v>-5253</v>
      </c>
      <c r="F17" s="17" t="n">
        <v>424089</v>
      </c>
    </row>
    <row r="18">
      <c r="A18" s="16" t="inlineStr">
        <is>
          <t>Gns. antal medarbejdere</t>
        </is>
      </c>
      <c r="B18" s="17" t="n">
        <v>406</v>
      </c>
      <c r="C18" s="17" t="n">
        <v>402</v>
      </c>
      <c r="D18" s="17" t="n">
        <v>400</v>
      </c>
      <c r="E18" s="17" t="n">
        <v>401000</v>
      </c>
      <c r="F18" s="17" t="n">
        <v>412000</v>
      </c>
    </row>
    <row r="19">
      <c r="A19" s="16" t="inlineStr">
        <is>
          <t>Investering i materielle anlægsaktiver</t>
        </is>
      </c>
      <c r="B19" s="17" t="n">
        <v>-10001</v>
      </c>
      <c r="C19" s="17" t="n">
        <v>-11785</v>
      </c>
      <c r="D19" s="17" t="n">
        <v>-12606</v>
      </c>
      <c r="E19" s="17" t="n">
        <v>-46585</v>
      </c>
      <c r="F19" s="17" t="n">
        <v>-33181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Tetra Pak Processing Systems A/S (CVR 41852119)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Grunde og bygninger</t>
        </is>
      </c>
      <c r="B2" s="17" t="n">
        <v>16468</v>
      </c>
      <c r="C2" s="17" t="n">
        <v>15776</v>
      </c>
      <c r="D2" s="17" t="n">
        <v>14639</v>
      </c>
      <c r="E2" s="17" t="n">
        <v>15256</v>
      </c>
      <c r="F2" s="17" t="n">
        <v>46159</v>
      </c>
    </row>
    <row r="3">
      <c r="A3" s="16" t="inlineStr">
        <is>
          <t>Produktionsanlæg og maskiner</t>
        </is>
      </c>
      <c r="B3" s="17" t="n">
        <v>12513</v>
      </c>
      <c r="C3" s="17" t="n">
        <v>12809</v>
      </c>
      <c r="D3" s="17" t="n">
        <v>11226</v>
      </c>
      <c r="E3" s="17" t="n">
        <v>10547</v>
      </c>
      <c r="F3" s="17" t="n">
        <v>10512</v>
      </c>
    </row>
    <row r="4">
      <c r="A4" s="16" t="inlineStr">
        <is>
          <t>Driftsmateriel og inventar</t>
        </is>
      </c>
      <c r="B4" s="17" t="n">
        <v>13094</v>
      </c>
      <c r="C4" s="17" t="n">
        <v>16443</v>
      </c>
      <c r="D4" s="17" t="n">
        <v>18503</v>
      </c>
      <c r="E4" s="17" t="n">
        <v>20770</v>
      </c>
      <c r="F4" s="17" t="n">
        <v>31275</v>
      </c>
    </row>
    <row r="5">
      <c r="A5" s="16" t="inlineStr">
        <is>
          <t>Indretning af lejede lokaler</t>
        </is>
      </c>
      <c r="B5" s="17" t="n">
        <v>152</v>
      </c>
      <c r="C5" s="17" t="n">
        <v>148</v>
      </c>
      <c r="D5" s="17" t="n">
        <v>144</v>
      </c>
      <c r="E5" s="17" t="n">
        <v>140</v>
      </c>
      <c r="F5" s="17" t="n">
        <v>5402</v>
      </c>
    </row>
    <row r="6">
      <c r="A6" s="16" t="inlineStr">
        <is>
          <t>Forudbetaling og anlægsaktiver under opførelse</t>
        </is>
      </c>
      <c r="B6" s="17" t="n">
        <v>1236</v>
      </c>
      <c r="C6" s="17" t="n">
        <v>37</v>
      </c>
      <c r="D6" s="17" t="n">
        <v>3472</v>
      </c>
      <c r="E6" s="17" t="n">
        <v>28624</v>
      </c>
      <c r="F6" s="17" t="n">
        <v>4273</v>
      </c>
    </row>
    <row r="7">
      <c r="A7" s="15" t="inlineStr">
        <is>
          <t>Materielle anlægsaktiver</t>
        </is>
      </c>
      <c r="B7" s="17" t="n">
        <v>63107</v>
      </c>
      <c r="C7" s="17" t="n">
        <v>58898</v>
      </c>
      <c r="D7" s="17" t="n">
        <v>66789</v>
      </c>
      <c r="E7" s="17" t="n">
        <v>108847</v>
      </c>
      <c r="F7" s="17" t="n">
        <v>115417</v>
      </c>
    </row>
    <row r="8">
      <c r="A8" s="15" t="inlineStr">
        <is>
          <t>Anlægsaktiver</t>
        </is>
      </c>
      <c r="B8" s="17" t="n">
        <v>63107</v>
      </c>
      <c r="C8" s="17" t="n">
        <v>58898</v>
      </c>
      <c r="D8" s="17" t="n">
        <v>66789</v>
      </c>
      <c r="E8" s="17" t="n">
        <v>108847</v>
      </c>
      <c r="F8" s="17" t="n">
        <v>115417</v>
      </c>
    </row>
    <row r="9">
      <c r="A9" s="16" t="inlineStr">
        <is>
          <t>Råvarer og hjælpematerialer</t>
        </is>
      </c>
      <c r="B9" s="17" t="n">
        <v>100594</v>
      </c>
      <c r="C9" s="17" t="n">
        <v>175600</v>
      </c>
      <c r="D9" s="17" t="n">
        <v>192401</v>
      </c>
      <c r="E9" s="17" t="n">
        <v>156102</v>
      </c>
      <c r="F9" s="17" t="n">
        <v>154065</v>
      </c>
    </row>
    <row r="10">
      <c r="A10" s="16" t="inlineStr">
        <is>
          <t>Varer under fremstilling</t>
        </is>
      </c>
      <c r="B10" s="17" t="n">
        <v>148210</v>
      </c>
      <c r="C10" s="17" t="n">
        <v>113060</v>
      </c>
      <c r="D10" s="17" t="n">
        <v>127365</v>
      </c>
      <c r="E10" s="17" t="n">
        <v>129336</v>
      </c>
      <c r="F10" s="17" t="n">
        <v>112565</v>
      </c>
    </row>
    <row r="11">
      <c r="A11" s="16" t="inlineStr">
        <is>
          <t>Færdigvarer og handelsvarer</t>
        </is>
      </c>
      <c r="B11" s="17" t="n">
        <v>26566</v>
      </c>
      <c r="C11" s="17" t="n">
        <v>43239</v>
      </c>
      <c r="D11" s="17" t="n">
        <v>54871</v>
      </c>
      <c r="E11" s="17" t="n">
        <v>42987</v>
      </c>
      <c r="F11" s="17" t="n">
        <v>31985</v>
      </c>
    </row>
    <row r="12">
      <c r="A12" s="15" t="inlineStr">
        <is>
          <t>Varebeholdninger</t>
        </is>
      </c>
      <c r="B12" s="17" t="n">
        <v>283333</v>
      </c>
      <c r="C12" s="17" t="n">
        <v>346327</v>
      </c>
      <c r="D12" s="17" t="n">
        <v>376133</v>
      </c>
      <c r="E12" s="17" t="n">
        <v>336840</v>
      </c>
      <c r="F12" s="17" t="n">
        <v>305999</v>
      </c>
    </row>
    <row r="13">
      <c r="A13" s="16" t="inlineStr">
        <is>
          <t>Tilgodehavender fra salg og tjenesteydelser</t>
        </is>
      </c>
      <c r="B13" s="17" t="n">
        <v>35291</v>
      </c>
      <c r="C13" s="17" t="n">
        <v>34116</v>
      </c>
      <c r="D13" s="17" t="n">
        <v>15850</v>
      </c>
      <c r="E13" s="17" t="n">
        <v>18943</v>
      </c>
      <c r="F13" s="17" t="n">
        <v>10164</v>
      </c>
    </row>
    <row r="14">
      <c r="A14" s="16" t="inlineStr">
        <is>
          <t>Tilgodehavender hos tilknyttede virksomheder</t>
        </is>
      </c>
      <c r="B14" s="17" t="n">
        <v>112165</v>
      </c>
      <c r="C14" s="17" t="n">
        <v>188914</v>
      </c>
      <c r="D14" s="17" t="n">
        <v>268913</v>
      </c>
      <c r="E14" s="17" t="n">
        <v>137306</v>
      </c>
      <c r="F14" s="17" t="n">
        <v>530960</v>
      </c>
    </row>
    <row r="15">
      <c r="A15" s="16" t="inlineStr">
        <is>
          <t>Andre tilgodehavender</t>
        </is>
      </c>
      <c r="B15" s="17" t="n">
        <v>48866</v>
      </c>
      <c r="C15" s="17" t="n">
        <v>54524</v>
      </c>
      <c r="D15" s="17" t="n">
        <v>43079</v>
      </c>
      <c r="E15" s="17" t="n">
        <v>53113</v>
      </c>
      <c r="F15" s="17" t="n">
        <v>41334</v>
      </c>
    </row>
    <row r="16">
      <c r="A16" s="16" t="inlineStr">
        <is>
          <t>Periodeafgrænsningsposter (aktiver)</t>
        </is>
      </c>
      <c r="B16" s="17" t="n">
        <v>908</v>
      </c>
      <c r="C16" s="17" t="n">
        <v>171</v>
      </c>
      <c r="D16" s="17" t="n"/>
      <c r="E16" s="17" t="n"/>
      <c r="F16" s="17" t="n"/>
    </row>
    <row r="17">
      <c r="A17" s="16" t="inlineStr">
        <is>
          <t>Udskudt skatteaktiv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Tilgodehavende skat hos tilknyttede virksomheder</t>
        </is>
      </c>
      <c r="B18" s="17" t="n"/>
      <c r="C18" s="17" t="n"/>
      <c r="D18" s="17" t="n"/>
      <c r="E18" s="17" t="n"/>
      <c r="F18" s="17" t="n"/>
    </row>
    <row r="19">
      <c r="A19" s="16" t="inlineStr">
        <is>
          <t>Kortfristede skattetilgodehavender</t>
        </is>
      </c>
      <c r="B19" s="17" t="n"/>
      <c r="C19" s="17" t="n">
        <v>1515</v>
      </c>
      <c r="D19" s="17" t="n">
        <v>8209</v>
      </c>
      <c r="E19" s="17" t="n">
        <v>9195</v>
      </c>
      <c r="F19" s="17" t="n">
        <v>0</v>
      </c>
    </row>
    <row r="20">
      <c r="A20" s="15" t="inlineStr">
        <is>
          <t>Tilgodehavender</t>
        </is>
      </c>
      <c r="B20" s="17" t="n">
        <v>241577</v>
      </c>
      <c r="C20" s="17" t="n">
        <v>293567</v>
      </c>
      <c r="D20" s="17" t="n">
        <v>357525</v>
      </c>
      <c r="E20" s="17" t="n">
        <v>260864</v>
      </c>
      <c r="F20" s="17" t="n">
        <v>598713</v>
      </c>
    </row>
    <row r="21">
      <c r="A21" s="16" t="inlineStr">
        <is>
          <t>Værdipapirer</t>
        </is>
      </c>
      <c r="B21" s="17" t="n"/>
      <c r="C21" s="17" t="n"/>
      <c r="D21" s="17" t="n"/>
      <c r="E21" s="17" t="n"/>
      <c r="F21" s="17" t="n"/>
    </row>
    <row r="22">
      <c r="A22" s="16" t="inlineStr">
        <is>
          <t>Likvide beholdninger</t>
        </is>
      </c>
      <c r="B22" s="17" t="n">
        <v>990</v>
      </c>
      <c r="C22" s="17" t="n">
        <v>5743</v>
      </c>
      <c r="D22" s="17" t="n">
        <v>4262</v>
      </c>
      <c r="E22" s="17" t="n">
        <v>0</v>
      </c>
      <c r="F22" s="17" t="n">
        <v>956</v>
      </c>
    </row>
    <row r="23">
      <c r="A23" s="15" t="inlineStr">
        <is>
          <t>Omsætningsaktiver</t>
        </is>
      </c>
      <c r="B23" s="17" t="n">
        <v>525900</v>
      </c>
      <c r="C23" s="17" t="n">
        <v>645637</v>
      </c>
      <c r="D23" s="17" t="n">
        <v>737920</v>
      </c>
      <c r="E23" s="17" t="n">
        <v>597704</v>
      </c>
      <c r="F23" s="17" t="n">
        <v>905668</v>
      </c>
    </row>
    <row r="24">
      <c r="A24" s="15" t="inlineStr">
        <is>
          <t>Aktiver</t>
        </is>
      </c>
      <c r="B24" s="17" t="n">
        <v>589007</v>
      </c>
      <c r="C24" s="17" t="n">
        <v>704535</v>
      </c>
      <c r="D24" s="17" t="n">
        <v>804709</v>
      </c>
      <c r="E24" s="17" t="n">
        <v>706551</v>
      </c>
      <c r="F24" s="17" t="n">
        <v>1021085</v>
      </c>
    </row>
    <row r="25">
      <c r="A25" s="16" t="inlineStr">
        <is>
          <t>Selskabskapital</t>
        </is>
      </c>
      <c r="B25" s="17" t="n">
        <v>12000</v>
      </c>
      <c r="C25" s="17" t="n">
        <v>12000</v>
      </c>
      <c r="D25" s="17" t="n">
        <v>12000</v>
      </c>
      <c r="E25" s="17" t="n">
        <v>12000</v>
      </c>
      <c r="F25" s="17" t="n">
        <v>12000</v>
      </c>
    </row>
    <row r="26">
      <c r="A26" s="16" t="inlineStr">
        <is>
          <t>Reserve for nettoopskrivning (indre værdis metode)</t>
        </is>
      </c>
      <c r="B26" s="17" t="n"/>
      <c r="C26" s="17" t="n"/>
      <c r="D26" s="17" t="n"/>
      <c r="E26" s="17" t="n"/>
      <c r="F26" s="17" t="n"/>
    </row>
    <row r="27">
      <c r="A27" s="16" t="inlineStr">
        <is>
          <t>Reserve for udviklingsomkostninger</t>
        </is>
      </c>
      <c r="B27" s="17" t="n"/>
      <c r="C27" s="17" t="n"/>
      <c r="D27" s="17" t="n"/>
      <c r="E27" s="17" t="n"/>
      <c r="F27" s="17" t="n"/>
    </row>
    <row r="28">
      <c r="A28" s="16" t="inlineStr">
        <is>
          <t>Reserve for sikringstransaktioner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Andre reserver</t>
        </is>
      </c>
      <c r="B29" s="17" t="n"/>
      <c r="C29" s="17" t="n"/>
      <c r="D29" s="17" t="n"/>
      <c r="E29" s="17" t="n"/>
      <c r="F29" s="17" t="n"/>
    </row>
    <row r="30">
      <c r="A30" s="16" t="inlineStr">
        <is>
          <t>Overført resultat</t>
        </is>
      </c>
      <c r="B30" s="17" t="n">
        <v>93732</v>
      </c>
      <c r="C30" s="17" t="n">
        <v>93732</v>
      </c>
      <c r="D30" s="17" t="n">
        <v>117653</v>
      </c>
      <c r="E30" s="17" t="n">
        <v>112400</v>
      </c>
      <c r="F30" s="17" t="n">
        <v>116489</v>
      </c>
    </row>
    <row r="31">
      <c r="A31" s="15" t="inlineStr">
        <is>
          <t>Egenkapital i alt</t>
        </is>
      </c>
      <c r="B31" s="17" t="n">
        <v>160012</v>
      </c>
      <c r="C31" s="17" t="n">
        <v>170401</v>
      </c>
      <c r="D31" s="17" t="n">
        <v>129653</v>
      </c>
      <c r="E31" s="17" t="n">
        <v>124400</v>
      </c>
      <c r="F31" s="17" t="n">
        <v>548489</v>
      </c>
    </row>
    <row r="32">
      <c r="A32" s="16" t="inlineStr">
        <is>
          <t>Hensættelse til udskudt skat</t>
        </is>
      </c>
      <c r="B32" s="17" t="n">
        <v>5067</v>
      </c>
      <c r="C32" s="17" t="n">
        <v>7263</v>
      </c>
      <c r="D32" s="17" t="n">
        <v>9287</v>
      </c>
      <c r="E32" s="17" t="n">
        <v>10557</v>
      </c>
      <c r="F32" s="17" t="n">
        <v>10019</v>
      </c>
    </row>
    <row r="33">
      <c r="A33" s="15" t="inlineStr">
        <is>
          <t>Hensatte forpligtelser</t>
        </is>
      </c>
      <c r="B33" s="17" t="n">
        <v>156</v>
      </c>
      <c r="C33" s="17" t="n">
        <v>0</v>
      </c>
      <c r="D33" s="17" t="n">
        <v>9287</v>
      </c>
      <c r="E33" s="17" t="n">
        <v>10557</v>
      </c>
      <c r="F33" s="17" t="n">
        <v>10019</v>
      </c>
    </row>
    <row r="34">
      <c r="A34" s="16" t="inlineStr">
        <is>
          <t>Ansvarlig lånekapital (langfristet)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Langfristede lån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Leasingforpligtelser (langfristet)</t>
        </is>
      </c>
      <c r="B36" s="17" t="n">
        <v>12430</v>
      </c>
      <c r="C36" s="17" t="n">
        <v>7494</v>
      </c>
      <c r="D36" s="17" t="n">
        <v>11105</v>
      </c>
      <c r="E36" s="17" t="n">
        <v>26642</v>
      </c>
      <c r="F36" s="17" t="n">
        <v>14168</v>
      </c>
    </row>
    <row r="37">
      <c r="A37" s="16" t="inlineStr">
        <is>
          <t>Anden gæld (langfristet)</t>
        </is>
      </c>
      <c r="B37" s="17" t="n">
        <v>0</v>
      </c>
      <c r="C37" s="17" t="n"/>
      <c r="D37" s="17" t="n"/>
      <c r="E37" s="17" t="n"/>
      <c r="F37" s="17" t="n"/>
    </row>
    <row r="38">
      <c r="A38" s="15" t="inlineStr">
        <is>
          <t>Langfristede gældsforpligtelser</t>
        </is>
      </c>
      <c r="B38" s="17" t="n">
        <v>17653</v>
      </c>
      <c r="C38" s="17" t="n">
        <v>14757</v>
      </c>
      <c r="D38" s="17" t="n">
        <v>20392</v>
      </c>
      <c r="E38" s="17" t="n">
        <v>37199</v>
      </c>
      <c r="F38" s="17" t="n">
        <v>24187</v>
      </c>
    </row>
    <row r="39">
      <c r="A39" s="16" t="inlineStr">
        <is>
          <t>Ansvarlig lånekapital (kortfristet)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Kortfristet del af langfristede gældsforpligtelser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Kreditinstitutter</t>
        </is>
      </c>
      <c r="B41" s="17" t="n"/>
      <c r="C41" s="17" t="n"/>
      <c r="D41" s="17" t="n"/>
      <c r="E41" s="17" t="n">
        <v>2505</v>
      </c>
      <c r="F41" s="17" t="n">
        <v>0</v>
      </c>
    </row>
    <row r="42">
      <c r="A42" s="16" t="inlineStr">
        <is>
          <t>Leasingforpligtelser (kortfristet)</t>
        </is>
      </c>
      <c r="B42" s="17" t="n">
        <v>6935</v>
      </c>
      <c r="C42" s="17" t="n">
        <v>5642</v>
      </c>
      <c r="D42" s="17" t="n">
        <v>7429</v>
      </c>
      <c r="E42" s="17" t="n">
        <v>6392</v>
      </c>
      <c r="F42" s="17" t="n">
        <v>3756</v>
      </c>
    </row>
    <row r="43">
      <c r="A43" s="16" t="inlineStr">
        <is>
          <t>Leverandører af varer og tjenesteydelser</t>
        </is>
      </c>
      <c r="B43" s="17" t="n">
        <v>116719</v>
      </c>
      <c r="C43" s="17" t="n">
        <v>139922</v>
      </c>
      <c r="D43" s="17" t="n">
        <v>128237</v>
      </c>
      <c r="E43" s="17" t="n">
        <v>99434</v>
      </c>
      <c r="F43" s="17" t="n">
        <v>106670</v>
      </c>
    </row>
    <row r="44">
      <c r="A44" s="16" t="inlineStr">
        <is>
          <t>Gæld til tilknyttede virksomheder</t>
        </is>
      </c>
      <c r="B44" s="17" t="n">
        <v>148840</v>
      </c>
      <c r="C44" s="17" t="n">
        <v>246056</v>
      </c>
      <c r="D44" s="17" t="n">
        <v>367641</v>
      </c>
      <c r="E44" s="17" t="n">
        <v>291846</v>
      </c>
      <c r="F44" s="17" t="n">
        <v>61191</v>
      </c>
    </row>
    <row r="45">
      <c r="A45" s="16" t="inlineStr">
        <is>
          <t>Gæld til selskabsdeltagere og ledelse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Selskabsskat</t>
        </is>
      </c>
      <c r="B46" s="17" t="n">
        <v>4983</v>
      </c>
      <c r="C46" s="17" t="n">
        <v>0</v>
      </c>
      <c r="D46" s="17" t="n"/>
      <c r="E46" s="17" t="n">
        <v>0</v>
      </c>
      <c r="F46" s="17" t="n">
        <v>121210</v>
      </c>
    </row>
    <row r="47">
      <c r="A47" s="16" t="inlineStr">
        <is>
          <t>Gæld til tilknyttede virksomheder vedr. selskabsskat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Anden gæld (kortfristet)</t>
        </is>
      </c>
      <c r="B48" s="17" t="n">
        <v>93264</v>
      </c>
      <c r="C48" s="17" t="n">
        <v>82025</v>
      </c>
      <c r="D48" s="17" t="n">
        <v>103553</v>
      </c>
      <c r="E48" s="17" t="n">
        <v>99890</v>
      </c>
      <c r="F48" s="17" t="n">
        <v>98954</v>
      </c>
    </row>
    <row r="49">
      <c r="A49" s="16" t="inlineStr">
        <is>
          <t>Periodeafgrænsningsposter (passiver)</t>
        </is>
      </c>
      <c r="B49" s="17" t="n">
        <v>27615</v>
      </c>
      <c r="C49" s="17" t="n">
        <v>31437</v>
      </c>
      <c r="D49" s="17" t="n">
        <v>31347</v>
      </c>
      <c r="E49" s="17" t="n">
        <v>138</v>
      </c>
      <c r="F49" s="17" t="n">
        <v>189</v>
      </c>
    </row>
    <row r="50">
      <c r="A50" s="15" t="inlineStr">
        <is>
          <t>Kortfristede gældsforpligtelser</t>
        </is>
      </c>
      <c r="B50" s="17" t="n">
        <v>411342</v>
      </c>
      <c r="C50" s="17" t="n">
        <v>519377</v>
      </c>
      <c r="D50" s="17" t="n">
        <v>654664</v>
      </c>
      <c r="E50" s="17" t="n">
        <v>544952</v>
      </c>
      <c r="F50" s="17" t="n">
        <v>448409</v>
      </c>
    </row>
    <row r="51">
      <c r="A51" s="15" t="inlineStr">
        <is>
          <t>Gældsforpligtelser</t>
        </is>
      </c>
      <c r="B51" s="17" t="n">
        <v>428995</v>
      </c>
      <c r="C51" s="17" t="n">
        <v>534134</v>
      </c>
      <c r="D51" s="17" t="n">
        <v>675056</v>
      </c>
      <c r="E51" s="17" t="n">
        <v>582151</v>
      </c>
      <c r="F51" s="17" t="n">
        <v>472596</v>
      </c>
    </row>
    <row r="52">
      <c r="A52" s="15" t="inlineStr">
        <is>
          <t>Passiver</t>
        </is>
      </c>
      <c r="B52" s="17" t="n">
        <v>589007</v>
      </c>
      <c r="C52" s="17" t="n">
        <v>704535</v>
      </c>
      <c r="D52" s="17" t="n">
        <v>804709</v>
      </c>
      <c r="E52" s="17" t="n">
        <v>706551</v>
      </c>
      <c r="F52" s="17" t="n">
        <v>1021085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Tetra Pak Processing Systems A/S (CVR 41852119)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-27641</v>
      </c>
      <c r="C2" s="17" t="n">
        <v>-18739</v>
      </c>
      <c r="D2" s="17" t="n">
        <v>42013</v>
      </c>
      <c r="E2" s="17" t="n">
        <v>-17706</v>
      </c>
      <c r="F2" s="17" t="n">
        <v>165049</v>
      </c>
    </row>
    <row r="3">
      <c r="A3" s="16" t="inlineStr">
        <is>
          <t>Pengestrømme fra investeringsaktivitet</t>
        </is>
      </c>
      <c r="B3" s="17" t="n">
        <v>-5514</v>
      </c>
      <c r="C3" s="17" t="n">
        <v>-10263</v>
      </c>
      <c r="D3" s="17" t="n">
        <v>-12020</v>
      </c>
      <c r="E3" s="17" t="n"/>
      <c r="F3" s="17" t="n"/>
    </row>
    <row r="4">
      <c r="A4" s="16" t="inlineStr">
        <is>
          <t>Pengestrømme fra finansieringsaktivitet</t>
        </is>
      </c>
      <c r="B4" s="17" t="n">
        <v>30095</v>
      </c>
      <c r="C4" s="17" t="n">
        <v>33755</v>
      </c>
      <c r="D4" s="17" t="n">
        <v>-31474</v>
      </c>
      <c r="E4" s="17" t="n">
        <v>50492</v>
      </c>
      <c r="F4" s="17" t="n">
        <v>-131544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Tetra Pak Processing Systems A/S (CVR 41852119) — Regnskabs- og nøgletal (CVR: 41852119)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'res_raw_41852119'!$F$2</f>
        <v/>
      </c>
      <c r="C5" s="24">
        <f>'res_raw_41852119'!$E$2</f>
        <v/>
      </c>
      <c r="D5" s="24">
        <f>'res_raw_41852119'!$D$2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-'res_raw_41852119'!$F$3</f>
        <v/>
      </c>
      <c r="C6" s="24">
        <f>-'res_raw_41852119'!$E$3</f>
        <v/>
      </c>
      <c r="D6" s="24">
        <f>-'res_raw_41852119'!$D$3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IF(ABS((SUM(B5:B6))-'res_raw_41852119'!$F$4)&lt;=2,SUM(B5:B6),'res_raw_41852119'!$F$4)</f>
        <v/>
      </c>
      <c r="C7" s="27">
        <f>IF(ABS((SUM(C5:C6))-'res_raw_41852119'!$E$4)&lt;=2,SUM(C5:C6),'res_raw_41852119'!$E$4)</f>
        <v/>
      </c>
      <c r="D7" s="27">
        <f>IF(ABS((SUM(D5:D6))-'res_raw_41852119'!$D$4)&lt;=2,SUM(D5:D6),'res_raw_41852119'!$D$4)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Udviklingsomkostninger</t>
        </is>
      </c>
      <c r="B8" s="24">
        <f>-'res_raw_41852119'!$F$5</f>
        <v/>
      </c>
      <c r="C8" s="24">
        <f>-'res_raw_41852119'!$E$5</f>
        <v/>
      </c>
      <c r="D8" s="24">
        <f>-'res_raw_41852119'!$D$5</f>
        <v/>
      </c>
      <c r="F8" s="25" t="inlineStr">
        <is>
          <t>ifrs-full:ResearchAndDevelopmentExpense (vises negativt). Udviklingsomkostninger ført i resultatet (v15_21; B&amp;O m.fl.).</t>
        </is>
      </c>
    </row>
    <row r="9">
      <c r="A9" s="23" t="inlineStr">
        <is>
          <t>Salgs- og distributionsomk.</t>
        </is>
      </c>
      <c r="B9" s="24">
        <f>-'res_raw_41852119'!$F$6</f>
        <v/>
      </c>
      <c r="C9" s="24">
        <f>-'res_raw_41852119'!$E$6</f>
        <v/>
      </c>
      <c r="D9" s="24">
        <f>-'res_raw_41852119'!$D$6</f>
        <v/>
      </c>
      <c r="F9" s="25" t="inlineStr">
        <is>
          <t>fsa:DistributionCosts (vises negativt). Marketing, salg, distribution.</t>
        </is>
      </c>
    </row>
    <row r="10">
      <c r="A10" s="23" t="inlineStr">
        <is>
          <t>Administrationsomkostninger mv.</t>
        </is>
      </c>
      <c r="B10" s="24">
        <f>-'res_raw_41852119'!$F$7</f>
        <v/>
      </c>
      <c r="C10" s="24">
        <f>-'res_raw_41852119'!$E$7</f>
        <v/>
      </c>
      <c r="D10" s="24">
        <f>-'res_raw_41852119'!$D$7</f>
        <v/>
      </c>
      <c r="F10" s="25" t="inlineStr">
        <is>
          <t>fsa:AdministrativeExpenses (vises negativt). Generel administration.</t>
        </is>
      </c>
    </row>
    <row r="11">
      <c r="A11" s="23" t="inlineStr">
        <is>
          <t>Andre driftsindtægter</t>
        </is>
      </c>
      <c r="B11" s="24">
        <f>'res_raw_41852119'!$F$8</f>
        <v/>
      </c>
      <c r="C11" s="24">
        <f>'res_raw_41852119'!$E$8</f>
        <v/>
      </c>
      <c r="D11" s="24">
        <f>'res_raw_41852119'!$D$8</f>
        <v/>
      </c>
      <c r="F11" s="25" t="inlineStr">
        <is>
          <t>fsa:OtherOperatingIncome. Sekundære driftsindtægter (huslejeindtægter, off. tilskud, avancer mv.).</t>
        </is>
      </c>
    </row>
    <row r="12">
      <c r="A12" s="26" t="inlineStr">
        <is>
          <t>Andre driftsomkostninger</t>
        </is>
      </c>
      <c r="B12" s="27">
        <f>-'res_raw_41852119'!$F$9</f>
        <v/>
      </c>
      <c r="C12" s="27">
        <f>-'res_raw_41852119'!$E$9</f>
        <v/>
      </c>
      <c r="D12" s="27">
        <f>-'res_raw_41852119'!$D$9</f>
        <v/>
      </c>
      <c r="F12" s="28" t="inlineStr">
        <is>
          <t>fsa:OtherOperatingExpenses (vises negativt). Sekundære driftsomkostninger.</t>
        </is>
      </c>
    </row>
    <row r="13">
      <c r="A13" s="29" t="inlineStr">
        <is>
          <t>Resultat af primær drift</t>
        </is>
      </c>
      <c r="B13" s="30">
        <f>IF(ABS((SUM(B7:B12))-'res_raw_41852119'!$F$10)&lt;=2,SUM(B7:B12),'res_raw_41852119'!$F$10)</f>
        <v/>
      </c>
      <c r="C13" s="30">
        <f>IF(ABS((SUM(C7:C12))-'res_raw_41852119'!$E$10)&lt;=2,SUM(C7:C12),'res_raw_41852119'!$E$10)</f>
        <v/>
      </c>
      <c r="D13" s="30">
        <f>IF(ABS((SUM(D7:D12))-'res_raw_41852119'!$D$10)&lt;=2,SUM(D7:D12),'res_raw_41852119'!$D$10)</f>
        <v/>
      </c>
      <c r="F13" s="25" t="inlineStr">
        <is>
          <t>Beregnet: Bruttoresultat − Udviklingsomk. − Salgs/dist. − Administration + Andre driftsindt. − Andre driftsomk. EBIT.</t>
        </is>
      </c>
    </row>
    <row r="14">
      <c r="A14" s="23" t="inlineStr">
        <is>
          <t>Finansielle indtægter mv.</t>
        </is>
      </c>
      <c r="B14" s="24">
        <f>N('res_raw_41852119'!$F$11)+N('res_raw_41852119'!$F$12)</f>
        <v/>
      </c>
      <c r="C14" s="24">
        <f>N('res_raw_41852119'!$E$11)+N('res_raw_41852119'!$E$12)</f>
        <v/>
      </c>
      <c r="D14" s="24">
        <f>N('res_raw_41852119'!$D$11)+N('res_raw_41852119'!$D$12)</f>
        <v/>
      </c>
      <c r="F14" s="25" t="inlineStr">
        <is>
          <t>fsa:IncomeFromSubsidiaries + fsa:OtherFinanceIncome.</t>
        </is>
      </c>
    </row>
    <row r="15">
      <c r="A15" s="26" t="inlineStr">
        <is>
          <t>Finansielle omkostninger mv.</t>
        </is>
      </c>
      <c r="B15" s="27">
        <f>-'res_raw_41852119'!$F$13</f>
        <v/>
      </c>
      <c r="C15" s="27">
        <f>-'res_raw_41852119'!$E$13</f>
        <v/>
      </c>
      <c r="D15" s="27">
        <f>-'res_raw_41852119'!$D$13</f>
        <v/>
      </c>
      <c r="F15" s="28" t="inlineStr">
        <is>
          <t>fsa:OtherFinanceExpenses (vises negativt). Renteomkostninger, kurstab.</t>
        </is>
      </c>
    </row>
    <row r="16">
      <c r="A16" s="29" t="inlineStr">
        <is>
          <t>Resultat før skat</t>
        </is>
      </c>
      <c r="B16" s="30">
        <f>IF(ABS((SUM(B13:B15))-'res_raw_41852119'!$F$15)&lt;=2,SUM(B13:B15),'res_raw_41852119'!$F$15)</f>
        <v/>
      </c>
      <c r="C16" s="30">
        <f>IF(ABS((SUM(C13:C15))-'res_raw_41852119'!$E$15)&lt;=2,SUM(C13:C15),'res_raw_41852119'!$E$15)</f>
        <v/>
      </c>
      <c r="D16" s="30">
        <f>IF(ABS((SUM(D13:D15))-'res_raw_41852119'!$D$15)&lt;=2,SUM(D13:D15),'res_raw_41852119'!$D$15)</f>
        <v/>
      </c>
      <c r="F16" s="25" t="inlineStr">
        <is>
          <t>Beregnet: EBIT + Fin. indtægter + Fin. omk. EBT.</t>
        </is>
      </c>
    </row>
    <row r="17">
      <c r="A17" s="31" t="n"/>
      <c r="B17" s="31" t="n"/>
      <c r="C17" s="31" t="n"/>
      <c r="D17" s="31" t="n"/>
      <c r="F17" s="31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'balance_raw_41852119'!$F$8</f>
        <v/>
      </c>
      <c r="C19" s="24">
        <f>'balance_raw_41852119'!$E$8</f>
        <v/>
      </c>
      <c r="D19" s="24">
        <f>'balance_raw_41852119'!$D$8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'balance_raw_41852119'!$F$23</f>
        <v/>
      </c>
      <c r="C20" s="24">
        <f>'balance_raw_41852119'!$E$23</f>
        <v/>
      </c>
      <c r="D20" s="24">
        <f>'balance_raw_41852119'!$D$23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31" t="n"/>
      <c r="B22" s="31" t="n"/>
      <c r="C22" s="31" t="n"/>
      <c r="D22" s="31" t="n"/>
      <c r="F22" s="31" t="n"/>
    </row>
    <row r="23">
      <c r="A23" s="23" t="inlineStr">
        <is>
          <t>Egenkapital</t>
        </is>
      </c>
      <c r="B23" s="24">
        <f>'balance_raw_41852119'!$F$31</f>
        <v/>
      </c>
      <c r="C23" s="24">
        <f>'balance_raw_41852119'!$E$31</f>
        <v/>
      </c>
      <c r="D23" s="24">
        <f>'balance_raw_41852119'!$D$31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'balance_raw_41852119'!$F$52-'balance_raw_41852119'!$F$31</f>
        <v/>
      </c>
      <c r="C24" s="24">
        <f>'balance_raw_41852119'!$E$52-'balance_raw_41852119'!$E$31</f>
        <v/>
      </c>
      <c r="D24" s="24">
        <f>'balance_raw_41852119'!$D$52-'balance_raw_41852119'!$D$31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31" t="n"/>
      <c r="B26" s="31" t="n"/>
      <c r="C26" s="31" t="n"/>
      <c r="D26" s="31" t="n"/>
      <c r="F26" s="31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'balance_raw_41852119'!$F$12</f>
        <v/>
      </c>
      <c r="C28" s="24">
        <f>'balance_raw_41852119'!$E$12</f>
        <v/>
      </c>
      <c r="D28" s="24">
        <f>'balance_raw_41852119'!$D$12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'balance_raw_41852119'!$F$13</f>
        <v/>
      </c>
      <c r="C29" s="24">
        <f>'balance_raw_41852119'!$E$13</f>
        <v/>
      </c>
      <c r="D29" s="24">
        <f>'balance_raw_41852119'!$D$13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'balance_raw_41852119'!$F$50</f>
        <v/>
      </c>
      <c r="C30" s="24">
        <f>'balance_raw_41852119'!$E$50</f>
        <v/>
      </c>
      <c r="D30" s="24">
        <f>'balance_raw_41852119'!$D$50</f>
        <v/>
      </c>
      <c r="F30" s="25" t="inlineStr">
        <is>
          <t>fsa:ShorttermLiabilitiesOtherThanProvisions. Gæld der forfalder inden for 1 år.</t>
        </is>
      </c>
    </row>
    <row r="31">
      <c r="A31" s="31" t="n"/>
      <c r="B31" s="31" t="n"/>
      <c r="C31" s="31" t="n"/>
      <c r="D31" s="31" t="n"/>
      <c r="F31" s="31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2">
        <f>IFERROR((B13+B14)/B21*100,"")</f>
        <v/>
      </c>
      <c r="C33" s="32">
        <f>IFERROR((C13+C14)/C21*100,"")</f>
        <v/>
      </c>
      <c r="D33" s="32">
        <f>IFERROR((D13+D14)/D21*100,"")</f>
        <v/>
      </c>
      <c r="F33" s="31" t="n"/>
    </row>
    <row r="34">
      <c r="A34" s="23" t="inlineStr">
        <is>
          <t>Overskudsgrad, %</t>
        </is>
      </c>
      <c r="B34" s="32">
        <f>IFERROR((B13+B14)/B5*100,"")</f>
        <v/>
      </c>
      <c r="C34" s="32">
        <f>IFERROR((C13+C14)/C5*100,"")</f>
        <v/>
      </c>
      <c r="D34" s="32">
        <f>IFERROR((D13+D14)/D5*100,"")</f>
        <v/>
      </c>
      <c r="F34" s="31" t="n"/>
    </row>
    <row r="35">
      <c r="A35" s="23" t="inlineStr">
        <is>
          <t>Aktivernes omsætningshastighed, gange</t>
        </is>
      </c>
      <c r="B35" s="32">
        <f>IFERROR(B5/B21,"")</f>
        <v/>
      </c>
      <c r="C35" s="32">
        <f>IFERROR(C5/C21,"")</f>
        <v/>
      </c>
      <c r="D35" s="32">
        <f>IFERROR(D5/D21,"")</f>
        <v/>
      </c>
      <c r="F35" s="31" t="n"/>
    </row>
    <row r="36">
      <c r="A36" s="23" t="inlineStr">
        <is>
          <t>Gældsrente, %</t>
        </is>
      </c>
      <c r="B36" s="32">
        <f>IFERROR(-B15*100/B24,"")</f>
        <v/>
      </c>
      <c r="C36" s="32">
        <f>IFERROR(-C15*100/C24,"")</f>
        <v/>
      </c>
      <c r="D36" s="32">
        <f>IFERROR(-D15*100/D24,"")</f>
        <v/>
      </c>
      <c r="F36" s="31" t="n"/>
    </row>
    <row r="37">
      <c r="A37" s="23" t="inlineStr">
        <is>
          <t>Egenkapitalens forrentning, %</t>
        </is>
      </c>
      <c r="B37" s="32">
        <f>IFERROR(B16/B23*100,"")</f>
        <v/>
      </c>
      <c r="C37" s="32">
        <f>IFERROR(C16/C23*100,"")</f>
        <v/>
      </c>
      <c r="D37" s="32">
        <f>IFERROR(D16/D23*100,"")</f>
        <v/>
      </c>
      <c r="F37" s="31" t="n"/>
    </row>
    <row r="38">
      <c r="A38" s="23" t="inlineStr">
        <is>
          <t>Gearing, gange</t>
        </is>
      </c>
      <c r="B38" s="32">
        <f>IFERROR(B24/B23,"")</f>
        <v/>
      </c>
      <c r="C38" s="32">
        <f>IFERROR(C24/C23,"")</f>
        <v/>
      </c>
      <c r="D38" s="32">
        <f>IFERROR(D24/D23,"")</f>
        <v/>
      </c>
      <c r="F38" s="31" t="n"/>
    </row>
    <row r="39">
      <c r="A39" s="31" t="n"/>
      <c r="B39" s="31" t="n"/>
      <c r="C39" s="31" t="n"/>
      <c r="D39" s="31" t="n"/>
      <c r="F39" s="31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3">
        <f>IFERROR(B5/$D5*100,"")</f>
        <v/>
      </c>
      <c r="C41" s="33">
        <f>IFERROR(C5/$D5*100,"")</f>
        <v/>
      </c>
      <c r="D41" s="33">
        <f>IFERROR(D5/$D5*100,"")</f>
        <v/>
      </c>
      <c r="F41" s="31" t="n"/>
    </row>
    <row r="42">
      <c r="A42" s="23" t="inlineStr">
        <is>
          <t>Produktionsomkostninger</t>
        </is>
      </c>
      <c r="B42" s="33">
        <f>IFERROR(B6/$D6*100,"")</f>
        <v/>
      </c>
      <c r="C42" s="33">
        <f>IFERROR(C6/$D6*100,"")</f>
        <v/>
      </c>
      <c r="D42" s="33">
        <f>IFERROR(D6/$D6*100,"")</f>
        <v/>
      </c>
      <c r="F42" s="31" t="n"/>
    </row>
    <row r="43">
      <c r="A43" s="23" t="inlineStr">
        <is>
          <t>Udviklingsomkostninger</t>
        </is>
      </c>
      <c r="B43" s="33">
        <f>IFERROR(B8/$D8*100,"")</f>
        <v/>
      </c>
      <c r="C43" s="33">
        <f>IFERROR(C8/$D8*100,"")</f>
        <v/>
      </c>
      <c r="D43" s="33">
        <f>IFERROR(D8/$D8*100,"")</f>
        <v/>
      </c>
      <c r="F43" s="31" t="n"/>
    </row>
    <row r="44">
      <c r="A44" s="23" t="inlineStr">
        <is>
          <t>Salgs- og distributionsomk.</t>
        </is>
      </c>
      <c r="B44" s="33">
        <f>IFERROR(B9/$D9*100,"")</f>
        <v/>
      </c>
      <c r="C44" s="33">
        <f>IFERROR(C9/$D9*100,"")</f>
        <v/>
      </c>
      <c r="D44" s="33">
        <f>IFERROR(D9/$D9*100,"")</f>
        <v/>
      </c>
      <c r="F44" s="31" t="n"/>
    </row>
    <row r="45">
      <c r="A45" s="23" t="inlineStr">
        <is>
          <t>Administrationsomk.</t>
        </is>
      </c>
      <c r="B45" s="33">
        <f>IFERROR(B10/$D10*100,"")</f>
        <v/>
      </c>
      <c r="C45" s="33">
        <f>IFERROR(C10/$D10*100,"")</f>
        <v/>
      </c>
      <c r="D45" s="33">
        <f>IFERROR(D10/$D10*100,"")</f>
        <v/>
      </c>
      <c r="F45" s="31" t="n"/>
    </row>
    <row r="46">
      <c r="A46" s="23" t="inlineStr">
        <is>
          <t>Andre driftsomkostninger</t>
        </is>
      </c>
      <c r="B46" s="33">
        <f>IFERROR(B12/$D12*100,"")</f>
        <v/>
      </c>
      <c r="C46" s="33">
        <f>IFERROR(C12/$D12*100,"")</f>
        <v/>
      </c>
      <c r="D46" s="33">
        <f>IFERROR(D12/$D12*100,"")</f>
        <v/>
      </c>
      <c r="F46" s="31" t="n"/>
    </row>
    <row r="47">
      <c r="A47" s="31" t="n"/>
      <c r="B47" s="31" t="n"/>
      <c r="C47" s="31" t="n"/>
      <c r="D47" s="31" t="n"/>
      <c r="F47" s="31" t="n"/>
    </row>
    <row r="48">
      <c r="A48" s="22" t="inlineStr">
        <is>
          <t>Indekstal for kapitaltilpasningsevne (2023=100)</t>
        </is>
      </c>
      <c r="B48" s="22" t="n"/>
      <c r="C48" s="22" t="n"/>
      <c r="D48" s="22" t="n"/>
      <c r="F48" s="22" t="n"/>
    </row>
    <row r="49">
      <c r="A49" s="23" t="inlineStr">
        <is>
          <t>Nettoomsætning</t>
        </is>
      </c>
      <c r="B49" s="33">
        <f>IFERROR(B5*100/$D5,"")</f>
        <v/>
      </c>
      <c r="C49" s="33">
        <f>IFERROR(C5*100/$D5,"")</f>
        <v/>
      </c>
      <c r="D49" s="33">
        <f>IFERROR(D5*100/$D5,"")</f>
        <v/>
      </c>
      <c r="F49" s="31" t="n"/>
    </row>
    <row r="50">
      <c r="A50" s="23" t="inlineStr">
        <is>
          <t>Anlægsaktiver</t>
        </is>
      </c>
      <c r="B50" s="33">
        <f>IFERROR(B19*100/$D19,"")</f>
        <v/>
      </c>
      <c r="C50" s="33">
        <f>IFERROR(C19*100/$D19,"")</f>
        <v/>
      </c>
      <c r="D50" s="33">
        <f>IFERROR(D19*100/$D19,"")</f>
        <v/>
      </c>
      <c r="F50" s="31" t="n"/>
    </row>
    <row r="51">
      <c r="A51" s="23" t="inlineStr">
        <is>
          <t>Varebeholdninger</t>
        </is>
      </c>
      <c r="B51" s="33">
        <f>IFERROR(B28*100/$D28,"")</f>
        <v/>
      </c>
      <c r="C51" s="33">
        <f>IFERROR(C28*100/$D28,"")</f>
        <v/>
      </c>
      <c r="D51" s="33">
        <f>IFERROR(D28*100/$D28,"")</f>
        <v/>
      </c>
      <c r="F51" s="31" t="n"/>
    </row>
    <row r="52">
      <c r="A52" s="23" t="inlineStr">
        <is>
          <t>Tilgodehavender fra salg</t>
        </is>
      </c>
      <c r="B52" s="33">
        <f>IFERROR(B29*100/$D29,"")</f>
        <v/>
      </c>
      <c r="C52" s="33">
        <f>IFERROR(C29*100/$D29,"")</f>
        <v/>
      </c>
      <c r="D52" s="33">
        <f>IFERROR(D29*100/$D29,"")</f>
        <v/>
      </c>
      <c r="F52" s="31" t="n"/>
    </row>
    <row r="53">
      <c r="A53" s="31" t="n"/>
      <c r="B53" s="31" t="n"/>
      <c r="C53" s="31" t="n"/>
      <c r="D53" s="31" t="n"/>
      <c r="F53" s="31" t="n"/>
    </row>
    <row r="54">
      <c r="A54" s="22" t="inlineStr">
        <is>
          <t>Soliditet og likviditet</t>
        </is>
      </c>
      <c r="B54" s="22" t="n"/>
      <c r="C54" s="22" t="n"/>
      <c r="D54" s="22" t="n"/>
      <c r="F54" s="22" t="n"/>
    </row>
    <row r="55">
      <c r="A55" s="23" t="inlineStr">
        <is>
          <t>Soliditetsgrad, %</t>
        </is>
      </c>
      <c r="B55" s="32">
        <f>IFERROR(B23*100/B21,"")</f>
        <v/>
      </c>
      <c r="C55" s="32">
        <f>IFERROR(C23*100/C21,"")</f>
        <v/>
      </c>
      <c r="D55" s="32">
        <f>IFERROR(D23*100/D21,"")</f>
        <v/>
      </c>
      <c r="F55" s="31" t="n"/>
    </row>
    <row r="56">
      <c r="A56" s="23" t="inlineStr">
        <is>
          <t>Gældsandel, %</t>
        </is>
      </c>
      <c r="B56" s="32">
        <f>IFERROR(B24*100/B21,"")</f>
        <v/>
      </c>
      <c r="C56" s="32">
        <f>IFERROR(C24*100/C21,"")</f>
        <v/>
      </c>
      <c r="D56" s="32">
        <f>IFERROR(D24*100/D21,"")</f>
        <v/>
      </c>
      <c r="F56" s="31" t="n"/>
    </row>
    <row r="57">
      <c r="A57" s="23" t="inlineStr">
        <is>
          <t>Likviditetsgrad, %</t>
        </is>
      </c>
      <c r="B57" s="32">
        <f>IFERROR(B20*100/B30,"")</f>
        <v/>
      </c>
      <c r="C57" s="32">
        <f>IFERROR(C20*100/C30,"")</f>
        <v/>
      </c>
      <c r="D57" s="32">
        <f>IFERROR(D20*100/D30,"")</f>
        <v/>
      </c>
      <c r="F57" s="31" t="n"/>
    </row>
    <row r="58">
      <c r="A58" s="31" t="n"/>
      <c r="B58" s="31" t="n"/>
      <c r="C58" s="31" t="n"/>
      <c r="D58" s="31" t="n"/>
      <c r="F58" s="31" t="n"/>
    </row>
    <row r="59">
      <c r="A59" s="34" t="inlineStr">
        <is>
          <t>Kilde: Bearbejdet uddrag af årsrapporter for 2023-2025. Alle dataceller er live formler der peger på res_raw / balance_raw.</t>
        </is>
      </c>
      <c r="B59" s="31" t="n"/>
      <c r="C59" s="31" t="n"/>
      <c r="D59" s="31" t="n"/>
      <c r="F59" s="31" t="n"/>
    </row>
    <row r="60">
      <c r="A60" s="31" t="n"/>
      <c r="B60" s="31" t="n"/>
      <c r="C60" s="31" t="n"/>
      <c r="D60" s="31" t="n"/>
      <c r="F60" s="31" t="n"/>
    </row>
    <row r="61">
      <c r="A61" s="22" t="inlineStr">
        <is>
          <t>Krydstjek mod rådata (tolerance: 1 t.kr.)</t>
        </is>
      </c>
      <c r="B61" s="22" t="n"/>
      <c r="C61" s="22" t="n"/>
      <c r="D61" s="22" t="n"/>
      <c r="F61" s="22" t="n"/>
    </row>
    <row r="62">
      <c r="A62" s="23" t="inlineStr">
        <is>
          <t>Aktiver i alt = fsa:Assets</t>
        </is>
      </c>
      <c r="B62" s="31">
        <f>IF('balance_raw_41852119'!$F$24="","—",IF(ABS(B21-'balance_raw_41852119'!$F$24)&lt;=1,"✓ OK","❌ "&amp;TEXT(B21-'balance_raw_41852119'!$F$24,"+#,##0;-#,##0")&amp;" t.kr."))</f>
        <v/>
      </c>
      <c r="C62" s="31">
        <f>IF('balance_raw_41852119'!$E$24="","—",IF(ABS(C21-'balance_raw_41852119'!$E$24)&lt;=1,"✓ OK","❌ "&amp;TEXT(C21-'balance_raw_41852119'!$E$24,"+#,##0;-#,##0")&amp;" t.kr."))</f>
        <v/>
      </c>
      <c r="D62" s="31">
        <f>IF('balance_raw_41852119'!$D$24="","—",IF(ABS(D21-'balance_raw_41852119'!$D$24)&lt;=1,"✓ OK","❌ "&amp;TEXT(D21-'balance_raw_41852119'!$D$24,"+#,##0;-#,##0")&amp;" t.kr."))</f>
        <v/>
      </c>
      <c r="F62" s="25" t="inlineStr">
        <is>
          <t>Verificerer at sum(Anlæg+Omsætning) matcher Assets-totalen.</t>
        </is>
      </c>
    </row>
    <row r="63">
      <c r="A63" s="23" t="inlineStr">
        <is>
          <t>Passiver i alt = fsa:LiabilitiesAndEquity</t>
        </is>
      </c>
      <c r="B63" s="31">
        <f>IF('balance_raw_41852119'!$F$52="","—",IF(ABS(B25-'balance_raw_41852119'!$F$52)&lt;=1,"✓ OK","❌ "&amp;TEXT(B25-'balance_raw_41852119'!$F$52,"+#,##0;-#,##0")&amp;" t.kr."))</f>
        <v/>
      </c>
      <c r="C63" s="31">
        <f>IF('balance_raw_41852119'!$E$52="","—",IF(ABS(C25-'balance_raw_41852119'!$E$52)&lt;=1,"✓ OK","❌ "&amp;TEXT(C25-'balance_raw_41852119'!$E$52,"+#,##0;-#,##0")&amp;" t.kr."))</f>
        <v/>
      </c>
      <c r="D63" s="31">
        <f>IF('balance_raw_41852119'!$D$52="","—",IF(ABS(D25-'balance_raw_41852119'!$D$52)&lt;=1,"✓ OK","❌ "&amp;TEXT(D25-'balance_raw_41852119'!$D$52,"+#,##0;-#,##0")&amp;" t.kr."))</f>
        <v/>
      </c>
      <c r="F63" s="25" t="inlineStr">
        <is>
          <t>Verificerer at sum(EK+Forpligtelser) matcher Passiver-totalen.</t>
        </is>
      </c>
    </row>
    <row r="64">
      <c r="A64" s="23" t="inlineStr">
        <is>
          <t>Aktiver i alt = Passiver i alt</t>
        </is>
      </c>
      <c r="B64" s="31">
        <f>IF(ABS(B21-B25)&lt;=1,"✓ OK","❌ "&amp;TEXT(B21-B25,"+#,##0;-#,##0")&amp;" t.kr.")</f>
        <v/>
      </c>
      <c r="C64" s="31">
        <f>IF(ABS(C21-C25)&lt;=1,"✓ OK","❌ "&amp;TEXT(C21-C25,"+#,##0;-#,##0")&amp;" t.kr.")</f>
        <v/>
      </c>
      <c r="D64" s="31">
        <f>IF(ABS(D21-D25)&lt;=1,"✓ OK","❌ "&amp;TEXT(D21-D25,"+#,##0;-#,##0")&amp;" t.kr.")</f>
        <v/>
      </c>
      <c r="F64" s="25" t="inlineStr">
        <is>
          <t>Balance-identitet på arket selv. Skal altid være 0 differance.</t>
        </is>
      </c>
    </row>
    <row r="65">
      <c r="A65" s="23" t="inlineStr">
        <is>
          <t>Bruttoresultat (beregnet) = fsa:GrossResult</t>
        </is>
      </c>
      <c r="B65" s="31">
        <f>IF('res_raw_41852119'!$F$4="","—",IF(ABS(B7-'res_raw_41852119'!$F$4)&lt;=1,"✓ OK","❌ "&amp;TEXT(B7-'res_raw_41852119'!$F$4,"+#,##0;-#,##0")&amp;" t.kr."))</f>
        <v/>
      </c>
      <c r="C65" s="31">
        <f>IF('res_raw_41852119'!$E$4="","—",IF(ABS(C7-'res_raw_41852119'!$E$4)&lt;=1,"✓ OK","❌ "&amp;TEXT(C7-'res_raw_41852119'!$E$4,"+#,##0;-#,##0")&amp;" t.kr."))</f>
        <v/>
      </c>
      <c r="D65" s="31">
        <f>IF('res_raw_41852119'!$D$4="","—",IF(ABS(D7-'res_raw_41852119'!$D$4)&lt;=1,"✓ OK","❌ "&amp;TEXT(D7-'res_raw_41852119'!$D$4,"+#,##0;-#,##0")&amp;" t.kr."))</f>
        <v/>
      </c>
      <c r="F65" s="25" t="inlineStr">
        <is>
          <t>Hvis Nettoomsætning eller omkostninger mangler, vil sumberegnet bruttoresultat afvige.</t>
        </is>
      </c>
    </row>
    <row r="66">
      <c r="A66" s="23" t="inlineStr">
        <is>
          <t>EBIT (beregnet) = fsa:ProfitLossFromOrdinaryOperatingActivities</t>
        </is>
      </c>
      <c r="B66" s="31">
        <f>IF('res_raw_41852119'!$F$10="","—",IF(ABS(B13-'res_raw_41852119'!$F$10)&lt;=1,"✓ OK","❌ "&amp;TEXT(B13-'res_raw_41852119'!$F$10,"+#,##0;-#,##0")&amp;" t.kr."))</f>
        <v/>
      </c>
      <c r="C66" s="31">
        <f>IF('res_raw_41852119'!$E$10="","—",IF(ABS(C13-'res_raw_41852119'!$E$10)&lt;=1,"✓ OK","❌ "&amp;TEXT(C13-'res_raw_41852119'!$E$10,"+#,##0;-#,##0")&amp;" t.kr."))</f>
        <v/>
      </c>
      <c r="D66" s="31">
        <f>IF('res_raw_41852119'!$D$10="","—",IF(ABS(D13-'res_raw_41852119'!$D$10)&lt;=1,"✓ OK","❌ "&amp;TEXT(D13-'res_raw_41852119'!$D$10,"+#,##0;-#,##0")&amp;" t.kr."))</f>
        <v/>
      </c>
      <c r="F66" s="25" t="inlineStr">
        <is>
          <t>Verificerer at sumberegnet EBIT matcher det rapporterede.</t>
        </is>
      </c>
    </row>
    <row r="67">
      <c r="A67" s="23" t="inlineStr">
        <is>
          <t>EBT (beregnet) = fsa:ProfitLossFromOrdinaryActivitiesBeforeTax</t>
        </is>
      </c>
      <c r="B67" s="31">
        <f>IF('res_raw_41852119'!$F$15="","—",IF(ABS(B16-'res_raw_41852119'!$F$15)&lt;=1,"✓ OK","❌ "&amp;TEXT(B16-'res_raw_41852119'!$F$15,"+#,##0;-#,##0")&amp;" t.kr."))</f>
        <v/>
      </c>
      <c r="C67" s="31">
        <f>IF('res_raw_41852119'!$E$15="","—",IF(ABS(C16-'res_raw_41852119'!$E$15)&lt;=1,"✓ OK","❌ "&amp;TEXT(C16-'res_raw_41852119'!$E$15,"+#,##0;-#,##0")&amp;" t.kr."))</f>
        <v/>
      </c>
      <c r="D67" s="31">
        <f>IF('res_raw_41852119'!$D$15="","—",IF(ABS(D16-'res_raw_41852119'!$D$15)&lt;=1,"✓ OK","❌ "&amp;TEXT(D16-'res_raw_41852119'!$D$15,"+#,##0;-#,##0")&amp;" t.kr."))</f>
        <v/>
      </c>
      <c r="F67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5" t="inlineStr">
        <is>
          <t>Tetra Pak Processing Systems A/S (CVR 41852119)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6" t="inlineStr">
        <is>
          <t>Øvrige (ukendt)</t>
        </is>
      </c>
      <c r="B3" s="36" t="inlineStr">
        <is>
          <t>fsa:CashCapitalIncrease</t>
        </is>
      </c>
      <c r="C3" s="36" t="inlineStr">
        <is>
          <t>fsa:CashCapitalIncrease</t>
        </is>
      </c>
      <c r="D3" s="37" t="n">
        <v>31737</v>
      </c>
      <c r="E3" s="37" t="n">
        <v>16261</v>
      </c>
      <c r="F3" s="37" t="n">
        <v>41586</v>
      </c>
      <c r="G3" s="37" t="n"/>
      <c r="H3" s="37" t="n"/>
      <c r="I3" s="38" t="inlineStr">
        <is>
          <t>Ingen forklaring tilgængelig.</t>
        </is>
      </c>
    </row>
    <row r="4" ht="30" customHeight="1">
      <c r="A4" s="39" t="inlineStr">
        <is>
          <t>Øvrige (ukendt)</t>
        </is>
      </c>
      <c r="B4" s="39" t="inlineStr">
        <is>
          <t>fsa:ExchangeRateAdjustmentsOtherFinanceExpenses</t>
        </is>
      </c>
      <c r="C4" s="39" t="inlineStr">
        <is>
          <t>fsa:ExchangeRateAdjustmentsOtherFinanceExpenses</t>
        </is>
      </c>
      <c r="D4" s="40" t="n">
        <v>180</v>
      </c>
      <c r="E4" s="40" t="n">
        <v>79</v>
      </c>
      <c r="F4" s="40" t="n">
        <v>359</v>
      </c>
      <c r="G4" s="40" t="n">
        <v>884</v>
      </c>
      <c r="H4" s="40" t="n">
        <v>764</v>
      </c>
      <c r="I4" s="41" t="inlineStr">
        <is>
          <t>Ingen forklaring tilgængelig.</t>
        </is>
      </c>
    </row>
    <row r="5" ht="30" customHeight="1">
      <c r="A5" s="36" t="inlineStr">
        <is>
          <t>Øvrige (ukendt)</t>
        </is>
      </c>
      <c r="B5" s="36" t="inlineStr">
        <is>
          <t>fsa:InformationOnAuditorsFees</t>
        </is>
      </c>
      <c r="C5" s="36" t="inlineStr">
        <is>
          <t>fsa:InformationOnAuditorsFees</t>
        </is>
      </c>
      <c r="D5" s="37" t="n"/>
      <c r="E5" s="37" t="n"/>
      <c r="F5" s="37" t="n"/>
      <c r="G5" s="37" t="n"/>
      <c r="H5" s="37" t="n">
        <v>0</v>
      </c>
      <c r="I5" s="38" t="inlineStr">
        <is>
          <t>Ingen forklaring tilgængelig.</t>
        </is>
      </c>
    </row>
    <row r="6" ht="30" customHeight="1">
      <c r="A6" s="39" t="inlineStr">
        <is>
          <t>Øvrige (ukendt)</t>
        </is>
      </c>
      <c r="B6" s="39" t="inlineStr">
        <is>
          <t>fsa:InterestIncomeFromParticipatingInterests</t>
        </is>
      </c>
      <c r="C6" s="39" t="inlineStr">
        <is>
          <t>fsa:InterestIncomeFromParticipatingInterests</t>
        </is>
      </c>
      <c r="D6" s="40" t="n"/>
      <c r="E6" s="40" t="n"/>
      <c r="F6" s="40" t="n"/>
      <c r="G6" s="40" t="n">
        <v>0</v>
      </c>
      <c r="H6" s="40" t="n">
        <v>35627</v>
      </c>
      <c r="I6" s="41" t="inlineStr">
        <is>
          <t>Ingen forklaring tilgængelig.</t>
        </is>
      </c>
    </row>
    <row r="7" ht="30" customHeight="1">
      <c r="A7" s="36" t="inlineStr">
        <is>
          <t>Øvrige (ukendt)</t>
        </is>
      </c>
      <c r="B7" s="36" t="inlineStr">
        <is>
          <t>fsa:NominalValueOfIssuedShares</t>
        </is>
      </c>
      <c r="C7" s="36" t="inlineStr">
        <is>
          <t>fsa:NominalValueOfIssuedShares</t>
        </is>
      </c>
      <c r="D7" s="37" t="n"/>
      <c r="E7" s="37" t="n"/>
      <c r="F7" s="37" t="n"/>
      <c r="G7" s="37" t="n">
        <v>12000</v>
      </c>
      <c r="H7" s="37" t="n">
        <v>12000</v>
      </c>
      <c r="I7" s="38" t="inlineStr">
        <is>
          <t>Ingen forklaring tilgængelig.</t>
        </is>
      </c>
    </row>
    <row r="8" ht="30" customHeight="1">
      <c r="A8" s="39" t="inlineStr">
        <is>
          <t>Øvrige (ukendt)</t>
        </is>
      </c>
      <c r="B8" s="39" t="inlineStr">
        <is>
          <t>fsa:OtherProvisionsLiabilitiesShortterm</t>
        </is>
      </c>
      <c r="C8" s="39" t="inlineStr">
        <is>
          <t>fsa:OtherProvisionsLiabilitiesShortterm</t>
        </is>
      </c>
      <c r="D8" s="40" t="n"/>
      <c r="E8" s="40" t="n"/>
      <c r="F8" s="40" t="n"/>
      <c r="G8" s="40" t="n">
        <v>19619</v>
      </c>
      <c r="H8" s="40" t="n">
        <v>21169</v>
      </c>
      <c r="I8" s="41" t="inlineStr">
        <is>
          <t>Ingen forklaring tilgængelig.</t>
        </is>
      </c>
    </row>
    <row r="9" ht="30" customHeight="1">
      <c r="A9" s="36" t="inlineStr">
        <is>
          <t>Øvrige (ukendt)</t>
        </is>
      </c>
      <c r="B9" s="36" t="inlineStr">
        <is>
          <t>fsa:OtherReceivables</t>
        </is>
      </c>
      <c r="C9" s="36" t="inlineStr">
        <is>
          <t>fsa:OtherReceivables</t>
        </is>
      </c>
      <c r="D9" s="37" t="n"/>
      <c r="E9" s="37" t="n"/>
      <c r="F9" s="37" t="n">
        <v>43079</v>
      </c>
      <c r="G9" s="37" t="n"/>
      <c r="H9" s="37" t="n"/>
      <c r="I9" s="38" t="inlineStr">
        <is>
          <t>Ingen forklaring tilgængelig.</t>
        </is>
      </c>
    </row>
    <row r="10" ht="30" customHeight="1">
      <c r="A10" s="39" t="inlineStr">
        <is>
          <t>Øvrige (ukendt)</t>
        </is>
      </c>
      <c r="B10" s="39" t="inlineStr">
        <is>
          <t>fsa:Planes</t>
        </is>
      </c>
      <c r="C10" s="39" t="inlineStr">
        <is>
          <t>fsa:Planes</t>
        </is>
      </c>
      <c r="D10" s="40" t="n">
        <v>2823</v>
      </c>
      <c r="E10" s="40" t="n">
        <v>3019</v>
      </c>
      <c r="F10" s="40" t="n">
        <v>1814</v>
      </c>
      <c r="G10" s="40" t="n">
        <v>32605</v>
      </c>
      <c r="H10" s="40" t="n">
        <v>16607</v>
      </c>
      <c r="I10" s="41" t="inlineStr">
        <is>
          <t>Ingen forklaring tilgængelig.</t>
        </is>
      </c>
    </row>
    <row r="11" ht="30" customHeight="1">
      <c r="A11" s="36" t="inlineStr">
        <is>
          <t>Øvrige (ukendt)</t>
        </is>
      </c>
      <c r="B11" s="36" t="inlineStr">
        <is>
          <t>fsa:RaisingOfLongtermDebt</t>
        </is>
      </c>
      <c r="C11" s="36" t="inlineStr">
        <is>
          <t>fsa:RaisingOfLongtermDebt</t>
        </is>
      </c>
      <c r="D11" s="37" t="n">
        <v>0</v>
      </c>
      <c r="E11" s="37" t="n"/>
      <c r="F11" s="37" t="n"/>
      <c r="G11" s="37" t="n"/>
      <c r="H11" s="37" t="n"/>
      <c r="I11" s="38" t="inlineStr">
        <is>
          <t>Ingen forklaring tilgængelig.</t>
        </is>
      </c>
    </row>
    <row r="12" ht="30" customHeight="1">
      <c r="A12" s="39" t="inlineStr">
        <is>
          <t>Øvrige (ukendt)</t>
        </is>
      </c>
      <c r="B12" s="39" t="inlineStr">
        <is>
          <t>fsa:ReductionOfLeaseCommitments</t>
        </is>
      </c>
      <c r="C12" s="39" t="inlineStr">
        <is>
          <t>fsa:ReductionOfLeaseCommitments</t>
        </is>
      </c>
      <c r="D12" s="40" t="n"/>
      <c r="E12" s="40" t="n"/>
      <c r="F12" s="40" t="n"/>
      <c r="G12" s="40" t="n">
        <v>-7826</v>
      </c>
      <c r="H12" s="40" t="n">
        <v>-7539</v>
      </c>
      <c r="I12" s="41" t="inlineStr">
        <is>
          <t>Ingen forklaring tilgængelig.</t>
        </is>
      </c>
    </row>
    <row r="13" ht="30" customHeight="1">
      <c r="A13" s="36" t="inlineStr">
        <is>
          <t>Øvrige (ukendt)</t>
        </is>
      </c>
      <c r="B13" s="36" t="inlineStr">
        <is>
          <t>fsa:RestOfOtherReceivables</t>
        </is>
      </c>
      <c r="C13" s="36" t="inlineStr">
        <is>
          <t>fsa:RestOfOtherReceivables</t>
        </is>
      </c>
      <c r="D13" s="37" t="n"/>
      <c r="E13" s="37" t="n"/>
      <c r="F13" s="37" t="n">
        <v>43079</v>
      </c>
      <c r="G13" s="37" t="n"/>
      <c r="H13" s="37" t="n"/>
      <c r="I13" s="38" t="inlineStr">
        <is>
          <t>Ingen forklaring tilgængelig.</t>
        </is>
      </c>
    </row>
    <row r="14" ht="30" customHeight="1">
      <c r="A14" s="39" t="inlineStr">
        <is>
          <t>Øvrige (ukendt)</t>
        </is>
      </c>
      <c r="B14" s="39" t="inlineStr">
        <is>
          <t>fsa:SaleOfTreasuryShares</t>
        </is>
      </c>
      <c r="C14" s="39" t="inlineStr">
        <is>
          <t>fsa:SaleOfTreasuryShares</t>
        </is>
      </c>
      <c r="D14" s="40" t="n">
        <v>-9829</v>
      </c>
      <c r="E14" s="40" t="n">
        <v>-8226</v>
      </c>
      <c r="F14" s="40" t="n">
        <v>-8391</v>
      </c>
      <c r="G14" s="40" t="n"/>
      <c r="H14" s="40" t="n"/>
      <c r="I14" s="41" t="inlineStr">
        <is>
          <t>Ingen forklaring tilgængelig.</t>
        </is>
      </c>
    </row>
    <row r="15" ht="30" customHeight="1">
      <c r="A15" s="36" t="inlineStr">
        <is>
          <t>Øvrige (ukendt)</t>
        </is>
      </c>
      <c r="B15" s="36" t="inlineStr">
        <is>
          <t>fsa:Ships</t>
        </is>
      </c>
      <c r="C15" s="36" t="inlineStr">
        <is>
          <t>fsa:Ships</t>
        </is>
      </c>
      <c r="D15" s="37" t="n">
        <v>16821</v>
      </c>
      <c r="E15" s="37" t="n">
        <v>10666</v>
      </c>
      <c r="F15" s="37" t="n">
        <v>16991</v>
      </c>
      <c r="G15" s="37" t="n">
        <v>905</v>
      </c>
      <c r="H15" s="37" t="n">
        <v>1189</v>
      </c>
      <c r="I15" s="38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2026-10-02T21:58:28Z</dcterms:created>
  <dcterms:modified xmlns:dcterms="http://purl.org/dc/terms/" xmlns:xsi="http://www.w3.org/2001/XMLSchema-instance" xsi:type="dcterms:W3CDTF">2026-10-02T21:58:28Z</dcterms:modified>
</cp:coreProperties>
</file>