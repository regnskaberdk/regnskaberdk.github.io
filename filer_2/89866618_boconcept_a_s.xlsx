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9866618" sheetId="1" state="visible" r:id="rId1"/>
    <sheet xmlns:r="http://schemas.openxmlformats.org/officeDocument/2006/relationships" name="res_raw_89866618" sheetId="2" state="visible" r:id="rId2"/>
    <sheet xmlns:r="http://schemas.openxmlformats.org/officeDocument/2006/relationships" name="balance_raw_89866618" sheetId="3" state="visible" r:id="rId3"/>
    <sheet xmlns:r="http://schemas.openxmlformats.org/officeDocument/2006/relationships" name="pengestrom_raw_8986661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BoConcept A/S (CVR 89866618) — Regnskabsanalyse – Resultatopgørelse &amp; Balance (t.kr.) · Klasse C-stor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(2022=100)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s="3" t="n">
        <v>2026</v>
      </c>
      <c r="G3" t="inlineStr"/>
      <c r="H3" s="3" t="n">
        <v>2022</v>
      </c>
      <c r="I3" s="3" t="n">
        <v>2023</v>
      </c>
      <c r="J3" s="3" t="n">
        <v>2024</v>
      </c>
      <c r="K3" s="3" t="n">
        <v>2025</v>
      </c>
      <c r="L3" s="3" t="n">
        <v>2026</v>
      </c>
    </row>
    <row r="4" ht="16" customHeight="1">
      <c r="A4" s="4" t="inlineStr">
        <is>
          <t>Nettoomsætning</t>
        </is>
      </c>
      <c r="B4" s="5">
        <f>'res_raw_89866618'!$B$2</f>
        <v/>
      </c>
      <c r="C4" s="5">
        <f>'res_raw_89866618'!$C$2</f>
        <v/>
      </c>
      <c r="D4" s="5">
        <f>'res_raw_89866618'!$D$2</f>
        <v/>
      </c>
      <c r="E4" s="5">
        <f>'res_raw_89866618'!$E$2</f>
        <v/>
      </c>
      <c r="F4" s="5">
        <f>'res_raw_89866618'!$F$2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'res_raw_89866618'!$B$3</f>
        <v/>
      </c>
      <c r="C5" s="8">
        <f>'res_raw_89866618'!$C$3</f>
        <v/>
      </c>
      <c r="D5" s="8">
        <f>'res_raw_89866618'!$D$3</f>
        <v/>
      </c>
      <c r="E5" s="8">
        <f>'res_raw_89866618'!$E$3</f>
        <v/>
      </c>
      <c r="F5" s="8">
        <f>'res_raw_89866618'!$F$3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'res_raw_89866618'!$B$4</f>
        <v/>
      </c>
      <c r="C6" s="5">
        <f>'res_raw_89866618'!$C$4</f>
        <v/>
      </c>
      <c r="D6" s="5">
        <f>'res_raw_89866618'!$D$4</f>
        <v/>
      </c>
      <c r="E6" s="5">
        <f>'res_raw_89866618'!$E$4</f>
        <v/>
      </c>
      <c r="F6" s="5">
        <f>'res_raw_89866618'!$F$4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'res_raw_89866618'!$B$5</f>
        <v/>
      </c>
      <c r="C7" s="8">
        <f>'res_raw_89866618'!$C$5</f>
        <v/>
      </c>
      <c r="D7" s="8">
        <f>'res_raw_89866618'!$D$5</f>
        <v/>
      </c>
      <c r="E7" s="8">
        <f>'res_raw_89866618'!$E$5</f>
        <v/>
      </c>
      <c r="F7" s="8">
        <f>'res_raw_89866618'!$F$5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'res_raw_89866618'!$B$6</f>
        <v/>
      </c>
      <c r="C8" s="11">
        <f>'res_raw_89866618'!$C$6</f>
        <v/>
      </c>
      <c r="D8" s="11">
        <f>'res_raw_89866618'!$D$6</f>
        <v/>
      </c>
      <c r="E8" s="11">
        <f>'res_raw_89866618'!$E$6</f>
        <v/>
      </c>
      <c r="F8" s="11">
        <f>'res_raw_89866618'!$F$6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'res_raw_89866618'!$B$7</f>
        <v/>
      </c>
      <c r="C9" s="8">
        <f>'res_raw_89866618'!$C$7</f>
        <v/>
      </c>
      <c r="D9" s="8">
        <f>'res_raw_89866618'!$D$7</f>
        <v/>
      </c>
      <c r="E9" s="8">
        <f>'res_raw_89866618'!$E$7</f>
        <v/>
      </c>
      <c r="F9" s="8">
        <f>'res_raw_89866618'!$F$7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'res_raw_89866618'!$B$9</f>
        <v/>
      </c>
      <c r="C11" s="8">
        <f>'res_raw_89866618'!$C$9</f>
        <v/>
      </c>
      <c r="D11" s="8">
        <f>'res_raw_89866618'!$D$9</f>
        <v/>
      </c>
      <c r="E11" s="8">
        <f>'res_raw_89866618'!$E$9</f>
        <v/>
      </c>
      <c r="F11" s="8">
        <f>'res_raw_89866618'!$F$9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'res_raw_89866618'!$B$10</f>
        <v/>
      </c>
      <c r="C12" s="5">
        <f>'res_raw_89866618'!$C$10</f>
        <v/>
      </c>
      <c r="D12" s="5">
        <f>'res_raw_89866618'!$D$10</f>
        <v/>
      </c>
      <c r="E12" s="5">
        <f>'res_raw_89866618'!$E$10</f>
        <v/>
      </c>
      <c r="F12" s="5">
        <f>'res_raw_89866618'!$F$10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'res_raw_89866618'!$B$11</f>
        <v/>
      </c>
      <c r="C13" s="11">
        <f>'res_raw_89866618'!$C$11</f>
        <v/>
      </c>
      <c r="D13" s="11">
        <f>'res_raw_89866618'!$D$11</f>
        <v/>
      </c>
      <c r="E13" s="11">
        <f>'res_raw_89866618'!$E$11</f>
        <v/>
      </c>
      <c r="F13" s="11">
        <f>'res_raw_89866618'!$F$11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'res_raw_89866618'!$B$12</f>
        <v/>
      </c>
      <c r="C14" s="5">
        <f>'res_raw_89866618'!$C$12</f>
        <v/>
      </c>
      <c r="D14" s="5">
        <f>'res_raw_89866618'!$D$12</f>
        <v/>
      </c>
      <c r="E14" s="5">
        <f>'res_raw_89866618'!$E$12</f>
        <v/>
      </c>
      <c r="F14" s="5">
        <f>'res_raw_89866618'!$F$12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'res_raw_89866618'!$B$13</f>
        <v/>
      </c>
      <c r="C15" s="8">
        <f>'res_raw_89866618'!$C$13</f>
        <v/>
      </c>
      <c r="D15" s="8">
        <f>'res_raw_89866618'!$D$13</f>
        <v/>
      </c>
      <c r="E15" s="8">
        <f>'res_raw_89866618'!$E$13</f>
        <v/>
      </c>
      <c r="F15" s="8">
        <f>'res_raw_89866618'!$F$13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'res_raw_89866618'!$B$14</f>
        <v/>
      </c>
      <c r="C16" s="5">
        <f>'res_raw_89866618'!$C$14</f>
        <v/>
      </c>
      <c r="D16" s="5">
        <f>'res_raw_89866618'!$D$14</f>
        <v/>
      </c>
      <c r="E16" s="5">
        <f>'res_raw_89866618'!$E$14</f>
        <v/>
      </c>
      <c r="F16" s="5">
        <f>'res_raw_89866618'!$F$14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'res_raw_89866618'!$B$15</f>
        <v/>
      </c>
      <c r="C17" s="11">
        <f>'res_raw_89866618'!$C$15</f>
        <v/>
      </c>
      <c r="D17" s="11">
        <f>'res_raw_89866618'!$D$15</f>
        <v/>
      </c>
      <c r="E17" s="11">
        <f>'res_raw_89866618'!$E$15</f>
        <v/>
      </c>
      <c r="F17" s="11">
        <f>'res_raw_89866618'!$F$15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'res_raw_89866618'!$B$16</f>
        <v/>
      </c>
      <c r="C18" s="11">
        <f>'res_raw_89866618'!$C$16</f>
        <v/>
      </c>
      <c r="D18" s="11">
        <f>'res_raw_89866618'!$D$16</f>
        <v/>
      </c>
      <c r="E18" s="11">
        <f>'res_raw_89866618'!$E$16</f>
        <v/>
      </c>
      <c r="F18" s="11">
        <f>'res_raw_89866618'!$F$16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'res_raw_89866618'!$B$17</f>
        <v/>
      </c>
      <c r="C19" s="8">
        <f>'res_raw_89866618'!$C$17</f>
        <v/>
      </c>
      <c r="D19" s="8">
        <f>'res_raw_89866618'!$D$17</f>
        <v/>
      </c>
      <c r="E19" s="8">
        <f>'res_raw_89866618'!$E$17</f>
        <v/>
      </c>
      <c r="F19" s="8">
        <f>'res_raw_89866618'!$F$17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'res_raw_89866618'!$B$18</f>
        <v/>
      </c>
      <c r="C20" s="11">
        <f>'res_raw_89866618'!$C$18</f>
        <v/>
      </c>
      <c r="D20" s="11">
        <f>'res_raw_89866618'!$D$18</f>
        <v/>
      </c>
      <c r="E20" s="11">
        <f>'res_raw_89866618'!$E$18</f>
        <v/>
      </c>
      <c r="F20" s="11">
        <f>'res_raw_89866618'!$F$18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s="3" t="n">
        <v>2026</v>
      </c>
      <c r="G22" t="inlineStr"/>
      <c r="H22" s="3" t="n">
        <v>2022</v>
      </c>
      <c r="I22" s="3" t="n">
        <v>2023</v>
      </c>
      <c r="J22" s="3" t="n">
        <v>2024</v>
      </c>
      <c r="K22" s="3" t="n">
        <v>2025</v>
      </c>
      <c r="L22" s="3" t="n">
        <v>2026</v>
      </c>
    </row>
    <row r="23" ht="16" customHeight="1">
      <c r="A23" s="7" t="inlineStr">
        <is>
          <t>Udviklingsprojekter</t>
        </is>
      </c>
      <c r="B23" s="8">
        <f>'balance_raw_89866618'!$B$2</f>
        <v/>
      </c>
      <c r="C23" s="8">
        <f>'balance_raw_89866618'!$C$2</f>
        <v/>
      </c>
      <c r="D23" s="8">
        <f>'balance_raw_89866618'!$D$2</f>
        <v/>
      </c>
      <c r="E23" s="8">
        <f>'balance_raw_89866618'!$E$2</f>
        <v/>
      </c>
      <c r="F23" s="8">
        <f>'balance_raw_89866618'!$F$2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'balance_raw_89866618'!$B$3</f>
        <v/>
      </c>
      <c r="C24" s="5">
        <f>'balance_raw_89866618'!$C$3</f>
        <v/>
      </c>
      <c r="D24" s="5">
        <f>'balance_raw_89866618'!$D$3</f>
        <v/>
      </c>
      <c r="E24" s="5">
        <f>'balance_raw_89866618'!$E$3</f>
        <v/>
      </c>
      <c r="F24" s="5">
        <f>'balance_raw_89866618'!$F$3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'balance_raw_89866618'!$B$4</f>
        <v/>
      </c>
      <c r="C25" s="8">
        <f>'balance_raw_89866618'!$C$4</f>
        <v/>
      </c>
      <c r="D25" s="8">
        <f>'balance_raw_89866618'!$D$4</f>
        <v/>
      </c>
      <c r="E25" s="8">
        <f>'balance_raw_89866618'!$E$4</f>
        <v/>
      </c>
      <c r="F25" s="8">
        <f>'balance_raw_89866618'!$F$4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'balance_raw_89866618'!$B$5</f>
        <v/>
      </c>
      <c r="C26" s="11">
        <f>'balance_raw_89866618'!$C$5</f>
        <v/>
      </c>
      <c r="D26" s="11">
        <f>'balance_raw_89866618'!$D$5</f>
        <v/>
      </c>
      <c r="E26" s="11">
        <f>'balance_raw_89866618'!$E$5</f>
        <v/>
      </c>
      <c r="F26" s="11">
        <f>'balance_raw_89866618'!$F$5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'balance_raw_89866618'!$B$6</f>
        <v/>
      </c>
      <c r="C27" s="8">
        <f>'balance_raw_89866618'!$C$6</f>
        <v/>
      </c>
      <c r="D27" s="8">
        <f>'balance_raw_89866618'!$D$6</f>
        <v/>
      </c>
      <c r="E27" s="8">
        <f>'balance_raw_89866618'!$E$6</f>
        <v/>
      </c>
      <c r="F27" s="8">
        <f>'balance_raw_89866618'!$F$6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'balance_raw_89866618'!$B$7</f>
        <v/>
      </c>
      <c r="C28" s="5">
        <f>'balance_raw_89866618'!$C$7</f>
        <v/>
      </c>
      <c r="D28" s="5">
        <f>'balance_raw_89866618'!$D$7</f>
        <v/>
      </c>
      <c r="E28" s="5">
        <f>'balance_raw_89866618'!$E$7</f>
        <v/>
      </c>
      <c r="F28" s="5">
        <f>'balance_raw_89866618'!$F$7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'balance_raw_89866618'!$B$8</f>
        <v/>
      </c>
      <c r="C29" s="8">
        <f>'balance_raw_89866618'!$C$8</f>
        <v/>
      </c>
      <c r="D29" s="8">
        <f>'balance_raw_89866618'!$D$8</f>
        <v/>
      </c>
      <c r="E29" s="8">
        <f>'balance_raw_89866618'!$E$8</f>
        <v/>
      </c>
      <c r="F29" s="8">
        <f>'balance_raw_89866618'!$F$8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'balance_raw_89866618'!$B$9</f>
        <v/>
      </c>
      <c r="C30" s="5">
        <f>'balance_raw_89866618'!$C$9</f>
        <v/>
      </c>
      <c r="D30" s="5">
        <f>'balance_raw_89866618'!$D$9</f>
        <v/>
      </c>
      <c r="E30" s="5">
        <f>'balance_raw_89866618'!$E$9</f>
        <v/>
      </c>
      <c r="F30" s="5">
        <f>'balance_raw_89866618'!$F$9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'balance_raw_89866618'!$B$10</f>
        <v/>
      </c>
      <c r="C31" s="8">
        <f>'balance_raw_89866618'!$C$10</f>
        <v/>
      </c>
      <c r="D31" s="8">
        <f>'balance_raw_89866618'!$D$10</f>
        <v/>
      </c>
      <c r="E31" s="8">
        <f>'balance_raw_89866618'!$E$10</f>
        <v/>
      </c>
      <c r="F31" s="8">
        <f>'balance_raw_89866618'!$F$10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'balance_raw_89866618'!$B$11</f>
        <v/>
      </c>
      <c r="C32" s="11">
        <f>'balance_raw_89866618'!$C$11</f>
        <v/>
      </c>
      <c r="D32" s="11">
        <f>'balance_raw_89866618'!$D$11</f>
        <v/>
      </c>
      <c r="E32" s="11">
        <f>'balance_raw_89866618'!$E$11</f>
        <v/>
      </c>
      <c r="F32" s="11">
        <f>'balance_raw_89866618'!$F$11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'balance_raw_89866618'!$B$12</f>
        <v/>
      </c>
      <c r="C33" s="8">
        <f>'balance_raw_89866618'!$C$12</f>
        <v/>
      </c>
      <c r="D33" s="8">
        <f>'balance_raw_89866618'!$D$12</f>
        <v/>
      </c>
      <c r="E33" s="8">
        <f>'balance_raw_89866618'!$E$12</f>
        <v/>
      </c>
      <c r="F33" s="8">
        <f>'balance_raw_89866618'!$F$12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'balance_raw_89866618'!$B$13</f>
        <v/>
      </c>
      <c r="C34" s="5">
        <f>'balance_raw_89866618'!$C$13</f>
        <v/>
      </c>
      <c r="D34" s="5">
        <f>'balance_raw_89866618'!$D$13</f>
        <v/>
      </c>
      <c r="E34" s="5">
        <f>'balance_raw_89866618'!$E$13</f>
        <v/>
      </c>
      <c r="F34" s="5">
        <f>'balance_raw_89866618'!$F$13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'balance_raw_89866618'!$B$14</f>
        <v/>
      </c>
      <c r="C35" s="11">
        <f>'balance_raw_89866618'!$C$14</f>
        <v/>
      </c>
      <c r="D35" s="11">
        <f>'balance_raw_89866618'!$D$14</f>
        <v/>
      </c>
      <c r="E35" s="11">
        <f>'balance_raw_89866618'!$E$14</f>
        <v/>
      </c>
      <c r="F35" s="11">
        <f>'balance_raw_89866618'!$F$14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'balance_raw_89866618'!$B$15</f>
        <v/>
      </c>
      <c r="C36" s="11">
        <f>'balance_raw_89866618'!$C$15</f>
        <v/>
      </c>
      <c r="D36" s="11">
        <f>'balance_raw_89866618'!$D$15</f>
        <v/>
      </c>
      <c r="E36" s="11">
        <f>'balance_raw_89866618'!$E$15</f>
        <v/>
      </c>
      <c r="F36" s="11">
        <f>'balance_raw_89866618'!$F$15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'balance_raw_89866618'!$B$16</f>
        <v/>
      </c>
      <c r="C37" s="8">
        <f>'balance_raw_89866618'!$C$16</f>
        <v/>
      </c>
      <c r="D37" s="8">
        <f>'balance_raw_89866618'!$D$16</f>
        <v/>
      </c>
      <c r="E37" s="8">
        <f>'balance_raw_89866618'!$E$16</f>
        <v/>
      </c>
      <c r="F37" s="8">
        <f>'balance_raw_89866618'!$F$16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'balance_raw_89866618'!$B$17</f>
        <v/>
      </c>
      <c r="C38" s="5">
        <f>'balance_raw_89866618'!$C$17</f>
        <v/>
      </c>
      <c r="D38" s="5">
        <f>'balance_raw_89866618'!$D$17</f>
        <v/>
      </c>
      <c r="E38" s="5">
        <f>'balance_raw_89866618'!$E$17</f>
        <v/>
      </c>
      <c r="F38" s="5">
        <f>'balance_raw_89866618'!$F$17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'balance_raw_89866618'!$B$18</f>
        <v/>
      </c>
      <c r="C39" s="8">
        <f>'balance_raw_89866618'!$C$18</f>
        <v/>
      </c>
      <c r="D39" s="8">
        <f>'balance_raw_89866618'!$D$18</f>
        <v/>
      </c>
      <c r="E39" s="8">
        <f>'balance_raw_89866618'!$E$18</f>
        <v/>
      </c>
      <c r="F39" s="8">
        <f>'balance_raw_89866618'!$F$18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'balance_raw_89866618'!$B$19</f>
        <v/>
      </c>
      <c r="C40" s="11">
        <f>'balance_raw_89866618'!$C$19</f>
        <v/>
      </c>
      <c r="D40" s="11">
        <f>'balance_raw_89866618'!$D$19</f>
        <v/>
      </c>
      <c r="E40" s="11">
        <f>'balance_raw_89866618'!$E$19</f>
        <v/>
      </c>
      <c r="F40" s="11">
        <f>'balance_raw_89866618'!$F$19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'balance_raw_89866618'!$B$20</f>
        <v/>
      </c>
      <c r="C41" s="8">
        <f>'balance_raw_89866618'!$C$20</f>
        <v/>
      </c>
      <c r="D41" s="8">
        <f>'balance_raw_89866618'!$D$20</f>
        <v/>
      </c>
      <c r="E41" s="8">
        <f>'balance_raw_89866618'!$E$20</f>
        <v/>
      </c>
      <c r="F41" s="8">
        <f>'balance_raw_89866618'!$F$20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'balance_raw_89866618'!$B$21</f>
        <v/>
      </c>
      <c r="C42" s="5">
        <f>'balance_raw_89866618'!$C$21</f>
        <v/>
      </c>
      <c r="D42" s="5">
        <f>'balance_raw_89866618'!$D$21</f>
        <v/>
      </c>
      <c r="E42" s="5">
        <f>'balance_raw_89866618'!$E$21</f>
        <v/>
      </c>
      <c r="F42" s="5">
        <f>'balance_raw_89866618'!$F$21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'balance_raw_89866618'!$B$22</f>
        <v/>
      </c>
      <c r="C43" s="8">
        <f>'balance_raw_89866618'!$C$22</f>
        <v/>
      </c>
      <c r="D43" s="8">
        <f>'balance_raw_89866618'!$D$22</f>
        <v/>
      </c>
      <c r="E43" s="8">
        <f>'balance_raw_89866618'!$E$22</f>
        <v/>
      </c>
      <c r="F43" s="8">
        <f>'balance_raw_89866618'!$F$22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'balance_raw_89866618'!$B$23</f>
        <v/>
      </c>
      <c r="C44" s="5">
        <f>'balance_raw_89866618'!$C$23</f>
        <v/>
      </c>
      <c r="D44" s="5">
        <f>'balance_raw_89866618'!$D$23</f>
        <v/>
      </c>
      <c r="E44" s="5">
        <f>'balance_raw_89866618'!$E$23</f>
        <v/>
      </c>
      <c r="F44" s="5">
        <f>'balance_raw_89866618'!$F$23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'balance_raw_89866618'!$B$24</f>
        <v/>
      </c>
      <c r="C45" s="8">
        <f>'balance_raw_89866618'!$C$24</f>
        <v/>
      </c>
      <c r="D45" s="8">
        <f>'balance_raw_89866618'!$D$24</f>
        <v/>
      </c>
      <c r="E45" s="8">
        <f>'balance_raw_89866618'!$E$24</f>
        <v/>
      </c>
      <c r="F45" s="8">
        <f>'balance_raw_89866618'!$F$24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'balance_raw_89866618'!$B$25</f>
        <v/>
      </c>
      <c r="C46" s="5">
        <f>'balance_raw_89866618'!$C$25</f>
        <v/>
      </c>
      <c r="D46" s="5">
        <f>'balance_raw_89866618'!$D$25</f>
        <v/>
      </c>
      <c r="E46" s="5">
        <f>'balance_raw_89866618'!$E$25</f>
        <v/>
      </c>
      <c r="F46" s="5">
        <f>'balance_raw_89866618'!$F$25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'balance_raw_89866618'!$B$26</f>
        <v/>
      </c>
      <c r="C47" s="8">
        <f>'balance_raw_89866618'!$C$26</f>
        <v/>
      </c>
      <c r="D47" s="8">
        <f>'balance_raw_89866618'!$D$26</f>
        <v/>
      </c>
      <c r="E47" s="8">
        <f>'balance_raw_89866618'!$E$26</f>
        <v/>
      </c>
      <c r="F47" s="8">
        <f>'balance_raw_89866618'!$F$26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'balance_raw_89866618'!$B$27</f>
        <v/>
      </c>
      <c r="C48" s="11">
        <f>'balance_raw_89866618'!$C$27</f>
        <v/>
      </c>
      <c r="D48" s="11">
        <f>'balance_raw_89866618'!$D$27</f>
        <v/>
      </c>
      <c r="E48" s="11">
        <f>'balance_raw_89866618'!$E$27</f>
        <v/>
      </c>
      <c r="F48" s="11">
        <f>'balance_raw_89866618'!$F$27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'balance_raw_89866618'!$B$28</f>
        <v/>
      </c>
      <c r="C49" s="8">
        <f>'balance_raw_89866618'!$C$28</f>
        <v/>
      </c>
      <c r="D49" s="8">
        <f>'balance_raw_89866618'!$D$28</f>
        <v/>
      </c>
      <c r="E49" s="8">
        <f>'balance_raw_89866618'!$E$28</f>
        <v/>
      </c>
      <c r="F49" s="8">
        <f>'balance_raw_89866618'!$F$28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'balance_raw_89866618'!$B$29</f>
        <v/>
      </c>
      <c r="C50" s="5">
        <f>'balance_raw_89866618'!$C$29</f>
        <v/>
      </c>
      <c r="D50" s="5">
        <f>'balance_raw_89866618'!$D$29</f>
        <v/>
      </c>
      <c r="E50" s="5">
        <f>'balance_raw_89866618'!$E$29</f>
        <v/>
      </c>
      <c r="F50" s="5">
        <f>'balance_raw_89866618'!$F$29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'balance_raw_89866618'!$B$30</f>
        <v/>
      </c>
      <c r="C51" s="11">
        <f>'balance_raw_89866618'!$C$30</f>
        <v/>
      </c>
      <c r="D51" s="11">
        <f>'balance_raw_89866618'!$D$30</f>
        <v/>
      </c>
      <c r="E51" s="11">
        <f>'balance_raw_89866618'!$E$30</f>
        <v/>
      </c>
      <c r="F51" s="11">
        <f>'balance_raw_89866618'!$F$30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'balance_raw_89866618'!$B$31</f>
        <v/>
      </c>
      <c r="C52" s="11">
        <f>'balance_raw_89866618'!$C$31</f>
        <v/>
      </c>
      <c r="D52" s="11">
        <f>'balance_raw_89866618'!$D$31</f>
        <v/>
      </c>
      <c r="E52" s="11">
        <f>'balance_raw_89866618'!$E$31</f>
        <v/>
      </c>
      <c r="F52" s="11">
        <f>'balance_raw_89866618'!$F$31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2022</v>
      </c>
      <c r="C54" s="3" t="n">
        <v>2023</v>
      </c>
      <c r="D54" s="3" t="n">
        <v>2024</v>
      </c>
      <c r="E54" s="3" t="n">
        <v>2025</v>
      </c>
      <c r="F54" s="3" t="n">
        <v>2026</v>
      </c>
      <c r="G54" t="inlineStr"/>
      <c r="H54" s="3" t="n">
        <v>2022</v>
      </c>
      <c r="I54" s="3" t="n">
        <v>2023</v>
      </c>
      <c r="J54" s="3" t="n">
        <v>2024</v>
      </c>
      <c r="K54" s="3" t="n">
        <v>2025</v>
      </c>
      <c r="L54" s="3" t="n">
        <v>2026</v>
      </c>
    </row>
    <row r="55" ht="16" customHeight="1">
      <c r="A55" s="7" t="inlineStr">
        <is>
          <t>Selskabskapital</t>
        </is>
      </c>
      <c r="B55" s="8">
        <f>'balance_raw_89866618'!$B$32</f>
        <v/>
      </c>
      <c r="C55" s="8">
        <f>'balance_raw_89866618'!$C$32</f>
        <v/>
      </c>
      <c r="D55" s="8">
        <f>'balance_raw_89866618'!$D$32</f>
        <v/>
      </c>
      <c r="E55" s="8">
        <f>'balance_raw_89866618'!$E$32</f>
        <v/>
      </c>
      <c r="F55" s="8">
        <f>'balance_raw_89866618'!$F$32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'balance_raw_89866618'!$B$33</f>
        <v/>
      </c>
      <c r="C56" s="5">
        <f>'balance_raw_89866618'!$C$33</f>
        <v/>
      </c>
      <c r="D56" s="5">
        <f>'balance_raw_89866618'!$D$33</f>
        <v/>
      </c>
      <c r="E56" s="5">
        <f>'balance_raw_89866618'!$E$33</f>
        <v/>
      </c>
      <c r="F56" s="5">
        <f>'balance_raw_89866618'!$F$33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'balance_raw_89866618'!$B$34</f>
        <v/>
      </c>
      <c r="C57" s="8">
        <f>'balance_raw_89866618'!$C$34</f>
        <v/>
      </c>
      <c r="D57" s="8">
        <f>'balance_raw_89866618'!$D$34</f>
        <v/>
      </c>
      <c r="E57" s="8">
        <f>'balance_raw_89866618'!$E$34</f>
        <v/>
      </c>
      <c r="F57" s="8">
        <f>'balance_raw_89866618'!$F$34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'balance_raw_89866618'!$B$35</f>
        <v/>
      </c>
      <c r="C58" s="5">
        <f>'balance_raw_89866618'!$C$35</f>
        <v/>
      </c>
      <c r="D58" s="5">
        <f>'balance_raw_89866618'!$D$35</f>
        <v/>
      </c>
      <c r="E58" s="5">
        <f>'balance_raw_89866618'!$E$35</f>
        <v/>
      </c>
      <c r="F58" s="5">
        <f>'balance_raw_89866618'!$F$35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'balance_raw_89866618'!$B$36</f>
        <v/>
      </c>
      <c r="C59" s="8">
        <f>'balance_raw_89866618'!$C$36</f>
        <v/>
      </c>
      <c r="D59" s="8">
        <f>'balance_raw_89866618'!$D$36</f>
        <v/>
      </c>
      <c r="E59" s="8">
        <f>'balance_raw_89866618'!$E$36</f>
        <v/>
      </c>
      <c r="F59" s="8">
        <f>'balance_raw_89866618'!$F$36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'balance_raw_89866618'!$B$37</f>
        <v/>
      </c>
      <c r="C60" s="5">
        <f>'balance_raw_89866618'!$C$37</f>
        <v/>
      </c>
      <c r="D60" s="5">
        <f>'balance_raw_89866618'!$D$37</f>
        <v/>
      </c>
      <c r="E60" s="5">
        <f>'balance_raw_89866618'!$E$37</f>
        <v/>
      </c>
      <c r="F60" s="5">
        <f>'balance_raw_89866618'!$F$37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'balance_raw_89866618'!$B$38</f>
        <v/>
      </c>
      <c r="C61" s="11">
        <f>'balance_raw_89866618'!$C$38</f>
        <v/>
      </c>
      <c r="D61" s="11">
        <f>'balance_raw_89866618'!$D$38</f>
        <v/>
      </c>
      <c r="E61" s="11">
        <f>'balance_raw_89866618'!$E$38</f>
        <v/>
      </c>
      <c r="F61" s="11">
        <f>'balance_raw_89866618'!$F$38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'balance_raw_89866618'!$B$39</f>
        <v/>
      </c>
      <c r="C62" s="5">
        <f>'balance_raw_89866618'!$C$39</f>
        <v/>
      </c>
      <c r="D62" s="5">
        <f>'balance_raw_89866618'!$D$39</f>
        <v/>
      </c>
      <c r="E62" s="5">
        <f>'balance_raw_89866618'!$E$39</f>
        <v/>
      </c>
      <c r="F62" s="5">
        <f>'balance_raw_89866618'!$F$39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'balance_raw_89866618'!$B$40</f>
        <v/>
      </c>
      <c r="C63" s="11">
        <f>'balance_raw_89866618'!$C$40</f>
        <v/>
      </c>
      <c r="D63" s="11">
        <f>'balance_raw_89866618'!$D$40</f>
        <v/>
      </c>
      <c r="E63" s="11">
        <f>'balance_raw_89866618'!$E$40</f>
        <v/>
      </c>
      <c r="F63" s="11">
        <f>'balance_raw_89866618'!$F$40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'balance_raw_89866618'!$B$41</f>
        <v/>
      </c>
      <c r="C64" s="5">
        <f>'balance_raw_89866618'!$C$41</f>
        <v/>
      </c>
      <c r="D64" s="5">
        <f>'balance_raw_89866618'!$D$41</f>
        <v/>
      </c>
      <c r="E64" s="5">
        <f>'balance_raw_89866618'!$E$41</f>
        <v/>
      </c>
      <c r="F64" s="5">
        <f>'balance_raw_89866618'!$F$41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'balance_raw_89866618'!$B$42</f>
        <v/>
      </c>
      <c r="C65" s="8">
        <f>'balance_raw_89866618'!$C$42</f>
        <v/>
      </c>
      <c r="D65" s="8">
        <f>'balance_raw_89866618'!$D$42</f>
        <v/>
      </c>
      <c r="E65" s="8">
        <f>'balance_raw_89866618'!$E$42</f>
        <v/>
      </c>
      <c r="F65" s="8">
        <f>'balance_raw_89866618'!$F$42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'balance_raw_89866618'!$B$43</f>
        <v/>
      </c>
      <c r="C66" s="5">
        <f>'balance_raw_89866618'!$C$43</f>
        <v/>
      </c>
      <c r="D66" s="5">
        <f>'balance_raw_89866618'!$D$43</f>
        <v/>
      </c>
      <c r="E66" s="5">
        <f>'balance_raw_89866618'!$E$43</f>
        <v/>
      </c>
      <c r="F66" s="5">
        <f>'balance_raw_89866618'!$F$43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'balance_raw_89866618'!$B$44</f>
        <v/>
      </c>
      <c r="C67" s="8">
        <f>'balance_raw_89866618'!$C$44</f>
        <v/>
      </c>
      <c r="D67" s="8">
        <f>'balance_raw_89866618'!$D$44</f>
        <v/>
      </c>
      <c r="E67" s="8">
        <f>'balance_raw_89866618'!$E$44</f>
        <v/>
      </c>
      <c r="F67" s="8">
        <f>'balance_raw_89866618'!$F$44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'balance_raw_89866618'!$B$45</f>
        <v/>
      </c>
      <c r="C68" s="11">
        <f>'balance_raw_89866618'!$C$45</f>
        <v/>
      </c>
      <c r="D68" s="11">
        <f>'balance_raw_89866618'!$D$45</f>
        <v/>
      </c>
      <c r="E68" s="11">
        <f>'balance_raw_89866618'!$E$45</f>
        <v/>
      </c>
      <c r="F68" s="11">
        <f>'balance_raw_89866618'!$F$45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'balance_raw_89866618'!$B$46</f>
        <v/>
      </c>
      <c r="C69" s="8">
        <f>'balance_raw_89866618'!$C$46</f>
        <v/>
      </c>
      <c r="D69" s="8">
        <f>'balance_raw_89866618'!$D$46</f>
        <v/>
      </c>
      <c r="E69" s="8">
        <f>'balance_raw_89866618'!$E$46</f>
        <v/>
      </c>
      <c r="F69" s="8">
        <f>'balance_raw_89866618'!$F$46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'balance_raw_89866618'!$B$47</f>
        <v/>
      </c>
      <c r="C70" s="5">
        <f>'balance_raw_89866618'!$C$47</f>
        <v/>
      </c>
      <c r="D70" s="5">
        <f>'balance_raw_89866618'!$D$47</f>
        <v/>
      </c>
      <c r="E70" s="5">
        <f>'balance_raw_89866618'!$E$47</f>
        <v/>
      </c>
      <c r="F70" s="5">
        <f>'balance_raw_89866618'!$F$47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'balance_raw_89866618'!$B$48</f>
        <v/>
      </c>
      <c r="C71" s="8">
        <f>'balance_raw_89866618'!$C$48</f>
        <v/>
      </c>
      <c r="D71" s="8">
        <f>'balance_raw_89866618'!$D$48</f>
        <v/>
      </c>
      <c r="E71" s="8">
        <f>'balance_raw_89866618'!$E$48</f>
        <v/>
      </c>
      <c r="F71" s="8">
        <f>'balance_raw_89866618'!$F$48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'balance_raw_89866618'!$B$49</f>
        <v/>
      </c>
      <c r="C72" s="5">
        <f>'balance_raw_89866618'!$C$49</f>
        <v/>
      </c>
      <c r="D72" s="5">
        <f>'balance_raw_89866618'!$D$49</f>
        <v/>
      </c>
      <c r="E72" s="5">
        <f>'balance_raw_89866618'!$E$49</f>
        <v/>
      </c>
      <c r="F72" s="5">
        <f>'balance_raw_89866618'!$F$49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'balance_raw_89866618'!$B$50</f>
        <v/>
      </c>
      <c r="C73" s="8">
        <f>'balance_raw_89866618'!$C$50</f>
        <v/>
      </c>
      <c r="D73" s="8">
        <f>'balance_raw_89866618'!$D$50</f>
        <v/>
      </c>
      <c r="E73" s="8">
        <f>'balance_raw_89866618'!$E$50</f>
        <v/>
      </c>
      <c r="F73" s="8">
        <f>'balance_raw_89866618'!$F$50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'balance_raw_89866618'!$B$51</f>
        <v/>
      </c>
      <c r="C74" s="5">
        <f>'balance_raw_89866618'!$C$51</f>
        <v/>
      </c>
      <c r="D74" s="5">
        <f>'balance_raw_89866618'!$D$51</f>
        <v/>
      </c>
      <c r="E74" s="5">
        <f>'balance_raw_89866618'!$E$51</f>
        <v/>
      </c>
      <c r="F74" s="5">
        <f>'balance_raw_89866618'!$F$51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'balance_raw_89866618'!$B$52</f>
        <v/>
      </c>
      <c r="C75" s="8">
        <f>'balance_raw_89866618'!$C$52</f>
        <v/>
      </c>
      <c r="D75" s="8">
        <f>'balance_raw_89866618'!$D$52</f>
        <v/>
      </c>
      <c r="E75" s="8">
        <f>'balance_raw_89866618'!$E$52</f>
        <v/>
      </c>
      <c r="F75" s="8">
        <f>'balance_raw_89866618'!$F$52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'balance_raw_89866618'!$B$53</f>
        <v/>
      </c>
      <c r="C76" s="5">
        <f>'balance_raw_89866618'!$C$53</f>
        <v/>
      </c>
      <c r="D76" s="5">
        <f>'balance_raw_89866618'!$D$53</f>
        <v/>
      </c>
      <c r="E76" s="5">
        <f>'balance_raw_89866618'!$E$53</f>
        <v/>
      </c>
      <c r="F76" s="5">
        <f>'balance_raw_89866618'!$F$53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'balance_raw_89866618'!$B$54</f>
        <v/>
      </c>
      <c r="C77" s="8">
        <f>'balance_raw_89866618'!$C$54</f>
        <v/>
      </c>
      <c r="D77" s="8">
        <f>'balance_raw_89866618'!$D$54</f>
        <v/>
      </c>
      <c r="E77" s="8">
        <f>'balance_raw_89866618'!$E$54</f>
        <v/>
      </c>
      <c r="F77" s="8">
        <f>'balance_raw_89866618'!$F$54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'balance_raw_89866618'!$B$55</f>
        <v/>
      </c>
      <c r="C78" s="5">
        <f>'balance_raw_89866618'!$C$55</f>
        <v/>
      </c>
      <c r="D78" s="5">
        <f>'balance_raw_89866618'!$D$55</f>
        <v/>
      </c>
      <c r="E78" s="5">
        <f>'balance_raw_89866618'!$E$55</f>
        <v/>
      </c>
      <c r="F78" s="5">
        <f>'balance_raw_89866618'!$F$55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'balance_raw_89866618'!$B$56</f>
        <v/>
      </c>
      <c r="C79" s="8">
        <f>'balance_raw_89866618'!$C$56</f>
        <v/>
      </c>
      <c r="D79" s="8">
        <f>'balance_raw_89866618'!$D$56</f>
        <v/>
      </c>
      <c r="E79" s="8">
        <f>'balance_raw_89866618'!$E$56</f>
        <v/>
      </c>
      <c r="F79" s="8">
        <f>'balance_raw_89866618'!$F$56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'balance_raw_89866618'!$B$57</f>
        <v/>
      </c>
      <c r="C80" s="11">
        <f>'balance_raw_89866618'!$C$57</f>
        <v/>
      </c>
      <c r="D80" s="11">
        <f>'balance_raw_89866618'!$D$57</f>
        <v/>
      </c>
      <c r="E80" s="11">
        <f>'balance_raw_89866618'!$E$57</f>
        <v/>
      </c>
      <c r="F80" s="11">
        <f>'balance_raw_89866618'!$F$57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'balance_raw_89866618'!$B$58</f>
        <v/>
      </c>
      <c r="C81" s="11">
        <f>'balance_raw_89866618'!$C$58</f>
        <v/>
      </c>
      <c r="D81" s="11">
        <f>'balance_raw_89866618'!$D$58</f>
        <v/>
      </c>
      <c r="E81" s="11">
        <f>'balance_raw_89866618'!$E$58</f>
        <v/>
      </c>
      <c r="F81" s="11">
        <f>'balance_raw_89866618'!$F$58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'balance_raw_89866618'!$B$59</f>
        <v/>
      </c>
      <c r="C82" s="11">
        <f>'balance_raw_89866618'!$C$59</f>
        <v/>
      </c>
      <c r="D82" s="11">
        <f>'balance_raw_89866618'!$D$59</f>
        <v/>
      </c>
      <c r="E82" s="11">
        <f>'balance_raw_89866618'!$E$59</f>
        <v/>
      </c>
      <c r="F82" s="11">
        <f>'balance_raw_89866618'!$F$59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2022</v>
      </c>
      <c r="C84" s="3" t="n">
        <v>2023</v>
      </c>
      <c r="D84" s="3" t="n">
        <v>2024</v>
      </c>
      <c r="E84" s="3" t="n">
        <v>2025</v>
      </c>
      <c r="F84" s="3" t="n">
        <v>2026</v>
      </c>
    </row>
    <row r="85" ht="16" customHeight="1">
      <c r="A85" s="7" t="inlineStr">
        <is>
          <t>Gns. antal medarbejdere</t>
        </is>
      </c>
      <c r="B85" s="8">
        <f>'res_raw_89866618'!$B$19</f>
        <v/>
      </c>
      <c r="C85" s="8">
        <f>'res_raw_89866618'!$C$19</f>
        <v/>
      </c>
      <c r="D85" s="8">
        <f>'res_raw_89866618'!$D$19</f>
        <v/>
      </c>
      <c r="E85" s="8">
        <f>'res_raw_89866618'!$E$19</f>
        <v/>
      </c>
      <c r="F85" s="8">
        <f>'res_raw_89866618'!$F$19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'res_raw_89866618'!$B$20</f>
        <v/>
      </c>
      <c r="C86" s="5">
        <f>'res_raw_89866618'!$C$20</f>
        <v/>
      </c>
      <c r="D86" s="5">
        <f>'res_raw_89866618'!$D$20</f>
        <v/>
      </c>
      <c r="E86" s="5">
        <f>'res_raw_89866618'!$E$20</f>
        <v/>
      </c>
      <c r="F86" s="5">
        <f>'res_raw_89866618'!$F$20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2022</v>
      </c>
      <c r="C88" s="3" t="n">
        <v>2023</v>
      </c>
      <c r="D88" s="3" t="n">
        <v>2024</v>
      </c>
      <c r="E88" s="3" t="n">
        <v>2025</v>
      </c>
      <c r="F88" s="3" t="n">
        <v>2026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'pengestrom_raw_89866618'!$B$2</f>
        <v/>
      </c>
      <c r="C102" s="17">
        <f>'pengestrom_raw_89866618'!$C$2</f>
        <v/>
      </c>
      <c r="D102" s="17">
        <f>'pengestrom_raw_89866618'!$D$2</f>
        <v/>
      </c>
      <c r="E102" s="17">
        <f>'pengestrom_raw_89866618'!$E$2</f>
        <v/>
      </c>
      <c r="F102" s="17">
        <f>'pengestrom_raw_89866618'!$F$2</f>
        <v/>
      </c>
    </row>
    <row r="103">
      <c r="A103" s="16" t="inlineStr">
        <is>
          <t>Pengestrømme fra investeringsaktivitet</t>
        </is>
      </c>
      <c r="B103" s="17">
        <f>'pengestrom_raw_89866618'!$B$3</f>
        <v/>
      </c>
      <c r="C103" s="17">
        <f>'pengestrom_raw_89866618'!$C$3</f>
        <v/>
      </c>
      <c r="D103" s="17">
        <f>'pengestrom_raw_89866618'!$D$3</f>
        <v/>
      </c>
      <c r="E103" s="17">
        <f>'pengestrom_raw_89866618'!$E$3</f>
        <v/>
      </c>
      <c r="F103" s="17">
        <f>'pengestrom_raw_89866618'!$F$3</f>
        <v/>
      </c>
    </row>
    <row r="104">
      <c r="A104" s="16" t="inlineStr">
        <is>
          <t>Pengestrømme fra finansieringsaktivitet</t>
        </is>
      </c>
      <c r="B104" s="17">
        <f>'pengestrom_raw_89866618'!$B$4</f>
        <v/>
      </c>
      <c r="C104" s="17">
        <f>'pengestrom_raw_89866618'!$C$4</f>
        <v/>
      </c>
      <c r="D104" s="17">
        <f>'pengestrom_raw_89866618'!$D$4</f>
        <v/>
      </c>
      <c r="E104" s="17">
        <f>'pengestrom_raw_89866618'!$E$4</f>
        <v/>
      </c>
      <c r="F104" s="17">
        <f>'pengestrom_raw_89866618'!$F$4</f>
        <v/>
      </c>
    </row>
    <row r="105">
      <c r="A105" s="16" t="inlineStr">
        <is>
          <t>Årets pengestrøm (rapporteret)</t>
        </is>
      </c>
      <c r="B105" s="17">
        <f>'pengestrom_raw_89866618'!$B$5</f>
        <v/>
      </c>
      <c r="C105" s="17">
        <f>'pengestrom_raw_89866618'!$C$5</f>
        <v/>
      </c>
      <c r="D105" s="17">
        <f>'pengestrom_raw_89866618'!$D$5</f>
        <v/>
      </c>
      <c r="E105" s="17">
        <f>'pengestrom_raw_89866618'!$E$5</f>
        <v/>
      </c>
      <c r="F105" s="17">
        <f>'pengestrom_raw_89866618'!$F$5</f>
        <v/>
      </c>
    </row>
    <row r="106">
      <c r="A106" s="16" t="inlineStr">
        <is>
          <t>Krydstjek: drift + inv. + fin. = årets pengestrøm</t>
        </is>
      </c>
      <c r="B106">
        <f>IF(ABS(('pengestrom_raw_89866618'!$B$2+'pengestrom_raw_89866618'!$B$3+'pengestrom_raw_89866618'!$B$4)-'pengestrom_raw_89866618'!$B$5)&lt;=2,"✓","⚠ "&amp;TEXT(('pengestrom_raw_89866618'!$B$2+'pengestrom_raw_89866618'!$B$3+'pengestrom_raw_89866618'!$B$4)-'pengestrom_raw_89866618'!$B$5,"+#,##0;-#,##0"))</f>
        <v/>
      </c>
      <c r="C106">
        <f>IF(ABS(('pengestrom_raw_89866618'!$C$2+'pengestrom_raw_89866618'!$C$3+'pengestrom_raw_89866618'!$C$4)-'pengestrom_raw_89866618'!$C$5)&lt;=2,"✓","⚠ "&amp;TEXT(('pengestrom_raw_89866618'!$C$2+'pengestrom_raw_89866618'!$C$3+'pengestrom_raw_89866618'!$C$4)-'pengestrom_raw_89866618'!$C$5,"+#,##0;-#,##0"))</f>
        <v/>
      </c>
      <c r="D106">
        <f>IF(ABS(('pengestrom_raw_89866618'!$D$2+'pengestrom_raw_89866618'!$D$3+'pengestrom_raw_89866618'!$D$4)-'pengestrom_raw_89866618'!$D$5)&lt;=2,"✓","⚠ "&amp;TEXT(('pengestrom_raw_89866618'!$D$2+'pengestrom_raw_89866618'!$D$3+'pengestrom_raw_89866618'!$D$4)-'pengestrom_raw_89866618'!$D$5,"+#,##0;-#,##0"))</f>
        <v/>
      </c>
      <c r="E106">
        <f>IF(ABS(('pengestrom_raw_89866618'!$E$2+'pengestrom_raw_89866618'!$E$3+'pengestrom_raw_89866618'!$E$4)-'pengestrom_raw_89866618'!$E$5)&lt;=2,"✓","⚠ "&amp;TEXT(('pengestrom_raw_89866618'!$E$2+'pengestrom_raw_89866618'!$E$3+'pengestrom_raw_89866618'!$E$4)-'pengestrom_raw_89866618'!$E$5,"+#,##0;-#,##0"))</f>
        <v/>
      </c>
      <c r="F106">
        <f>IF(ABS(('pengestrom_raw_89866618'!$F$2+'pengestrom_raw_89866618'!$F$3+'pengestrom_raw_89866618'!$F$4)-'pengestrom_raw_89866618'!$F$5)&lt;=2,"✓","⚠ "&amp;TEXT(('pengestrom_raw_89866618'!$F$2+'pengestrom_raw_89866618'!$F$3+'pengestrom_raw_89866618'!$F$4)-'pengestrom_raw_89866618'!$F$5,"+#,##0;-#,##0"))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BoConcept A/S (CVR 89866618)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Nettoomsætning</t>
        </is>
      </c>
      <c r="B2" s="17" t="n">
        <v>1241677</v>
      </c>
      <c r="C2" s="17" t="n">
        <v>1211195</v>
      </c>
      <c r="D2" s="17" t="n">
        <v>1046243</v>
      </c>
      <c r="E2" s="17" t="n">
        <v>970517</v>
      </c>
      <c r="F2" s="17" t="n">
        <v>934618</v>
      </c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/>
      <c r="C6" s="17" t="n"/>
      <c r="D6" s="17" t="n">
        <v>521010</v>
      </c>
      <c r="E6" s="17" t="n">
        <v>454055</v>
      </c>
      <c r="F6" s="17" t="n">
        <v>451361</v>
      </c>
    </row>
    <row r="7">
      <c r="A7" s="16" t="inlineStr">
        <is>
          <t>Personaleomkostninger</t>
        </is>
      </c>
      <c r="B7" s="17" t="n">
        <v>92373</v>
      </c>
      <c r="C7" s="17" t="n">
        <v>105711</v>
      </c>
      <c r="D7" s="17" t="n">
        <v>112514</v>
      </c>
      <c r="E7" s="17" t="n">
        <v>92170</v>
      </c>
      <c r="F7" s="17" t="n">
        <v>106337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21004</v>
      </c>
      <c r="C9" s="17" t="n">
        <v>21558</v>
      </c>
      <c r="D9" s="17" t="n">
        <v>20218</v>
      </c>
      <c r="E9" s="17" t="n">
        <v>20415</v>
      </c>
      <c r="F9" s="17" t="n">
        <v>19958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200063</v>
      </c>
      <c r="C11" s="17" t="n">
        <v>151562</v>
      </c>
      <c r="D11" s="17" t="n">
        <v>124861</v>
      </c>
      <c r="E11" s="17" t="n">
        <v>85080</v>
      </c>
      <c r="F11" s="17" t="n">
        <v>69933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4584</v>
      </c>
      <c r="C13" s="17" t="n">
        <v>3025</v>
      </c>
      <c r="D13" s="17" t="n">
        <v>5561</v>
      </c>
      <c r="E13" s="17" t="n">
        <v>7902</v>
      </c>
      <c r="F13" s="17" t="n">
        <v>17673</v>
      </c>
    </row>
    <row r="14">
      <c r="A14" s="16" t="inlineStr">
        <is>
          <t>Finansielle omkostninger</t>
        </is>
      </c>
      <c r="B14" s="17" t="n">
        <v>3621</v>
      </c>
      <c r="C14" s="17" t="n">
        <v>9039</v>
      </c>
      <c r="D14" s="17" t="n">
        <v>3268</v>
      </c>
      <c r="E14" s="17" t="n">
        <v>7883</v>
      </c>
      <c r="F14" s="17" t="n">
        <v>20748</v>
      </c>
    </row>
    <row r="15">
      <c r="A15" s="15" t="inlineStr">
        <is>
          <t>Finansielle poster, netto</t>
        </is>
      </c>
      <c r="B15" s="17" t="n">
        <v>963</v>
      </c>
      <c r="C15" s="17" t="n">
        <v>-6014</v>
      </c>
      <c r="D15" s="17" t="n">
        <v>2293</v>
      </c>
      <c r="E15" s="17" t="n">
        <v>19</v>
      </c>
      <c r="F15" s="17" t="n">
        <v>-3075</v>
      </c>
    </row>
    <row r="16">
      <c r="A16" s="15" t="inlineStr">
        <is>
          <t>Resultat før skat</t>
        </is>
      </c>
      <c r="B16" s="17" t="n">
        <v>201026</v>
      </c>
      <c r="C16" s="17" t="n">
        <v>145548</v>
      </c>
      <c r="D16" s="17" t="n">
        <v>127154</v>
      </c>
      <c r="E16" s="17" t="n">
        <v>85099</v>
      </c>
      <c r="F16" s="17" t="n">
        <v>66858</v>
      </c>
    </row>
    <row r="17">
      <c r="A17" s="16" t="inlineStr">
        <is>
          <t>Skat af årets resultat</t>
        </is>
      </c>
      <c r="B17" s="17" t="n">
        <v>40637</v>
      </c>
      <c r="C17" s="17" t="n">
        <v>34696</v>
      </c>
      <c r="D17" s="17" t="n">
        <v>31194</v>
      </c>
      <c r="E17" s="17" t="n">
        <v>18608</v>
      </c>
      <c r="F17" s="17" t="n">
        <v>8787</v>
      </c>
    </row>
    <row r="18">
      <c r="A18" s="15" t="inlineStr">
        <is>
          <t>Årets resultat</t>
        </is>
      </c>
      <c r="B18" s="17" t="n">
        <v>160389</v>
      </c>
      <c r="C18" s="17" t="n">
        <v>110852</v>
      </c>
      <c r="D18" s="17" t="n">
        <v>95960</v>
      </c>
      <c r="E18" s="17" t="n">
        <v>66491</v>
      </c>
      <c r="F18" s="17" t="n">
        <v>58071</v>
      </c>
    </row>
    <row r="19">
      <c r="A19" s="16" t="inlineStr">
        <is>
          <t>Gns. antal medarbejdere</t>
        </is>
      </c>
      <c r="B19" s="17" t="n">
        <v>231</v>
      </c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3396</v>
      </c>
      <c r="C20" s="17" t="n">
        <v>7341</v>
      </c>
      <c r="D20" s="17" t="n">
        <v>4795</v>
      </c>
      <c r="E20" s="17" t="n">
        <v>6391</v>
      </c>
      <c r="F20" s="17" t="n">
        <v>5804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BoConcept A/S (CVR 89866618)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Udviklingsprojekter</t>
        </is>
      </c>
      <c r="B2" s="17" t="n">
        <v>4263</v>
      </c>
      <c r="C2" s="17" t="n">
        <v>12500</v>
      </c>
      <c r="D2" s="17" t="n">
        <v>0</v>
      </c>
      <c r="E2" s="17" t="n">
        <v>9287</v>
      </c>
      <c r="F2" s="17" t="n">
        <v>9133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77525</v>
      </c>
      <c r="C5" s="17" t="n">
        <v>84725</v>
      </c>
      <c r="D5" s="17" t="n">
        <v>87370</v>
      </c>
      <c r="E5" s="17" t="n">
        <v>87576</v>
      </c>
      <c r="F5" s="17" t="n">
        <v>86725</v>
      </c>
    </row>
    <row r="6">
      <c r="A6" s="16" t="inlineStr">
        <is>
          <t>Grunde og bygninger</t>
        </is>
      </c>
      <c r="B6" s="17" t="n">
        <v>30475</v>
      </c>
      <c r="C6" s="17" t="n">
        <v>27650</v>
      </c>
      <c r="D6" s="17" t="n">
        <v>27438</v>
      </c>
      <c r="E6" s="17" t="n">
        <v>24242</v>
      </c>
      <c r="F6" s="17" t="n">
        <v>12694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>
        <v>0</v>
      </c>
      <c r="F9" s="17" t="n">
        <v>198</v>
      </c>
    </row>
    <row r="10">
      <c r="A10" s="16" t="inlineStr">
        <is>
          <t>Forudbetaling og anlægsaktiver under opførelse</t>
        </is>
      </c>
      <c r="B10" s="17" t="n"/>
      <c r="C10" s="17" t="n">
        <v>3046</v>
      </c>
      <c r="D10" s="17" t="n">
        <v>1585</v>
      </c>
      <c r="E10" s="17" t="n"/>
      <c r="F10" s="17" t="n"/>
    </row>
    <row r="11">
      <c r="A11" s="15" t="inlineStr">
        <is>
          <t>Materielle anlægsaktiver</t>
        </is>
      </c>
      <c r="B11" s="17" t="n">
        <v>49353</v>
      </c>
      <c r="C11" s="17" t="n">
        <v>3022</v>
      </c>
      <c r="D11" s="17" t="n">
        <v>3557</v>
      </c>
      <c r="E11" s="17" t="n">
        <v>2676</v>
      </c>
      <c r="F11" s="17" t="n">
        <v>4763</v>
      </c>
    </row>
    <row r="12">
      <c r="A12" s="16" t="inlineStr">
        <is>
          <t>Kapitalandele, dattervirksomheder</t>
        </is>
      </c>
      <c r="B12" s="17" t="n"/>
      <c r="C12" s="17" t="n">
        <v>101879</v>
      </c>
      <c r="D12" s="17" t="n">
        <v>105555</v>
      </c>
      <c r="E12" s="17" t="n">
        <v>112192</v>
      </c>
      <c r="F12" s="17" t="n">
        <v>130511</v>
      </c>
    </row>
    <row r="13">
      <c r="A13" s="16" t="inlineStr">
        <is>
          <t>Deposita</t>
        </is>
      </c>
      <c r="B13" s="17" t="n">
        <v>824</v>
      </c>
      <c r="C13" s="17" t="n">
        <v>875</v>
      </c>
      <c r="D13" s="17" t="n">
        <v>875</v>
      </c>
      <c r="E13" s="17" t="n">
        <v>853</v>
      </c>
      <c r="F13" s="17" t="n">
        <v>2617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239579</v>
      </c>
      <c r="C15" s="17" t="n">
        <v>237440</v>
      </c>
      <c r="D15" s="17" t="n">
        <v>242258</v>
      </c>
      <c r="E15" s="17" t="n">
        <v>247691</v>
      </c>
      <c r="F15" s="17" t="n">
        <v>258056</v>
      </c>
    </row>
    <row r="16">
      <c r="A16" s="16" t="inlineStr">
        <is>
          <t>Råvarer og hjælpematerialer</t>
        </is>
      </c>
      <c r="B16" s="17" t="n"/>
      <c r="C16" s="17" t="n"/>
      <c r="D16" s="17" t="n">
        <v>525233</v>
      </c>
      <c r="E16" s="17" t="n">
        <v>516462</v>
      </c>
      <c r="F16" s="17" t="n">
        <v>483257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164450</v>
      </c>
      <c r="C19" s="17" t="n">
        <v>116248</v>
      </c>
      <c r="D19" s="17" t="n">
        <v>114983</v>
      </c>
      <c r="E19" s="17" t="n">
        <v>115628</v>
      </c>
      <c r="F19" s="17" t="n">
        <v>103432</v>
      </c>
    </row>
    <row r="20">
      <c r="A20" s="16" t="inlineStr">
        <is>
          <t>Tilgodehavender fra salg og tjenesteydelser</t>
        </is>
      </c>
      <c r="B20" s="17" t="n">
        <v>115964</v>
      </c>
      <c r="C20" s="17" t="n">
        <v>108673</v>
      </c>
      <c r="D20" s="17" t="n">
        <v>112424</v>
      </c>
      <c r="E20" s="17" t="n">
        <v>124495</v>
      </c>
      <c r="F20" s="17" t="n">
        <v>97611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20112</v>
      </c>
      <c r="C27" s="17" t="n">
        <v>18225</v>
      </c>
      <c r="D27" s="17" t="n">
        <v>12504</v>
      </c>
      <c r="E27" s="17" t="n">
        <v>12306</v>
      </c>
      <c r="F27" s="17" t="n">
        <v>24423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73037</v>
      </c>
      <c r="C29" s="17" t="n">
        <v>125282</v>
      </c>
      <c r="D29" s="17" t="n">
        <v>58204</v>
      </c>
      <c r="E29" s="17" t="n">
        <v>20760</v>
      </c>
      <c r="F29" s="17" t="n">
        <v>36664</v>
      </c>
    </row>
    <row r="30">
      <c r="A30" s="15" t="inlineStr">
        <is>
          <t>Omsætningsaktiver</t>
        </is>
      </c>
      <c r="B30" s="17" t="n">
        <v>390883</v>
      </c>
      <c r="C30" s="17" t="n">
        <v>385207</v>
      </c>
      <c r="D30" s="17" t="n">
        <v>320386</v>
      </c>
      <c r="E30" s="17" t="n">
        <v>293323</v>
      </c>
      <c r="F30" s="17" t="n">
        <v>304027</v>
      </c>
    </row>
    <row r="31">
      <c r="A31" s="15" t="inlineStr">
        <is>
          <t>Aktiver</t>
        </is>
      </c>
      <c r="B31" s="17" t="n">
        <v>630462</v>
      </c>
      <c r="C31" s="17" t="n">
        <v>622647</v>
      </c>
      <c r="D31" s="17" t="n">
        <v>562644</v>
      </c>
      <c r="E31" s="17" t="n">
        <v>541014</v>
      </c>
      <c r="F31" s="17" t="n">
        <v>562084</v>
      </c>
    </row>
    <row r="32">
      <c r="A32" s="16" t="inlineStr">
        <is>
          <t>Selskabskapital</t>
        </is>
      </c>
      <c r="B32" s="17" t="n">
        <v>2000</v>
      </c>
      <c r="C32" s="17" t="n">
        <v>2000</v>
      </c>
      <c r="D32" s="17" t="n">
        <v>2000</v>
      </c>
      <c r="E32" s="17" t="n">
        <v>2000</v>
      </c>
      <c r="F32" s="17" t="n">
        <v>2000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2396</v>
      </c>
      <c r="C36" s="17" t="n">
        <v>1418</v>
      </c>
      <c r="D36" s="17" t="n">
        <v>2816</v>
      </c>
      <c r="E36" s="17" t="n">
        <v>-1362</v>
      </c>
      <c r="F36" s="17" t="n">
        <v>21</v>
      </c>
    </row>
    <row r="37">
      <c r="A37" s="16" t="inlineStr">
        <is>
          <t>Overført resultat</t>
        </is>
      </c>
      <c r="B37" s="17" t="n">
        <v>203570</v>
      </c>
      <c r="C37" s="17" t="n">
        <v>250392</v>
      </c>
      <c r="D37" s="17" t="n">
        <v>246352</v>
      </c>
      <c r="E37" s="17" t="n">
        <v>124034</v>
      </c>
      <c r="F37" s="17" t="n">
        <v>183866</v>
      </c>
    </row>
    <row r="38">
      <c r="A38" s="15" t="inlineStr">
        <is>
          <t>Egenkapital i alt</t>
        </is>
      </c>
      <c r="B38" s="17" t="n">
        <v>207164</v>
      </c>
      <c r="C38" s="17" t="n">
        <v>247555</v>
      </c>
      <c r="D38" s="17" t="n">
        <v>238792</v>
      </c>
      <c r="E38" s="17" t="n">
        <v>115156</v>
      </c>
      <c r="F38" s="17" t="n">
        <v>169888</v>
      </c>
    </row>
    <row r="39">
      <c r="A39" s="16" t="inlineStr">
        <is>
          <t>Hensættelse til udskudt skat</t>
        </is>
      </c>
      <c r="B39" s="17" t="n">
        <v>17894</v>
      </c>
      <c r="C39" s="17" t="n">
        <v>16589</v>
      </c>
      <c r="D39" s="17" t="n">
        <v>21100</v>
      </c>
      <c r="E39" s="17" t="n">
        <v>19095</v>
      </c>
      <c r="F39" s="17" t="n">
        <v>11873</v>
      </c>
    </row>
    <row r="40">
      <c r="A40" s="15" t="inlineStr">
        <is>
          <t>Hensatte forpligtelser</t>
        </is>
      </c>
      <c r="B40" s="17" t="n">
        <v>17894</v>
      </c>
      <c r="C40" s="17" t="n">
        <v>16589</v>
      </c>
      <c r="D40" s="17" t="n">
        <v>21100</v>
      </c>
      <c r="E40" s="17" t="n">
        <v>19095</v>
      </c>
      <c r="F40" s="17" t="n">
        <v>11873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1572</v>
      </c>
      <c r="C43" s="17" t="n">
        <v>1887</v>
      </c>
      <c r="D43" s="17" t="n">
        <v>2314</v>
      </c>
      <c r="E43" s="17" t="n">
        <v>1233</v>
      </c>
      <c r="F43" s="17" t="n">
        <v>2704</v>
      </c>
    </row>
    <row r="44">
      <c r="A44" s="16" t="inlineStr">
        <is>
          <t>Anden gæld (langfristet)</t>
        </is>
      </c>
      <c r="B44" s="17" t="n"/>
      <c r="C44" s="17" t="n">
        <v>8974</v>
      </c>
      <c r="D44" s="17" t="n">
        <v>6198</v>
      </c>
      <c r="E44" s="17" t="n">
        <v>69155</v>
      </c>
      <c r="F44" s="17" t="n">
        <v>66090</v>
      </c>
    </row>
    <row r="45">
      <c r="A45" s="15" t="inlineStr">
        <is>
          <t>Langfristede gældsforpligtelser</t>
        </is>
      </c>
      <c r="B45" s="17" t="n">
        <v>85006</v>
      </c>
      <c r="C45" s="17" t="n">
        <v>65133</v>
      </c>
      <c r="D45" s="17" t="n">
        <v>76137</v>
      </c>
      <c r="E45" s="17" t="n">
        <v>112318</v>
      </c>
      <c r="F45" s="17" t="n">
        <v>102649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>
        <v>36843</v>
      </c>
      <c r="D48" s="17" t="n">
        <v>2957</v>
      </c>
      <c r="E48" s="17" t="n">
        <v>2817</v>
      </c>
      <c r="F48" s="17" t="n">
        <v>2925</v>
      </c>
    </row>
    <row r="49">
      <c r="A49" s="16" t="inlineStr">
        <is>
          <t>Leasingforpligtelser (kortfristet)</t>
        </is>
      </c>
      <c r="B49" s="17" t="n">
        <v>994</v>
      </c>
      <c r="C49" s="17" t="n">
        <v>1260</v>
      </c>
      <c r="D49" s="17" t="n">
        <v>1525</v>
      </c>
      <c r="E49" s="17" t="n">
        <v>1577</v>
      </c>
      <c r="F49" s="17" t="n">
        <v>2229</v>
      </c>
    </row>
    <row r="50">
      <c r="A50" s="16" t="inlineStr">
        <is>
          <t>Leverandører af varer og tjenesteydelser</t>
        </is>
      </c>
      <c r="B50" s="17" t="n">
        <v>175802</v>
      </c>
      <c r="C50" s="17" t="n">
        <v>127187</v>
      </c>
      <c r="D50" s="17" t="n">
        <v>126081</v>
      </c>
      <c r="E50" s="17" t="n">
        <v>99023</v>
      </c>
      <c r="F50" s="17" t="n">
        <v>108239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81868</v>
      </c>
      <c r="C55" s="17" t="n">
        <v>76699</v>
      </c>
      <c r="D55" s="17" t="n">
        <v>67202</v>
      </c>
      <c r="E55" s="17" t="n">
        <v>56969</v>
      </c>
      <c r="F55" s="17" t="n">
        <v>62399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338292</v>
      </c>
      <c r="C57" s="17" t="n">
        <v>309959</v>
      </c>
      <c r="D57" s="17" t="n">
        <v>247715</v>
      </c>
      <c r="E57" s="17" t="n">
        <v>313540</v>
      </c>
      <c r="F57" s="17" t="n">
        <v>289548</v>
      </c>
    </row>
    <row r="58">
      <c r="A58" s="15" t="inlineStr">
        <is>
          <t>Gældsforpligtelser</t>
        </is>
      </c>
      <c r="B58" s="17" t="n">
        <v>423298</v>
      </c>
      <c r="C58" s="17" t="n">
        <v>375092</v>
      </c>
      <c r="D58" s="17" t="n">
        <v>323852</v>
      </c>
      <c r="E58" s="17" t="n">
        <v>425857</v>
      </c>
      <c r="F58" s="17" t="n">
        <v>392196</v>
      </c>
    </row>
    <row r="59">
      <c r="A59" s="15" t="inlineStr">
        <is>
          <t>Passiver</t>
        </is>
      </c>
      <c r="B59" s="17" t="n">
        <v>630462</v>
      </c>
      <c r="C59" s="17" t="n">
        <v>622647</v>
      </c>
      <c r="D59" s="17" t="n">
        <v>562644</v>
      </c>
      <c r="E59" s="17" t="n">
        <v>541014</v>
      </c>
      <c r="F59" s="17" t="n">
        <v>562084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BoConcept A/S (CVR 89866618) — Pengestrømsopgørelse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Pengestrømme fra driftsaktivitet</t>
        </is>
      </c>
      <c r="B2" s="17" t="n">
        <v>204202</v>
      </c>
      <c r="C2" s="17" t="n">
        <v>117071</v>
      </c>
      <c r="D2" s="17" t="n">
        <v>90503</v>
      </c>
      <c r="E2" s="17" t="n">
        <v>123173</v>
      </c>
      <c r="F2" s="17" t="n">
        <v>38705</v>
      </c>
    </row>
    <row r="3">
      <c r="A3" s="16" t="inlineStr">
        <is>
          <t>Pengestrømme fra investeringsaktivitet</t>
        </is>
      </c>
      <c r="B3" s="17" t="n">
        <v>-10330</v>
      </c>
      <c r="C3" s="17" t="n">
        <v>-27689</v>
      </c>
      <c r="D3" s="17" t="n">
        <v>-19414</v>
      </c>
      <c r="E3" s="17" t="n">
        <v>-31795</v>
      </c>
      <c r="F3" s="17" t="n">
        <v>-17199</v>
      </c>
    </row>
    <row r="4">
      <c r="A4" s="16" t="inlineStr">
        <is>
          <t>Pengestrømme fra finansieringsaktivitet</t>
        </is>
      </c>
      <c r="B4" s="17" t="n">
        <v>-368421</v>
      </c>
      <c r="C4" s="17" t="n">
        <v>-37137</v>
      </c>
      <c r="D4" s="17" t="n">
        <v>-138167</v>
      </c>
      <c r="E4" s="17" t="n">
        <v>-128822</v>
      </c>
      <c r="F4" s="17" t="n">
        <v>-5602</v>
      </c>
    </row>
    <row r="5">
      <c r="A5" s="16" t="inlineStr">
        <is>
          <t>Årets pengestrøm</t>
        </is>
      </c>
      <c r="B5" s="17" t="n">
        <v>-174549</v>
      </c>
      <c r="C5" s="17" t="n">
        <v>52245</v>
      </c>
      <c r="D5" s="17" t="n">
        <v>-67078</v>
      </c>
      <c r="E5" s="17" t="n">
        <v>-37444</v>
      </c>
      <c r="F5" s="17" t="n">
        <v>15904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BoConcept A/S (CVR 89866618) — Regnskabs- og nøgletal (CVR: 89866618) — artsopdelt</t>
        </is>
      </c>
    </row>
    <row r="3">
      <c r="A3" s="19" t="inlineStr">
        <is>
          <t>Beløb i 1.000 kr.</t>
        </is>
      </c>
      <c r="B3" s="20" t="n">
        <v>2026</v>
      </c>
      <c r="C3" s="20" t="n">
        <v>2025</v>
      </c>
      <c r="D3" s="20" t="n">
        <v>2024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'res_raw_89866618'!$F$2</f>
        <v/>
      </c>
      <c r="C5" s="24">
        <f>'res_raw_89866618'!$E$2</f>
        <v/>
      </c>
      <c r="D5" s="24">
        <f>'res_raw_89866618'!$D$2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'res_raw_89866618'!$F$3</f>
        <v/>
      </c>
      <c r="C6" s="24">
        <f>'res_raw_89866618'!$E$3</f>
        <v/>
      </c>
      <c r="D6" s="24">
        <f>'res_raw_89866618'!$D$3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-'res_raw_89866618'!$F$4</f>
        <v/>
      </c>
      <c r="C7" s="24">
        <f>-'res_raw_89866618'!$E$4</f>
        <v/>
      </c>
      <c r="D7" s="24">
        <f>-'res_raw_89866618'!$D$4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-'res_raw_89866618'!$F$5</f>
        <v/>
      </c>
      <c r="C8" s="24">
        <f>-'res_raw_89866618'!$E$5</f>
        <v/>
      </c>
      <c r="D8" s="24">
        <f>-'res_raw_89866618'!$D$5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IF(ABS((SUM(B5:B8))-'res_raw_89866618'!$F$6)&lt;=2,SUM(B5:B8),'res_raw_89866618'!$F$6)</f>
        <v/>
      </c>
      <c r="C9" s="27">
        <f>IF(ABS((SUM(C5:C8))-'res_raw_89866618'!$E$6)&lt;=2,SUM(C5:C8),'res_raw_89866618'!$E$6)</f>
        <v/>
      </c>
      <c r="D9" s="27">
        <f>IF(ABS((SUM(D5:D8))-'res_raw_89866618'!$D$6)&lt;=2,SUM(D5:D8),'res_raw_89866618'!$D$6)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-'res_raw_89866618'!$F$7</f>
        <v/>
      </c>
      <c r="C10" s="24">
        <f>-'res_raw_89866618'!$E$7</f>
        <v/>
      </c>
      <c r="D10" s="24">
        <f>-'res_raw_89866618'!$D$7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-'res_raw_89866618'!$F$9</f>
        <v/>
      </c>
      <c r="C11" s="24">
        <f>-'res_raw_89866618'!$E$9</f>
        <v/>
      </c>
      <c r="D11" s="24">
        <f>-'res_raw_89866618'!$D$9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-'res_raw_89866618'!$F$10</f>
        <v/>
      </c>
      <c r="C12" s="24">
        <f>-'res_raw_89866618'!$E$10</f>
        <v/>
      </c>
      <c r="D12" s="24">
        <f>-'res_raw_89866618'!$D$10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IF(ABS((SUM(B9:B12))-'res_raw_89866618'!$F$11)&lt;=2,SUM(B9:B12),'res_raw_89866618'!$F$11)</f>
        <v/>
      </c>
      <c r="C13" s="27">
        <f>IF(ABS((SUM(C9:C12))-'res_raw_89866618'!$E$11)&lt;=2,SUM(C9:C12),'res_raw_89866618'!$E$11)</f>
        <v/>
      </c>
      <c r="D13" s="27">
        <f>IF(ABS((SUM(D9:D12))-'res_raw_89866618'!$D$11)&lt;=2,SUM(D9:D12),'res_raw_89866618'!$D$11)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N('res_raw_89866618'!$F$12)+N('res_raw_89866618'!$F$13)</f>
        <v/>
      </c>
      <c r="C14" s="24">
        <f>N('res_raw_89866618'!$E$12)+N('res_raw_89866618'!$E$13)</f>
        <v/>
      </c>
      <c r="D14" s="24">
        <f>N('res_raw_89866618'!$D$12)+N('res_raw_89866618'!$D$13)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-'res_raw_89866618'!$F$14</f>
        <v/>
      </c>
      <c r="C15" s="24">
        <f>-'res_raw_89866618'!$E$14</f>
        <v/>
      </c>
      <c r="D15" s="24">
        <f>-'res_raw_89866618'!$D$14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IF(ABS((SUM(B13:B15))-'res_raw_89866618'!$F$16)&lt;=2,SUM(B13:B15),'res_raw_89866618'!$F$16)</f>
        <v/>
      </c>
      <c r="C16" s="27">
        <f>IF(ABS((SUM(C13:C15))-'res_raw_89866618'!$E$16)&lt;=2,SUM(C13:C15),'res_raw_89866618'!$E$16)</f>
        <v/>
      </c>
      <c r="D16" s="27">
        <f>IF(ABS((SUM(D13:D15))-'res_raw_89866618'!$D$16)&lt;=2,SUM(D13:D15),'res_raw_89866618'!$D$16)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'balance_raw_89866618'!$F$15</f>
        <v/>
      </c>
      <c r="C19" s="24">
        <f>'balance_raw_89866618'!$E$15</f>
        <v/>
      </c>
      <c r="D19" s="24">
        <f>'balance_raw_89866618'!$D$15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'balance_raw_89866618'!$F$30</f>
        <v/>
      </c>
      <c r="C20" s="24">
        <f>'balance_raw_89866618'!$E$30</f>
        <v/>
      </c>
      <c r="D20" s="24">
        <f>'balance_raw_89866618'!$D$30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'balance_raw_89866618'!$F$38</f>
        <v/>
      </c>
      <c r="C23" s="24">
        <f>'balance_raw_89866618'!$E$38</f>
        <v/>
      </c>
      <c r="D23" s="24">
        <f>'balance_raw_89866618'!$D$38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'balance_raw_89866618'!$F$59-'balance_raw_89866618'!$F$38</f>
        <v/>
      </c>
      <c r="C24" s="24">
        <f>'balance_raw_89866618'!$E$59-'balance_raw_89866618'!$E$38</f>
        <v/>
      </c>
      <c r="D24" s="24">
        <f>'balance_raw_89866618'!$D$59-'balance_raw_89866618'!$D$38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'balance_raw_89866618'!$F$19</f>
        <v/>
      </c>
      <c r="C28" s="24">
        <f>'balance_raw_89866618'!$E$19</f>
        <v/>
      </c>
      <c r="D28" s="24">
        <f>'balance_raw_89866618'!$D$19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'balance_raw_89866618'!$F$20</f>
        <v/>
      </c>
      <c r="C29" s="24">
        <f>'balance_raw_89866618'!$E$20</f>
        <v/>
      </c>
      <c r="D29" s="24">
        <f>'balance_raw_89866618'!$D$20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'balance_raw_89866618'!$F$57</f>
        <v/>
      </c>
      <c r="C30" s="24">
        <f>'balance_raw_89866618'!$E$57</f>
        <v/>
      </c>
      <c r="D30" s="24">
        <f>'balance_raw_89866618'!$D$57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(2024=100)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(2024=100)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2024-2026.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IF('balance_raw_89866618'!$F$31="","—",IF(ABS(B21-'balance_raw_89866618'!$F$31)&lt;=1,"✓ OK","❌ "&amp;TEXT(B21-'balance_raw_89866618'!$F$31,"+#,##0;-#,##0")&amp;" t.kr."))</f>
        <v/>
      </c>
      <c r="C61" s="29">
        <f>IF('balance_raw_89866618'!$E$31="","—",IF(ABS(C21-'balance_raw_89866618'!$E$31)&lt;=1,"✓ OK","❌ "&amp;TEXT(C21-'balance_raw_89866618'!$E$31,"+#,##0;-#,##0")&amp;" t.kr."))</f>
        <v/>
      </c>
      <c r="D61" s="29">
        <f>IF('balance_raw_89866618'!$D$31="","—",IF(ABS(D21-'balance_raw_89866618'!$D$31)&lt;=1,"✓ OK","❌ "&amp;TEXT(D21-'balance_raw_89866618'!$D$31,"+#,##0;-#,##0")&amp;"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IF('balance_raw_89866618'!$F$59="","—",IF(ABS(B25-'balance_raw_89866618'!$F$59)&lt;=1,"✓ OK","❌ "&amp;TEXT(B25-'balance_raw_89866618'!$F$59,"+#,##0;-#,##0")&amp;" t.kr."))</f>
        <v/>
      </c>
      <c r="C62" s="29">
        <f>IF('balance_raw_89866618'!$E$59="","—",IF(ABS(C25-'balance_raw_89866618'!$E$59)&lt;=1,"✓ OK","❌ "&amp;TEXT(C25-'balance_raw_89866618'!$E$59,"+#,##0;-#,##0")&amp;" t.kr."))</f>
        <v/>
      </c>
      <c r="D62" s="29">
        <f>IF('balance_raw_89866618'!$D$59="","—",IF(ABS(D25-'balance_raw_89866618'!$D$59)&lt;=1,"✓ OK","❌ "&amp;TEXT(D25-'balance_raw_89866618'!$D$59,"+#,##0;-#,##0")&amp;"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IF('res_raw_89866618'!$F$6="","—",IF(ABS(B9-'res_raw_89866618'!$F$6)&lt;=1,"✓ OK","❌ "&amp;TEXT(B9-'res_raw_89866618'!$F$6,"+#,##0;-#,##0")&amp;" t.kr."))</f>
        <v/>
      </c>
      <c r="C64" s="29">
        <f>IF('res_raw_89866618'!$E$6="","—",IF(ABS(C9-'res_raw_89866618'!$E$6)&lt;=1,"✓ OK","❌ "&amp;TEXT(C9-'res_raw_89866618'!$E$6,"+#,##0;-#,##0")&amp;" t.kr."))</f>
        <v/>
      </c>
      <c r="D64" s="29">
        <f>IF('res_raw_89866618'!$D$6="","—",IF(ABS(D9-'res_raw_89866618'!$D$6)&lt;=1,"✓ OK","❌ "&amp;TEXT(D9-'res_raw_89866618'!$D$6,"+#,##0;-#,##0")&amp;"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IF('res_raw_89866618'!$F$11="","—",IF(ABS(B13-'res_raw_89866618'!$F$11)&lt;=1,"✓ OK","❌ "&amp;TEXT(B13-'res_raw_89866618'!$F$11,"+#,##0;-#,##0")&amp;" t.kr."))</f>
        <v/>
      </c>
      <c r="C65" s="29">
        <f>IF('res_raw_89866618'!$E$11="","—",IF(ABS(C13-'res_raw_89866618'!$E$11)&lt;=1,"✓ OK","❌ "&amp;TEXT(C13-'res_raw_89866618'!$E$11,"+#,##0;-#,##0")&amp;" t.kr."))</f>
        <v/>
      </c>
      <c r="D65" s="29">
        <f>IF('res_raw_89866618'!$D$11="","—",IF(ABS(D13-'res_raw_89866618'!$D$11)&lt;=1,"✓ OK","❌ "&amp;TEXT(D13-'res_raw_89866618'!$D$11,"+#,##0;-#,##0")&amp;"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IF('res_raw_89866618'!$F$16="","—",IF(ABS(B16-'res_raw_89866618'!$F$16)&lt;=1,"✓ OK","❌ "&amp;TEXT(B16-'res_raw_89866618'!$F$16,"+#,##0;-#,##0")&amp;" t.kr."))</f>
        <v/>
      </c>
      <c r="C66" s="29">
        <f>IF('res_raw_89866618'!$E$16="","—",IF(ABS(C16-'res_raw_89866618'!$E$16)&lt;=1,"✓ OK","❌ "&amp;TEXT(C16-'res_raw_89866618'!$E$16,"+#,##0;-#,##0")&amp;" t.kr."))</f>
        <v/>
      </c>
      <c r="D66" s="29">
        <f>IF('res_raw_89866618'!$D$16="","—",IF(ABS(D16-'res_raw_89866618'!$D$16)&lt;=1,"✓ OK","❌ "&amp;TEXT(D16-'res_raw_89866618'!$D$16,"+#,##0;-#,##0")&amp;"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BoConcept A/S (CVR 89866618)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2026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ifrs-full:ChangesInInventoriesOfFinishedGoodsAndWorkInProgress</t>
        </is>
      </c>
      <c r="C3" s="34" t="inlineStr">
        <is>
          <t>ifrs-full:ChangesInInventoriesOfFinishedGoodsAndWorkInProgress</t>
        </is>
      </c>
      <c r="D3" s="35" t="n"/>
      <c r="E3" s="35" t="n">
        <v>627337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ifrs-full:ComputerSoftware</t>
        </is>
      </c>
      <c r="C4" s="37" t="inlineStr">
        <is>
          <t>ifrs-full:ComputerSoftware</t>
        </is>
      </c>
      <c r="D4" s="38" t="n">
        <v>36662</v>
      </c>
      <c r="E4" s="38" t="n">
        <v>35625</v>
      </c>
      <c r="F4" s="38" t="n">
        <v>50770</v>
      </c>
      <c r="G4" s="38" t="n">
        <v>41689</v>
      </c>
      <c r="H4" s="38" t="n">
        <v>40992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ifrs-full:CopyrightsPatentsAndOtherIndustrialPropertyRightsServiceAndOperatingRights</t>
        </is>
      </c>
      <c r="C5" s="34" t="inlineStr">
        <is>
          <t>ifrs-full:CopyrightsPatentsAndOtherIndustrialPropertyRightsServiceAndOperatingRights</t>
        </is>
      </c>
      <c r="D5" s="35" t="n"/>
      <c r="E5" s="35" t="n">
        <v>36600</v>
      </c>
      <c r="F5" s="35" t="n">
        <v>36600</v>
      </c>
      <c r="G5" s="35" t="n">
        <v>36600</v>
      </c>
      <c r="H5" s="35" t="n">
        <v>36600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ifrs-full:InvestmentsInSubsidiariesJointVenturesAndAssociates</t>
        </is>
      </c>
      <c r="C6" s="37" t="inlineStr">
        <is>
          <t>ifrs-full:InvestmentsInSubsidiariesJointVenturesAndAssociates</t>
        </is>
      </c>
      <c r="D6" s="38" t="n">
        <v>111877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ifrs-full:Machinery</t>
        </is>
      </c>
      <c r="C7" s="34" t="inlineStr">
        <is>
          <t>ifrs-full:Machinery</t>
        </is>
      </c>
      <c r="D7" s="35" t="n"/>
      <c r="E7" s="35" t="n">
        <v>12288</v>
      </c>
      <c r="F7" s="35" t="n">
        <v>12282</v>
      </c>
      <c r="G7" s="35" t="n">
        <v>17086</v>
      </c>
      <c r="H7" s="35" t="n">
        <v>17212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ifrs-full:ReserveOfExchangeDifferencesOnTranslation</t>
        </is>
      </c>
      <c r="C8" s="37" t="inlineStr">
        <is>
          <t>ifrs-full:ReserveOfExchangeDifferencesOnTranslation</t>
        </is>
      </c>
      <c r="D8" s="38" t="n"/>
      <c r="E8" s="38" t="n">
        <v>-6255</v>
      </c>
      <c r="F8" s="38" t="n">
        <v>-12376</v>
      </c>
      <c r="G8" s="38" t="n">
        <v>-9516</v>
      </c>
      <c r="H8" s="38" t="n">
        <v>-15999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ifrs-full:TradeAndOtherCurrentReceivablesDueFromRelatedParties</t>
        </is>
      </c>
      <c r="C9" s="34" t="inlineStr">
        <is>
          <t>ifrs-full:TradeAndOtherCurrentReceivablesDueFromRelatedParties</t>
        </is>
      </c>
      <c r="D9" s="35" t="n">
        <v>17320</v>
      </c>
      <c r="E9" s="35" t="n"/>
      <c r="F9" s="35" t="n"/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ifrs-full:TransportationExpense</t>
        </is>
      </c>
      <c r="C10" s="37" t="inlineStr">
        <is>
          <t>ifrs-full:TransportationExpense</t>
        </is>
      </c>
      <c r="D10" s="38" t="n"/>
      <c r="E10" s="38" t="n">
        <v>92067</v>
      </c>
      <c r="F10" s="38" t="n">
        <v>54499</v>
      </c>
      <c r="G10" s="38" t="n">
        <v>50352</v>
      </c>
      <c r="H10" s="38" t="n">
        <v>45468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2026-10-02T21:55:19Z</dcterms:created>
  <dcterms:modified xmlns:dcterms="http://purl.org/dc/terms/" xmlns:xsi="http://www.w3.org/2001/XMLSchema-instance" xsi:type="dcterms:W3CDTF">2026-10-02T21:55:20Z</dcterms:modified>
</cp:coreProperties>
</file>