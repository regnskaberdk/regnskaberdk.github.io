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4209644" sheetId="1" state="visible" r:id="rId1"/>
    <sheet xmlns:r="http://schemas.openxmlformats.org/officeDocument/2006/relationships" name="res_raw_24209644" sheetId="2" state="visible" r:id="rId2"/>
    <sheet xmlns:r="http://schemas.openxmlformats.org/officeDocument/2006/relationships" name="balance_raw_24209644" sheetId="3" state="visible" r:id="rId3"/>
    <sheet xmlns:r="http://schemas.openxmlformats.org/officeDocument/2006/relationships" name="pengestrom_raw_24209644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Summerbird A/S (CVR 24209644)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'res_raw_24209644'!$B$2</f>
        <v/>
      </c>
      <c r="C4" s="5">
        <f>'res_raw_24209644'!$C$2</f>
        <v/>
      </c>
      <c r="D4" s="5">
        <f>'res_raw_24209644'!$D$2</f>
        <v/>
      </c>
      <c r="E4" s="5">
        <f>'res_raw_24209644'!$E$2</f>
        <v/>
      </c>
      <c r="F4" s="5">
        <f>'res_raw_24209644'!$F$2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'res_raw_24209644'!$B$3</f>
        <v/>
      </c>
      <c r="C5" s="8">
        <f>'res_raw_24209644'!$C$3</f>
        <v/>
      </c>
      <c r="D5" s="8">
        <f>'res_raw_24209644'!$D$3</f>
        <v/>
      </c>
      <c r="E5" s="8">
        <f>'res_raw_24209644'!$E$3</f>
        <v/>
      </c>
      <c r="F5" s="8">
        <f>'res_raw_24209644'!$F$3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'res_raw_24209644'!$B$4</f>
        <v/>
      </c>
      <c r="C6" s="5">
        <f>'res_raw_24209644'!$C$4</f>
        <v/>
      </c>
      <c r="D6" s="5">
        <f>'res_raw_24209644'!$D$4</f>
        <v/>
      </c>
      <c r="E6" s="5">
        <f>'res_raw_24209644'!$E$4</f>
        <v/>
      </c>
      <c r="F6" s="5">
        <f>'res_raw_24209644'!$F$4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'res_raw_24209644'!$B$5</f>
        <v/>
      </c>
      <c r="C7" s="8">
        <f>'res_raw_24209644'!$C$5</f>
        <v/>
      </c>
      <c r="D7" s="8">
        <f>'res_raw_24209644'!$D$5</f>
        <v/>
      </c>
      <c r="E7" s="8">
        <f>'res_raw_24209644'!$E$5</f>
        <v/>
      </c>
      <c r="F7" s="8">
        <f>'res_raw_24209644'!$F$5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'res_raw_24209644'!$B$6</f>
        <v/>
      </c>
      <c r="C8" s="11">
        <f>'res_raw_24209644'!$C$6</f>
        <v/>
      </c>
      <c r="D8" s="11">
        <f>'res_raw_24209644'!$D$6</f>
        <v/>
      </c>
      <c r="E8" s="11">
        <f>'res_raw_24209644'!$E$6</f>
        <v/>
      </c>
      <c r="F8" s="11">
        <f>'res_raw_24209644'!$F$6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'res_raw_24209644'!$B$7</f>
        <v/>
      </c>
      <c r="C9" s="8">
        <f>'res_raw_24209644'!$C$7</f>
        <v/>
      </c>
      <c r="D9" s="8">
        <f>'res_raw_24209644'!$D$7</f>
        <v/>
      </c>
      <c r="E9" s="8">
        <f>'res_raw_24209644'!$E$7</f>
        <v/>
      </c>
      <c r="F9" s="8">
        <f>'res_raw_24209644'!$F$7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'res_raw_24209644'!$B$9</f>
        <v/>
      </c>
      <c r="C11" s="8">
        <f>'res_raw_24209644'!$C$9</f>
        <v/>
      </c>
      <c r="D11" s="8">
        <f>'res_raw_24209644'!$D$9</f>
        <v/>
      </c>
      <c r="E11" s="8">
        <f>'res_raw_24209644'!$E$9</f>
        <v/>
      </c>
      <c r="F11" s="8">
        <f>'res_raw_24209644'!$F$9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'res_raw_24209644'!$B$10</f>
        <v/>
      </c>
      <c r="C12" s="5">
        <f>'res_raw_24209644'!$C$10</f>
        <v/>
      </c>
      <c r="D12" s="5">
        <f>'res_raw_24209644'!$D$10</f>
        <v/>
      </c>
      <c r="E12" s="5">
        <f>'res_raw_24209644'!$E$10</f>
        <v/>
      </c>
      <c r="F12" s="5">
        <f>'res_raw_24209644'!$F$10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'res_raw_24209644'!$B$11</f>
        <v/>
      </c>
      <c r="C13" s="11">
        <f>'res_raw_24209644'!$C$11</f>
        <v/>
      </c>
      <c r="D13" s="11">
        <f>'res_raw_24209644'!$D$11</f>
        <v/>
      </c>
      <c r="E13" s="11">
        <f>'res_raw_24209644'!$E$11</f>
        <v/>
      </c>
      <c r="F13" s="11">
        <f>'res_raw_24209644'!$F$11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'res_raw_24209644'!$B$12</f>
        <v/>
      </c>
      <c r="C14" s="5">
        <f>'res_raw_24209644'!$C$12</f>
        <v/>
      </c>
      <c r="D14" s="5">
        <f>'res_raw_24209644'!$D$12</f>
        <v/>
      </c>
      <c r="E14" s="5">
        <f>'res_raw_24209644'!$E$12</f>
        <v/>
      </c>
      <c r="F14" s="5">
        <f>'res_raw_24209644'!$F$12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'res_raw_24209644'!$B$13</f>
        <v/>
      </c>
      <c r="C15" s="8">
        <f>'res_raw_24209644'!$C$13</f>
        <v/>
      </c>
      <c r="D15" s="8">
        <f>'res_raw_24209644'!$D$13</f>
        <v/>
      </c>
      <c r="E15" s="8">
        <f>'res_raw_24209644'!$E$13</f>
        <v/>
      </c>
      <c r="F15" s="8">
        <f>'res_raw_24209644'!$F$13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'res_raw_24209644'!$B$14</f>
        <v/>
      </c>
      <c r="C16" s="5">
        <f>'res_raw_24209644'!$C$14</f>
        <v/>
      </c>
      <c r="D16" s="5">
        <f>'res_raw_24209644'!$D$14</f>
        <v/>
      </c>
      <c r="E16" s="5">
        <f>'res_raw_24209644'!$E$14</f>
        <v/>
      </c>
      <c r="F16" s="5">
        <f>'res_raw_24209644'!$F$14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'res_raw_24209644'!$B$15</f>
        <v/>
      </c>
      <c r="C17" s="11">
        <f>'res_raw_24209644'!$C$15</f>
        <v/>
      </c>
      <c r="D17" s="11">
        <f>'res_raw_24209644'!$D$15</f>
        <v/>
      </c>
      <c r="E17" s="11">
        <f>'res_raw_24209644'!$E$15</f>
        <v/>
      </c>
      <c r="F17" s="11">
        <f>'res_raw_24209644'!$F$15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'res_raw_24209644'!$B$16</f>
        <v/>
      </c>
      <c r="C18" s="11">
        <f>'res_raw_24209644'!$C$16</f>
        <v/>
      </c>
      <c r="D18" s="11">
        <f>'res_raw_24209644'!$D$16</f>
        <v/>
      </c>
      <c r="E18" s="11">
        <f>'res_raw_24209644'!$E$16</f>
        <v/>
      </c>
      <c r="F18" s="11">
        <f>'res_raw_24209644'!$F$16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'res_raw_24209644'!$B$17</f>
        <v/>
      </c>
      <c r="C19" s="8">
        <f>'res_raw_24209644'!$C$17</f>
        <v/>
      </c>
      <c r="D19" s="8">
        <f>'res_raw_24209644'!$D$17</f>
        <v/>
      </c>
      <c r="E19" s="8">
        <f>'res_raw_24209644'!$E$17</f>
        <v/>
      </c>
      <c r="F19" s="8">
        <f>'res_raw_24209644'!$F$17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'res_raw_24209644'!$B$18</f>
        <v/>
      </c>
      <c r="C20" s="11">
        <f>'res_raw_24209644'!$C$18</f>
        <v/>
      </c>
      <c r="D20" s="11">
        <f>'res_raw_24209644'!$D$18</f>
        <v/>
      </c>
      <c r="E20" s="11">
        <f>'res_raw_24209644'!$E$18</f>
        <v/>
      </c>
      <c r="F20" s="11">
        <f>'res_raw_24209644'!$F$18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'balance_raw_24209644'!$B$2</f>
        <v/>
      </c>
      <c r="C23" s="8">
        <f>'balance_raw_24209644'!$C$2</f>
        <v/>
      </c>
      <c r="D23" s="8">
        <f>'balance_raw_24209644'!$D$2</f>
        <v/>
      </c>
      <c r="E23" s="8">
        <f>'balance_raw_24209644'!$E$2</f>
        <v/>
      </c>
      <c r="F23" s="8">
        <f>'balance_raw_24209644'!$F$2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'balance_raw_24209644'!$B$3</f>
        <v/>
      </c>
      <c r="C24" s="5">
        <f>'balance_raw_24209644'!$C$3</f>
        <v/>
      </c>
      <c r="D24" s="5">
        <f>'balance_raw_24209644'!$D$3</f>
        <v/>
      </c>
      <c r="E24" s="5">
        <f>'balance_raw_24209644'!$E$3</f>
        <v/>
      </c>
      <c r="F24" s="5">
        <f>'balance_raw_24209644'!$F$3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'balance_raw_24209644'!$B$4</f>
        <v/>
      </c>
      <c r="C25" s="8">
        <f>'balance_raw_24209644'!$C$4</f>
        <v/>
      </c>
      <c r="D25" s="8">
        <f>'balance_raw_24209644'!$D$4</f>
        <v/>
      </c>
      <c r="E25" s="8">
        <f>'balance_raw_24209644'!$E$4</f>
        <v/>
      </c>
      <c r="F25" s="8">
        <f>'balance_raw_24209644'!$F$4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'balance_raw_24209644'!$B$5</f>
        <v/>
      </c>
      <c r="C26" s="11">
        <f>'balance_raw_24209644'!$C$5</f>
        <v/>
      </c>
      <c r="D26" s="11">
        <f>'balance_raw_24209644'!$D$5</f>
        <v/>
      </c>
      <c r="E26" s="11">
        <f>'balance_raw_24209644'!$E$5</f>
        <v/>
      </c>
      <c r="F26" s="11">
        <f>'balance_raw_24209644'!$F$5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'balance_raw_24209644'!$B$6</f>
        <v/>
      </c>
      <c r="C27" s="8">
        <f>'balance_raw_24209644'!$C$6</f>
        <v/>
      </c>
      <c r="D27" s="8">
        <f>'balance_raw_24209644'!$D$6</f>
        <v/>
      </c>
      <c r="E27" s="8">
        <f>'balance_raw_24209644'!$E$6</f>
        <v/>
      </c>
      <c r="F27" s="8">
        <f>'balance_raw_24209644'!$F$6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'balance_raw_24209644'!$B$7</f>
        <v/>
      </c>
      <c r="C28" s="5">
        <f>'balance_raw_24209644'!$C$7</f>
        <v/>
      </c>
      <c r="D28" s="5">
        <f>'balance_raw_24209644'!$D$7</f>
        <v/>
      </c>
      <c r="E28" s="5">
        <f>'balance_raw_24209644'!$E$7</f>
        <v/>
      </c>
      <c r="F28" s="5">
        <f>'balance_raw_24209644'!$F$7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'balance_raw_24209644'!$B$8</f>
        <v/>
      </c>
      <c r="C29" s="8">
        <f>'balance_raw_24209644'!$C$8</f>
        <v/>
      </c>
      <c r="D29" s="8">
        <f>'balance_raw_24209644'!$D$8</f>
        <v/>
      </c>
      <c r="E29" s="8">
        <f>'balance_raw_24209644'!$E$8</f>
        <v/>
      </c>
      <c r="F29" s="8">
        <f>'balance_raw_24209644'!$F$8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'balance_raw_24209644'!$B$9</f>
        <v/>
      </c>
      <c r="C30" s="5">
        <f>'balance_raw_24209644'!$C$9</f>
        <v/>
      </c>
      <c r="D30" s="5">
        <f>'balance_raw_24209644'!$D$9</f>
        <v/>
      </c>
      <c r="E30" s="5">
        <f>'balance_raw_24209644'!$E$9</f>
        <v/>
      </c>
      <c r="F30" s="5">
        <f>'balance_raw_24209644'!$F$9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'balance_raw_24209644'!$B$10</f>
        <v/>
      </c>
      <c r="C31" s="8">
        <f>'balance_raw_24209644'!$C$10</f>
        <v/>
      </c>
      <c r="D31" s="8">
        <f>'balance_raw_24209644'!$D$10</f>
        <v/>
      </c>
      <c r="E31" s="8">
        <f>'balance_raw_24209644'!$E$10</f>
        <v/>
      </c>
      <c r="F31" s="8">
        <f>'balance_raw_24209644'!$F$10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'balance_raw_24209644'!$B$11</f>
        <v/>
      </c>
      <c r="C32" s="11">
        <f>'balance_raw_24209644'!$C$11</f>
        <v/>
      </c>
      <c r="D32" s="11">
        <f>'balance_raw_24209644'!$D$11</f>
        <v/>
      </c>
      <c r="E32" s="11">
        <f>'balance_raw_24209644'!$E$11</f>
        <v/>
      </c>
      <c r="F32" s="11">
        <f>'balance_raw_24209644'!$F$11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'balance_raw_24209644'!$B$12</f>
        <v/>
      </c>
      <c r="C33" s="8">
        <f>'balance_raw_24209644'!$C$12</f>
        <v/>
      </c>
      <c r="D33" s="8">
        <f>'balance_raw_24209644'!$D$12</f>
        <v/>
      </c>
      <c r="E33" s="8">
        <f>'balance_raw_24209644'!$E$12</f>
        <v/>
      </c>
      <c r="F33" s="8">
        <f>'balance_raw_24209644'!$F$12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'balance_raw_24209644'!$B$13</f>
        <v/>
      </c>
      <c r="C34" s="5">
        <f>'balance_raw_24209644'!$C$13</f>
        <v/>
      </c>
      <c r="D34" s="5">
        <f>'balance_raw_24209644'!$D$13</f>
        <v/>
      </c>
      <c r="E34" s="5">
        <f>'balance_raw_24209644'!$E$13</f>
        <v/>
      </c>
      <c r="F34" s="5">
        <f>'balance_raw_24209644'!$F$13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'balance_raw_24209644'!$B$14</f>
        <v/>
      </c>
      <c r="C35" s="11">
        <f>'balance_raw_24209644'!$C$14</f>
        <v/>
      </c>
      <c r="D35" s="11">
        <f>'balance_raw_24209644'!$D$14</f>
        <v/>
      </c>
      <c r="E35" s="11">
        <f>'balance_raw_24209644'!$E$14</f>
        <v/>
      </c>
      <c r="F35" s="11">
        <f>'balance_raw_24209644'!$F$14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'balance_raw_24209644'!$B$15</f>
        <v/>
      </c>
      <c r="C36" s="11">
        <f>'balance_raw_24209644'!$C$15</f>
        <v/>
      </c>
      <c r="D36" s="11">
        <f>'balance_raw_24209644'!$D$15</f>
        <v/>
      </c>
      <c r="E36" s="11">
        <f>'balance_raw_24209644'!$E$15</f>
        <v/>
      </c>
      <c r="F36" s="11">
        <f>'balance_raw_24209644'!$F$15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'balance_raw_24209644'!$B$16</f>
        <v/>
      </c>
      <c r="C37" s="8">
        <f>'balance_raw_24209644'!$C$16</f>
        <v/>
      </c>
      <c r="D37" s="8">
        <f>'balance_raw_24209644'!$D$16</f>
        <v/>
      </c>
      <c r="E37" s="8">
        <f>'balance_raw_24209644'!$E$16</f>
        <v/>
      </c>
      <c r="F37" s="8">
        <f>'balance_raw_24209644'!$F$16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'balance_raw_24209644'!$B$17</f>
        <v/>
      </c>
      <c r="C38" s="5">
        <f>'balance_raw_24209644'!$C$17</f>
        <v/>
      </c>
      <c r="D38" s="5">
        <f>'balance_raw_24209644'!$D$17</f>
        <v/>
      </c>
      <c r="E38" s="5">
        <f>'balance_raw_24209644'!$E$17</f>
        <v/>
      </c>
      <c r="F38" s="5">
        <f>'balance_raw_24209644'!$F$17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'balance_raw_24209644'!$B$18</f>
        <v/>
      </c>
      <c r="C39" s="8">
        <f>'balance_raw_24209644'!$C$18</f>
        <v/>
      </c>
      <c r="D39" s="8">
        <f>'balance_raw_24209644'!$D$18</f>
        <v/>
      </c>
      <c r="E39" s="8">
        <f>'balance_raw_24209644'!$E$18</f>
        <v/>
      </c>
      <c r="F39" s="8">
        <f>'balance_raw_24209644'!$F$18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'balance_raw_24209644'!$B$19</f>
        <v/>
      </c>
      <c r="C40" s="11">
        <f>'balance_raw_24209644'!$C$19</f>
        <v/>
      </c>
      <c r="D40" s="11">
        <f>'balance_raw_24209644'!$D$19</f>
        <v/>
      </c>
      <c r="E40" s="11">
        <f>'balance_raw_24209644'!$E$19</f>
        <v/>
      </c>
      <c r="F40" s="11">
        <f>'balance_raw_24209644'!$F$19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'balance_raw_24209644'!$B$20</f>
        <v/>
      </c>
      <c r="C41" s="8">
        <f>'balance_raw_24209644'!$C$20</f>
        <v/>
      </c>
      <c r="D41" s="8">
        <f>'balance_raw_24209644'!$D$20</f>
        <v/>
      </c>
      <c r="E41" s="8">
        <f>'balance_raw_24209644'!$E$20</f>
        <v/>
      </c>
      <c r="F41" s="8">
        <f>'balance_raw_24209644'!$F$20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'balance_raw_24209644'!$B$21</f>
        <v/>
      </c>
      <c r="C42" s="5">
        <f>'balance_raw_24209644'!$C$21</f>
        <v/>
      </c>
      <c r="D42" s="5">
        <f>'balance_raw_24209644'!$D$21</f>
        <v/>
      </c>
      <c r="E42" s="5">
        <f>'balance_raw_24209644'!$E$21</f>
        <v/>
      </c>
      <c r="F42" s="5">
        <f>'balance_raw_24209644'!$F$21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'balance_raw_24209644'!$B$22</f>
        <v/>
      </c>
      <c r="C43" s="8">
        <f>'balance_raw_24209644'!$C$22</f>
        <v/>
      </c>
      <c r="D43" s="8">
        <f>'balance_raw_24209644'!$D$22</f>
        <v/>
      </c>
      <c r="E43" s="8">
        <f>'balance_raw_24209644'!$E$22</f>
        <v/>
      </c>
      <c r="F43" s="8">
        <f>'balance_raw_24209644'!$F$22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'balance_raw_24209644'!$B$23</f>
        <v/>
      </c>
      <c r="C44" s="5">
        <f>'balance_raw_24209644'!$C$23</f>
        <v/>
      </c>
      <c r="D44" s="5">
        <f>'balance_raw_24209644'!$D$23</f>
        <v/>
      </c>
      <c r="E44" s="5">
        <f>'balance_raw_24209644'!$E$23</f>
        <v/>
      </c>
      <c r="F44" s="5">
        <f>'balance_raw_24209644'!$F$23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'balance_raw_24209644'!$B$24</f>
        <v/>
      </c>
      <c r="C45" s="8">
        <f>'balance_raw_24209644'!$C$24</f>
        <v/>
      </c>
      <c r="D45" s="8">
        <f>'balance_raw_24209644'!$D$24</f>
        <v/>
      </c>
      <c r="E45" s="8">
        <f>'balance_raw_24209644'!$E$24</f>
        <v/>
      </c>
      <c r="F45" s="8">
        <f>'balance_raw_24209644'!$F$24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'balance_raw_24209644'!$B$25</f>
        <v/>
      </c>
      <c r="C46" s="5">
        <f>'balance_raw_24209644'!$C$25</f>
        <v/>
      </c>
      <c r="D46" s="5">
        <f>'balance_raw_24209644'!$D$25</f>
        <v/>
      </c>
      <c r="E46" s="5">
        <f>'balance_raw_24209644'!$E$25</f>
        <v/>
      </c>
      <c r="F46" s="5">
        <f>'balance_raw_24209644'!$F$25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'balance_raw_24209644'!$B$26</f>
        <v/>
      </c>
      <c r="C47" s="8">
        <f>'balance_raw_24209644'!$C$26</f>
        <v/>
      </c>
      <c r="D47" s="8">
        <f>'balance_raw_24209644'!$D$26</f>
        <v/>
      </c>
      <c r="E47" s="8">
        <f>'balance_raw_24209644'!$E$26</f>
        <v/>
      </c>
      <c r="F47" s="8">
        <f>'balance_raw_24209644'!$F$26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'balance_raw_24209644'!$B$27</f>
        <v/>
      </c>
      <c r="C48" s="11">
        <f>'balance_raw_24209644'!$C$27</f>
        <v/>
      </c>
      <c r="D48" s="11">
        <f>'balance_raw_24209644'!$D$27</f>
        <v/>
      </c>
      <c r="E48" s="11">
        <f>'balance_raw_24209644'!$E$27</f>
        <v/>
      </c>
      <c r="F48" s="11">
        <f>'balance_raw_24209644'!$F$27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'balance_raw_24209644'!$B$28</f>
        <v/>
      </c>
      <c r="C49" s="8">
        <f>'balance_raw_24209644'!$C$28</f>
        <v/>
      </c>
      <c r="D49" s="8">
        <f>'balance_raw_24209644'!$D$28</f>
        <v/>
      </c>
      <c r="E49" s="8">
        <f>'balance_raw_24209644'!$E$28</f>
        <v/>
      </c>
      <c r="F49" s="8">
        <f>'balance_raw_24209644'!$F$28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'balance_raw_24209644'!$B$29</f>
        <v/>
      </c>
      <c r="C50" s="5">
        <f>'balance_raw_24209644'!$C$29</f>
        <v/>
      </c>
      <c r="D50" s="5">
        <f>'balance_raw_24209644'!$D$29</f>
        <v/>
      </c>
      <c r="E50" s="5">
        <f>'balance_raw_24209644'!$E$29</f>
        <v/>
      </c>
      <c r="F50" s="5">
        <f>'balance_raw_24209644'!$F$29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'balance_raw_24209644'!$B$30</f>
        <v/>
      </c>
      <c r="C51" s="11">
        <f>'balance_raw_24209644'!$C$30</f>
        <v/>
      </c>
      <c r="D51" s="11">
        <f>'balance_raw_24209644'!$D$30</f>
        <v/>
      </c>
      <c r="E51" s="11">
        <f>'balance_raw_24209644'!$E$30</f>
        <v/>
      </c>
      <c r="F51" s="11">
        <f>'balance_raw_24209644'!$F$30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'balance_raw_24209644'!$B$31</f>
        <v/>
      </c>
      <c r="C52" s="11">
        <f>'balance_raw_24209644'!$C$31</f>
        <v/>
      </c>
      <c r="D52" s="11">
        <f>'balance_raw_24209644'!$D$31</f>
        <v/>
      </c>
      <c r="E52" s="11">
        <f>'balance_raw_24209644'!$E$31</f>
        <v/>
      </c>
      <c r="F52" s="11">
        <f>'balance_raw_24209644'!$F$31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'balance_raw_24209644'!$B$32</f>
        <v/>
      </c>
      <c r="C55" s="8">
        <f>'balance_raw_24209644'!$C$32</f>
        <v/>
      </c>
      <c r="D55" s="8">
        <f>'balance_raw_24209644'!$D$32</f>
        <v/>
      </c>
      <c r="E55" s="8">
        <f>'balance_raw_24209644'!$E$32</f>
        <v/>
      </c>
      <c r="F55" s="8">
        <f>'balance_raw_24209644'!$F$32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'balance_raw_24209644'!$B$33</f>
        <v/>
      </c>
      <c r="C56" s="5">
        <f>'balance_raw_24209644'!$C$33</f>
        <v/>
      </c>
      <c r="D56" s="5">
        <f>'balance_raw_24209644'!$D$33</f>
        <v/>
      </c>
      <c r="E56" s="5">
        <f>'balance_raw_24209644'!$E$33</f>
        <v/>
      </c>
      <c r="F56" s="5">
        <f>'balance_raw_24209644'!$F$33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'balance_raw_24209644'!$B$34</f>
        <v/>
      </c>
      <c r="C57" s="8">
        <f>'balance_raw_24209644'!$C$34</f>
        <v/>
      </c>
      <c r="D57" s="8">
        <f>'balance_raw_24209644'!$D$34</f>
        <v/>
      </c>
      <c r="E57" s="8">
        <f>'balance_raw_24209644'!$E$34</f>
        <v/>
      </c>
      <c r="F57" s="8">
        <f>'balance_raw_24209644'!$F$34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'balance_raw_24209644'!$B$35</f>
        <v/>
      </c>
      <c r="C58" s="5">
        <f>'balance_raw_24209644'!$C$35</f>
        <v/>
      </c>
      <c r="D58" s="5">
        <f>'balance_raw_24209644'!$D$35</f>
        <v/>
      </c>
      <c r="E58" s="5">
        <f>'balance_raw_24209644'!$E$35</f>
        <v/>
      </c>
      <c r="F58" s="5">
        <f>'balance_raw_24209644'!$F$35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'balance_raw_24209644'!$B$36</f>
        <v/>
      </c>
      <c r="C59" s="8">
        <f>'balance_raw_24209644'!$C$36</f>
        <v/>
      </c>
      <c r="D59" s="8">
        <f>'balance_raw_24209644'!$D$36</f>
        <v/>
      </c>
      <c r="E59" s="8">
        <f>'balance_raw_24209644'!$E$36</f>
        <v/>
      </c>
      <c r="F59" s="8">
        <f>'balance_raw_24209644'!$F$36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'balance_raw_24209644'!$B$37</f>
        <v/>
      </c>
      <c r="C60" s="5">
        <f>'balance_raw_24209644'!$C$37</f>
        <v/>
      </c>
      <c r="D60" s="5">
        <f>'balance_raw_24209644'!$D$37</f>
        <v/>
      </c>
      <c r="E60" s="5">
        <f>'balance_raw_24209644'!$E$37</f>
        <v/>
      </c>
      <c r="F60" s="5">
        <f>'balance_raw_24209644'!$F$37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'balance_raw_24209644'!$B$38</f>
        <v/>
      </c>
      <c r="C61" s="11">
        <f>'balance_raw_24209644'!$C$38</f>
        <v/>
      </c>
      <c r="D61" s="11">
        <f>'balance_raw_24209644'!$D$38</f>
        <v/>
      </c>
      <c r="E61" s="11">
        <f>'balance_raw_24209644'!$E$38</f>
        <v/>
      </c>
      <c r="F61" s="11">
        <f>'balance_raw_24209644'!$F$38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'balance_raw_24209644'!$B$39</f>
        <v/>
      </c>
      <c r="C62" s="5">
        <f>'balance_raw_24209644'!$C$39</f>
        <v/>
      </c>
      <c r="D62" s="5">
        <f>'balance_raw_24209644'!$D$39</f>
        <v/>
      </c>
      <c r="E62" s="5">
        <f>'balance_raw_24209644'!$E$39</f>
        <v/>
      </c>
      <c r="F62" s="5">
        <f>'balance_raw_24209644'!$F$39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'balance_raw_24209644'!$B$40</f>
        <v/>
      </c>
      <c r="C63" s="11">
        <f>'balance_raw_24209644'!$C$40</f>
        <v/>
      </c>
      <c r="D63" s="11">
        <f>'balance_raw_24209644'!$D$40</f>
        <v/>
      </c>
      <c r="E63" s="11">
        <f>'balance_raw_24209644'!$E$40</f>
        <v/>
      </c>
      <c r="F63" s="11">
        <f>'balance_raw_24209644'!$F$40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'balance_raw_24209644'!$B$41</f>
        <v/>
      </c>
      <c r="C64" s="5">
        <f>'balance_raw_24209644'!$C$41</f>
        <v/>
      </c>
      <c r="D64" s="5">
        <f>'balance_raw_24209644'!$D$41</f>
        <v/>
      </c>
      <c r="E64" s="5">
        <f>'balance_raw_24209644'!$E$41</f>
        <v/>
      </c>
      <c r="F64" s="5">
        <f>'balance_raw_24209644'!$F$41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'balance_raw_24209644'!$B$42</f>
        <v/>
      </c>
      <c r="C65" s="8">
        <f>'balance_raw_24209644'!$C$42</f>
        <v/>
      </c>
      <c r="D65" s="8">
        <f>'balance_raw_24209644'!$D$42</f>
        <v/>
      </c>
      <c r="E65" s="8">
        <f>'balance_raw_24209644'!$E$42</f>
        <v/>
      </c>
      <c r="F65" s="8">
        <f>'balance_raw_24209644'!$F$42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'balance_raw_24209644'!$B$43</f>
        <v/>
      </c>
      <c r="C66" s="5">
        <f>'balance_raw_24209644'!$C$43</f>
        <v/>
      </c>
      <c r="D66" s="5">
        <f>'balance_raw_24209644'!$D$43</f>
        <v/>
      </c>
      <c r="E66" s="5">
        <f>'balance_raw_24209644'!$E$43</f>
        <v/>
      </c>
      <c r="F66" s="5">
        <f>'balance_raw_24209644'!$F$43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'balance_raw_24209644'!$B$44</f>
        <v/>
      </c>
      <c r="C67" s="8">
        <f>'balance_raw_24209644'!$C$44</f>
        <v/>
      </c>
      <c r="D67" s="8">
        <f>'balance_raw_24209644'!$D$44</f>
        <v/>
      </c>
      <c r="E67" s="8">
        <f>'balance_raw_24209644'!$E$44</f>
        <v/>
      </c>
      <c r="F67" s="8">
        <f>'balance_raw_24209644'!$F$44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'balance_raw_24209644'!$B$45</f>
        <v/>
      </c>
      <c r="C68" s="11">
        <f>'balance_raw_24209644'!$C$45</f>
        <v/>
      </c>
      <c r="D68" s="11">
        <f>'balance_raw_24209644'!$D$45</f>
        <v/>
      </c>
      <c r="E68" s="11">
        <f>'balance_raw_24209644'!$E$45</f>
        <v/>
      </c>
      <c r="F68" s="11">
        <f>'balance_raw_24209644'!$F$45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'balance_raw_24209644'!$B$46</f>
        <v/>
      </c>
      <c r="C69" s="8">
        <f>'balance_raw_24209644'!$C$46</f>
        <v/>
      </c>
      <c r="D69" s="8">
        <f>'balance_raw_24209644'!$D$46</f>
        <v/>
      </c>
      <c r="E69" s="8">
        <f>'balance_raw_24209644'!$E$46</f>
        <v/>
      </c>
      <c r="F69" s="8">
        <f>'balance_raw_24209644'!$F$46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'balance_raw_24209644'!$B$47</f>
        <v/>
      </c>
      <c r="C70" s="5">
        <f>'balance_raw_24209644'!$C$47</f>
        <v/>
      </c>
      <c r="D70" s="5">
        <f>'balance_raw_24209644'!$D$47</f>
        <v/>
      </c>
      <c r="E70" s="5">
        <f>'balance_raw_24209644'!$E$47</f>
        <v/>
      </c>
      <c r="F70" s="5">
        <f>'balance_raw_24209644'!$F$47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'balance_raw_24209644'!$B$48</f>
        <v/>
      </c>
      <c r="C71" s="8">
        <f>'balance_raw_24209644'!$C$48</f>
        <v/>
      </c>
      <c r="D71" s="8">
        <f>'balance_raw_24209644'!$D$48</f>
        <v/>
      </c>
      <c r="E71" s="8">
        <f>'balance_raw_24209644'!$E$48</f>
        <v/>
      </c>
      <c r="F71" s="8">
        <f>'balance_raw_24209644'!$F$48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'balance_raw_24209644'!$B$49</f>
        <v/>
      </c>
      <c r="C72" s="5">
        <f>'balance_raw_24209644'!$C$49</f>
        <v/>
      </c>
      <c r="D72" s="5">
        <f>'balance_raw_24209644'!$D$49</f>
        <v/>
      </c>
      <c r="E72" s="5">
        <f>'balance_raw_24209644'!$E$49</f>
        <v/>
      </c>
      <c r="F72" s="5">
        <f>'balance_raw_24209644'!$F$49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'balance_raw_24209644'!$B$50</f>
        <v/>
      </c>
      <c r="C73" s="8">
        <f>'balance_raw_24209644'!$C$50</f>
        <v/>
      </c>
      <c r="D73" s="8">
        <f>'balance_raw_24209644'!$D$50</f>
        <v/>
      </c>
      <c r="E73" s="8">
        <f>'balance_raw_24209644'!$E$50</f>
        <v/>
      </c>
      <c r="F73" s="8">
        <f>'balance_raw_24209644'!$F$50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'balance_raw_24209644'!$B$51</f>
        <v/>
      </c>
      <c r="C74" s="5">
        <f>'balance_raw_24209644'!$C$51</f>
        <v/>
      </c>
      <c r="D74" s="5">
        <f>'balance_raw_24209644'!$D$51</f>
        <v/>
      </c>
      <c r="E74" s="5">
        <f>'balance_raw_24209644'!$E$51</f>
        <v/>
      </c>
      <c r="F74" s="5">
        <f>'balance_raw_24209644'!$F$51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'balance_raw_24209644'!$B$52</f>
        <v/>
      </c>
      <c r="C75" s="8">
        <f>'balance_raw_24209644'!$C$52</f>
        <v/>
      </c>
      <c r="D75" s="8">
        <f>'balance_raw_24209644'!$D$52</f>
        <v/>
      </c>
      <c r="E75" s="8">
        <f>'balance_raw_24209644'!$E$52</f>
        <v/>
      </c>
      <c r="F75" s="8">
        <f>'balance_raw_24209644'!$F$52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'balance_raw_24209644'!$B$53</f>
        <v/>
      </c>
      <c r="C76" s="5">
        <f>'balance_raw_24209644'!$C$53</f>
        <v/>
      </c>
      <c r="D76" s="5">
        <f>'balance_raw_24209644'!$D$53</f>
        <v/>
      </c>
      <c r="E76" s="5">
        <f>'balance_raw_24209644'!$E$53</f>
        <v/>
      </c>
      <c r="F76" s="5">
        <f>'balance_raw_24209644'!$F$53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'balance_raw_24209644'!$B$54</f>
        <v/>
      </c>
      <c r="C77" s="8">
        <f>'balance_raw_24209644'!$C$54</f>
        <v/>
      </c>
      <c r="D77" s="8">
        <f>'balance_raw_24209644'!$D$54</f>
        <v/>
      </c>
      <c r="E77" s="8">
        <f>'balance_raw_24209644'!$E$54</f>
        <v/>
      </c>
      <c r="F77" s="8">
        <f>'balance_raw_24209644'!$F$54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'balance_raw_24209644'!$B$55</f>
        <v/>
      </c>
      <c r="C78" s="5">
        <f>'balance_raw_24209644'!$C$55</f>
        <v/>
      </c>
      <c r="D78" s="5">
        <f>'balance_raw_24209644'!$D$55</f>
        <v/>
      </c>
      <c r="E78" s="5">
        <f>'balance_raw_24209644'!$E$55</f>
        <v/>
      </c>
      <c r="F78" s="5">
        <f>'balance_raw_24209644'!$F$55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'balance_raw_24209644'!$B$56</f>
        <v/>
      </c>
      <c r="C79" s="8">
        <f>'balance_raw_24209644'!$C$56</f>
        <v/>
      </c>
      <c r="D79" s="8">
        <f>'balance_raw_24209644'!$D$56</f>
        <v/>
      </c>
      <c r="E79" s="8">
        <f>'balance_raw_24209644'!$E$56</f>
        <v/>
      </c>
      <c r="F79" s="8">
        <f>'balance_raw_24209644'!$F$56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'balance_raw_24209644'!$B$57</f>
        <v/>
      </c>
      <c r="C80" s="11">
        <f>'balance_raw_24209644'!$C$57</f>
        <v/>
      </c>
      <c r="D80" s="11">
        <f>'balance_raw_24209644'!$D$57</f>
        <v/>
      </c>
      <c r="E80" s="11">
        <f>'balance_raw_24209644'!$E$57</f>
        <v/>
      </c>
      <c r="F80" s="11">
        <f>'balance_raw_24209644'!$F$57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'balance_raw_24209644'!$B$58</f>
        <v/>
      </c>
      <c r="C81" s="11">
        <f>'balance_raw_24209644'!$C$58</f>
        <v/>
      </c>
      <c r="D81" s="11">
        <f>'balance_raw_24209644'!$D$58</f>
        <v/>
      </c>
      <c r="E81" s="11">
        <f>'balance_raw_24209644'!$E$58</f>
        <v/>
      </c>
      <c r="F81" s="11">
        <f>'balance_raw_24209644'!$F$58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'balance_raw_24209644'!$B$59</f>
        <v/>
      </c>
      <c r="C82" s="11">
        <f>'balance_raw_24209644'!$C$59</f>
        <v/>
      </c>
      <c r="D82" s="11">
        <f>'balance_raw_24209644'!$D$59</f>
        <v/>
      </c>
      <c r="E82" s="11">
        <f>'balance_raw_24209644'!$E$59</f>
        <v/>
      </c>
      <c r="F82" s="11">
        <f>'balance_raw_24209644'!$F$59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'res_raw_24209644'!$B$19</f>
        <v/>
      </c>
      <c r="C85" s="8">
        <f>'res_raw_24209644'!$C$19</f>
        <v/>
      </c>
      <c r="D85" s="8">
        <f>'res_raw_24209644'!$D$19</f>
        <v/>
      </c>
      <c r="E85" s="8">
        <f>'res_raw_24209644'!$E$19</f>
        <v/>
      </c>
      <c r="F85" s="8">
        <f>'res_raw_24209644'!$F$19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'res_raw_24209644'!$B$20</f>
        <v/>
      </c>
      <c r="C86" s="5">
        <f>'res_raw_24209644'!$C$20</f>
        <v/>
      </c>
      <c r="D86" s="5">
        <f>'res_raw_24209644'!$D$20</f>
        <v/>
      </c>
      <c r="E86" s="5">
        <f>'res_raw_24209644'!$E$20</f>
        <v/>
      </c>
      <c r="F86" s="5">
        <f>'res_raw_24209644'!$F$20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 (af bruttofortjeneste), %</t>
        </is>
      </c>
      <c r="B90" s="14">
        <f>IFERROR(($B$13+$B$15+$B$14)/$B$8*100,"")</f>
        <v/>
      </c>
      <c r="C90" s="14">
        <f>IFERROR(($C$13+$C$15+$C$14)/$C$8*100,"")</f>
        <v/>
      </c>
      <c r="D90" s="14">
        <f>IFERROR(($D$13+$D$15+$D$14)/$D$8*100,"")</f>
        <v/>
      </c>
      <c r="E90" s="14">
        <f>IFERROR(($E$13+$E$15+$E$14)/$E$8*100,"")</f>
        <v/>
      </c>
      <c r="F90" s="14">
        <f>IFERROR(($F$13+$F$15+$F$14)/$F$8*100,"")</f>
        <v/>
      </c>
    </row>
    <row r="91" ht="16" customHeight="1">
      <c r="A91" s="7" t="inlineStr">
        <is>
          <t>Aktivernes omsætningshastighed (af bruttofortjeneste), gange</t>
        </is>
      </c>
      <c r="B91" s="13">
        <f>IFERROR($B$8/$B$52,"")</f>
        <v/>
      </c>
      <c r="C91" s="13">
        <f>IFERROR($C$8/$C$52,"")</f>
        <v/>
      </c>
      <c r="D91" s="13">
        <f>IFERROR($D$8/$D$52,"")</f>
        <v/>
      </c>
      <c r="E91" s="13">
        <f>IFERROR($E$8/$E$52,"")</f>
        <v/>
      </c>
      <c r="F91" s="13">
        <f>IFERROR($F$8/$F$52,"")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'pengestrom_raw_24209644'!$B$2</f>
        <v/>
      </c>
      <c r="C102" s="17">
        <f>'pengestrom_raw_24209644'!$C$2</f>
        <v/>
      </c>
      <c r="D102" s="17">
        <f>'pengestrom_raw_24209644'!$D$2</f>
        <v/>
      </c>
      <c r="E102" s="17">
        <f>'pengestrom_raw_24209644'!$E$2</f>
        <v/>
      </c>
      <c r="F102" s="17">
        <f>'pengestrom_raw_24209644'!$F$2</f>
        <v/>
      </c>
    </row>
    <row r="103">
      <c r="A103" s="16" t="inlineStr">
        <is>
          <t>Pengestrømme fra investeringsaktivitet</t>
        </is>
      </c>
      <c r="B103" s="17">
        <f>'pengestrom_raw_24209644'!$B$3</f>
        <v/>
      </c>
      <c r="C103" s="17">
        <f>'pengestrom_raw_24209644'!$C$3</f>
        <v/>
      </c>
      <c r="D103" s="17">
        <f>'pengestrom_raw_24209644'!$D$3</f>
        <v/>
      </c>
      <c r="E103" s="17">
        <f>'pengestrom_raw_24209644'!$E$3</f>
        <v/>
      </c>
      <c r="F103" s="17">
        <f>'pengestrom_raw_24209644'!$F$3</f>
        <v/>
      </c>
    </row>
    <row r="104">
      <c r="A104" s="16" t="inlineStr">
        <is>
          <t>Pengestrømme fra finansieringsaktivitet</t>
        </is>
      </c>
      <c r="B104" s="17">
        <f>'pengestrom_raw_24209644'!$B$4</f>
        <v/>
      </c>
      <c r="C104" s="17">
        <f>'pengestrom_raw_24209644'!$C$4</f>
        <v/>
      </c>
      <c r="D104" s="17">
        <f>'pengestrom_raw_24209644'!$D$4</f>
        <v/>
      </c>
      <c r="E104" s="17">
        <f>'pengestrom_raw_24209644'!$E$4</f>
        <v/>
      </c>
      <c r="F104" s="17">
        <f>'pengestrom_raw_24209644'!$F$4</f>
        <v/>
      </c>
    </row>
    <row r="105">
      <c r="A105" s="16" t="inlineStr">
        <is>
          <t>Årets pengestrøm (rapporteret)</t>
        </is>
      </c>
      <c r="B105" s="17">
        <f>'pengestrom_raw_24209644'!$B$5</f>
        <v/>
      </c>
      <c r="C105" s="17">
        <f>'pengestrom_raw_24209644'!$C$5</f>
        <v/>
      </c>
      <c r="D105" s="17">
        <f>'pengestrom_raw_24209644'!$D$5</f>
        <v/>
      </c>
      <c r="E105" s="17">
        <f>'pengestrom_raw_24209644'!$E$5</f>
        <v/>
      </c>
      <c r="F105" s="17">
        <f>'pengestrom_raw_24209644'!$F$5</f>
        <v/>
      </c>
    </row>
    <row r="106">
      <c r="A106" s="16" t="inlineStr">
        <is>
          <t>Krydstjek: drift + inv. + fin. = årets pengestrøm</t>
        </is>
      </c>
      <c r="B106">
        <f>IF(ABS(('pengestrom_raw_24209644'!$B$2+'pengestrom_raw_24209644'!$B$3+'pengestrom_raw_24209644'!$B$4)-'pengestrom_raw_24209644'!$B$5)&lt;=2,"✓","⚠ "&amp;TEXT(('pengestrom_raw_24209644'!$B$2+'pengestrom_raw_24209644'!$B$3+'pengestrom_raw_24209644'!$B$4)-'pengestrom_raw_24209644'!$B$5,"+#,##0;-#,##0"))</f>
        <v/>
      </c>
      <c r="C106">
        <f>IF(ABS(('pengestrom_raw_24209644'!$C$2+'pengestrom_raw_24209644'!$C$3+'pengestrom_raw_24209644'!$C$4)-'pengestrom_raw_24209644'!$C$5)&lt;=2,"✓","⚠ "&amp;TEXT(('pengestrom_raw_24209644'!$C$2+'pengestrom_raw_24209644'!$C$3+'pengestrom_raw_24209644'!$C$4)-'pengestrom_raw_24209644'!$C$5,"+#,##0;-#,##0"))</f>
        <v/>
      </c>
      <c r="D106">
        <f>IF(ABS(('pengestrom_raw_24209644'!$D$2+'pengestrom_raw_24209644'!$D$3+'pengestrom_raw_24209644'!$D$4)-'pengestrom_raw_24209644'!$D$5)&lt;=2,"✓","⚠ "&amp;TEXT(('pengestrom_raw_24209644'!$D$2+'pengestrom_raw_24209644'!$D$3+'pengestrom_raw_24209644'!$D$4)-'pengestrom_raw_24209644'!$D$5,"+#,##0;-#,##0"))</f>
        <v/>
      </c>
      <c r="E106">
        <f>IF(ABS(('pengestrom_raw_24209644'!$E$2+'pengestrom_raw_24209644'!$E$3+'pengestrom_raw_24209644'!$E$4)-'pengestrom_raw_24209644'!$E$5)&lt;=2,"✓","⚠ "&amp;TEXT(('pengestrom_raw_24209644'!$E$2+'pengestrom_raw_24209644'!$E$3+'pengestrom_raw_24209644'!$E$4)-'pengestrom_raw_24209644'!$E$5,"+#,##0;-#,##0"))</f>
        <v/>
      </c>
      <c r="F106">
        <f>IF(ABS(('pengestrom_raw_24209644'!$F$2+'pengestrom_raw_24209644'!$F$3+'pengestrom_raw_24209644'!$F$4)-'pengestrom_raw_24209644'!$F$5)&lt;=2,"✓","⚠ "&amp;TEXT(('pengestrom_raw_24209644'!$F$2+'pengestrom_raw_24209644'!$F$3+'pengestrom_raw_24209644'!$F$4)-'pengestrom_raw_24209644'!$F$5,"+#,##0;-#,##0"))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Summerbird A/S (CVR 24209644)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/>
      <c r="C2" s="17" t="n"/>
      <c r="D2" s="17" t="n"/>
      <c r="E2" s="17" t="n"/>
      <c r="F2" s="17" t="n"/>
    </row>
    <row r="3">
      <c r="A3" s="16" t="inlineStr">
        <is>
          <t>Andre driftsindtægter</t>
        </is>
      </c>
      <c r="B3" s="17" t="n"/>
      <c r="C3" s="17" t="n"/>
      <c r="D3" s="17" t="n"/>
      <c r="E3" s="17" t="n"/>
      <c r="F3" s="17" t="n"/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>
        <v>76789</v>
      </c>
      <c r="C6" s="17" t="n">
        <v>63713</v>
      </c>
      <c r="D6" s="17" t="n">
        <v>71345</v>
      </c>
      <c r="E6" s="17" t="n">
        <v>75110</v>
      </c>
      <c r="F6" s="17" t="n">
        <v>79378</v>
      </c>
    </row>
    <row r="7">
      <c r="A7" s="16" t="inlineStr">
        <is>
          <t>Personaleomkostninger</t>
        </is>
      </c>
      <c r="B7" s="17" t="n">
        <v>52468</v>
      </c>
      <c r="C7" s="17" t="n">
        <v>53982</v>
      </c>
      <c r="D7" s="17" t="n">
        <v>53647</v>
      </c>
      <c r="E7" s="17" t="n">
        <v>57334</v>
      </c>
      <c r="F7" s="17" t="n">
        <v>54041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5001</v>
      </c>
      <c r="C9" s="17" t="n">
        <v>6671</v>
      </c>
      <c r="D9" s="17" t="n">
        <v>6887</v>
      </c>
      <c r="E9" s="17" t="n">
        <v>6250</v>
      </c>
      <c r="F9" s="17" t="n">
        <v>4728</v>
      </c>
    </row>
    <row r="10">
      <c r="A10" s="16" t="inlineStr">
        <is>
          <t>Andre driftsomkostninger</t>
        </is>
      </c>
      <c r="B10" s="17" t="n">
        <v>0</v>
      </c>
      <c r="C10" s="17" t="n">
        <v>3531</v>
      </c>
      <c r="D10" s="17" t="n">
        <v>0</v>
      </c>
      <c r="E10" s="17" t="n">
        <v>865</v>
      </c>
      <c r="F10" s="17" t="n">
        <v>0</v>
      </c>
    </row>
    <row r="11">
      <c r="A11" s="15" t="inlineStr">
        <is>
          <t>Resultat af primær drift</t>
        </is>
      </c>
      <c r="B11" s="17" t="n">
        <v>19320</v>
      </c>
      <c r="C11" s="17" t="n">
        <v>-471</v>
      </c>
      <c r="D11" s="17" t="n">
        <v>10811</v>
      </c>
      <c r="E11" s="17" t="n">
        <v>10661</v>
      </c>
      <c r="F11" s="17" t="n">
        <v>20608</v>
      </c>
    </row>
    <row r="12">
      <c r="A12" s="16" t="inlineStr">
        <is>
          <t>Indtægter af kapitalandele, dattervirksomheder</t>
        </is>
      </c>
      <c r="B12" s="17" t="n">
        <v>-997</v>
      </c>
      <c r="C12" s="17" t="n">
        <v>-1877</v>
      </c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0</v>
      </c>
      <c r="C13" s="17" t="n">
        <v>437</v>
      </c>
      <c r="D13" s="17" t="n">
        <v>1506</v>
      </c>
      <c r="E13" s="17" t="n">
        <v>2256</v>
      </c>
      <c r="F13" s="17" t="n">
        <v>78</v>
      </c>
    </row>
    <row r="14">
      <c r="A14" s="16" t="inlineStr">
        <is>
          <t>Finansielle omkostninger</t>
        </is>
      </c>
      <c r="B14" s="17" t="n">
        <v>1274</v>
      </c>
      <c r="C14" s="17" t="n">
        <v>1983</v>
      </c>
      <c r="D14" s="17" t="n">
        <v>2598</v>
      </c>
      <c r="E14" s="17" t="n">
        <v>2815</v>
      </c>
      <c r="F14" s="17" t="n">
        <v>2767</v>
      </c>
    </row>
    <row r="15">
      <c r="A15" s="15" t="inlineStr">
        <is>
          <t>Finansielle poster, netto</t>
        </is>
      </c>
      <c r="B15" s="17" t="n">
        <v>-2271</v>
      </c>
      <c r="C15" s="17" t="n">
        <v>-3423</v>
      </c>
      <c r="D15" s="17" t="n">
        <v>-1091</v>
      </c>
      <c r="E15" s="17" t="n">
        <v>-560</v>
      </c>
      <c r="F15" s="17" t="n">
        <v>-2689</v>
      </c>
    </row>
    <row r="16">
      <c r="A16" s="15" t="inlineStr">
        <is>
          <t>Resultat før skat</t>
        </is>
      </c>
      <c r="B16" s="17" t="n">
        <v>17049</v>
      </c>
      <c r="C16" s="17" t="n">
        <v>-3894</v>
      </c>
      <c r="D16" s="17" t="n">
        <v>9720</v>
      </c>
      <c r="E16" s="17" t="n">
        <v>10101</v>
      </c>
      <c r="F16" s="17" t="n">
        <v>17919</v>
      </c>
    </row>
    <row r="17">
      <c r="A17" s="16" t="inlineStr">
        <is>
          <t>Skat af årets resultat</t>
        </is>
      </c>
      <c r="B17" s="17" t="n">
        <v>3943</v>
      </c>
      <c r="C17" s="17" t="n">
        <v>54</v>
      </c>
      <c r="D17" s="17" t="n">
        <v>2454</v>
      </c>
      <c r="E17" s="17" t="n">
        <v>2088</v>
      </c>
      <c r="F17" s="17" t="n">
        <v>4192</v>
      </c>
    </row>
    <row r="18">
      <c r="A18" s="15" t="inlineStr">
        <is>
          <t>Årets resultat</t>
        </is>
      </c>
      <c r="B18" s="17" t="n">
        <v>13106</v>
      </c>
      <c r="C18" s="17" t="n">
        <v>-3948</v>
      </c>
      <c r="D18" s="17" t="n">
        <v>7265</v>
      </c>
      <c r="E18" s="17" t="n">
        <v>8013</v>
      </c>
      <c r="F18" s="17" t="n">
        <v>13727</v>
      </c>
    </row>
    <row r="19">
      <c r="A19" s="16" t="inlineStr">
        <is>
          <t>Gns. antal medarbejdere</t>
        </is>
      </c>
      <c r="B19" s="17" t="n">
        <v>116</v>
      </c>
      <c r="C19" s="17" t="n">
        <v>118</v>
      </c>
      <c r="D19" s="17" t="n">
        <v>114</v>
      </c>
      <c r="E19" s="17" t="n">
        <v>116</v>
      </c>
      <c r="F19" s="17" t="n">
        <v>102</v>
      </c>
    </row>
    <row r="20">
      <c r="A20" s="16" t="inlineStr">
        <is>
          <t>Investering i materielle anlægsaktiver</t>
        </is>
      </c>
      <c r="B20" s="17" t="n">
        <v>-3024</v>
      </c>
      <c r="C20" s="17" t="n">
        <v>-1475</v>
      </c>
      <c r="D20" s="17" t="n">
        <v>3254</v>
      </c>
      <c r="E20" s="17" t="n">
        <v>4473</v>
      </c>
      <c r="F20" s="17" t="n">
        <v>3953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Summerbird A/S (CVR 24209644)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4355</v>
      </c>
      <c r="C2" s="17" t="n">
        <v>3712</v>
      </c>
      <c r="D2" s="17" t="n">
        <v>2378</v>
      </c>
      <c r="E2" s="17" t="n">
        <v>557</v>
      </c>
      <c r="F2" s="17" t="n">
        <v>0</v>
      </c>
    </row>
    <row r="3">
      <c r="A3" s="16" t="inlineStr">
        <is>
          <t>Patenter, varemærker mv.</t>
        </is>
      </c>
      <c r="B3" s="17" t="n">
        <v>102</v>
      </c>
      <c r="C3" s="17" t="n">
        <v>54</v>
      </c>
      <c r="D3" s="17" t="n">
        <v>18</v>
      </c>
      <c r="E3" s="17" t="n">
        <v>0</v>
      </c>
      <c r="F3" s="17" t="n">
        <v>0</v>
      </c>
    </row>
    <row r="4">
      <c r="A4" s="16" t="inlineStr">
        <is>
          <t>Goodwill</t>
        </is>
      </c>
      <c r="B4" s="17" t="n">
        <v>432</v>
      </c>
      <c r="C4" s="17" t="n">
        <v>339</v>
      </c>
      <c r="D4" s="17" t="n">
        <v>247</v>
      </c>
      <c r="E4" s="17" t="n">
        <v>154</v>
      </c>
      <c r="F4" s="17" t="n">
        <v>62</v>
      </c>
    </row>
    <row r="5">
      <c r="A5" s="15" t="inlineStr">
        <is>
          <t>Immaterielle anlægsaktiver</t>
        </is>
      </c>
      <c r="B5" s="17" t="n">
        <v>4889</v>
      </c>
      <c r="C5" s="17" t="n">
        <v>4105</v>
      </c>
      <c r="D5" s="17" t="n">
        <v>2642</v>
      </c>
      <c r="E5" s="17" t="n">
        <v>711</v>
      </c>
      <c r="F5" s="17" t="n">
        <v>62</v>
      </c>
    </row>
    <row r="6">
      <c r="A6" s="16" t="inlineStr">
        <is>
          <t>Grunde og bygninger</t>
        </is>
      </c>
      <c r="B6" s="17" t="n">
        <v>26854</v>
      </c>
      <c r="C6" s="17" t="n">
        <v>26197</v>
      </c>
      <c r="D6" s="17" t="n">
        <v>25459</v>
      </c>
      <c r="E6" s="17" t="n">
        <v>24702</v>
      </c>
      <c r="F6" s="17" t="n">
        <v>24086</v>
      </c>
    </row>
    <row r="7">
      <c r="A7" s="16" t="inlineStr">
        <is>
          <t>Produktionsanlæg og maskiner</t>
        </is>
      </c>
      <c r="B7" s="17" t="n">
        <v>4366</v>
      </c>
      <c r="C7" s="17" t="n">
        <v>5124</v>
      </c>
      <c r="D7" s="17" t="n">
        <v>5542</v>
      </c>
      <c r="E7" s="17" t="n">
        <v>4520</v>
      </c>
      <c r="F7" s="17" t="n">
        <v>2441</v>
      </c>
    </row>
    <row r="8">
      <c r="A8" s="16" t="inlineStr">
        <is>
          <t>Driftsmateriel og inventar</t>
        </is>
      </c>
      <c r="B8" s="17" t="n">
        <v>7627</v>
      </c>
      <c r="C8" s="17" t="n">
        <v>2751</v>
      </c>
      <c r="D8" s="17" t="n">
        <v>2277</v>
      </c>
      <c r="E8" s="17" t="n">
        <v>2441</v>
      </c>
      <c r="F8" s="17" t="n">
        <v>3294</v>
      </c>
    </row>
    <row r="9">
      <c r="A9" s="16" t="inlineStr">
        <is>
          <t>Indretning af lejede lokaler</t>
        </is>
      </c>
      <c r="B9" s="17" t="n">
        <v>57</v>
      </c>
      <c r="C9" s="17" t="n">
        <v>171</v>
      </c>
      <c r="D9" s="17" t="n">
        <v>1303</v>
      </c>
      <c r="E9" s="17" t="n">
        <v>1926</v>
      </c>
      <c r="F9" s="17" t="n">
        <v>1313</v>
      </c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>
        <v>2329</v>
      </c>
    </row>
    <row r="11">
      <c r="A11" s="15" t="inlineStr">
        <is>
          <t>Materielle anlægsaktiver</t>
        </is>
      </c>
      <c r="B11" s="17" t="n">
        <v>38903</v>
      </c>
      <c r="C11" s="17" t="n">
        <v>34243</v>
      </c>
      <c r="D11" s="17" t="n">
        <v>34580</v>
      </c>
      <c r="E11" s="17" t="n">
        <v>33588</v>
      </c>
      <c r="F11" s="17" t="n">
        <v>33463</v>
      </c>
    </row>
    <row r="12">
      <c r="A12" s="16" t="inlineStr">
        <is>
          <t>Kapitalandele, dattervirksomheder</t>
        </is>
      </c>
      <c r="B12" s="17" t="n">
        <v>1041</v>
      </c>
      <c r="C12" s="17" t="n">
        <v>0</v>
      </c>
      <c r="D12" s="17" t="n">
        <v>0</v>
      </c>
      <c r="E12" s="17" t="n"/>
      <c r="F12" s="17" t="n"/>
    </row>
    <row r="13">
      <c r="A13" s="16" t="inlineStr">
        <is>
          <t>Deposita</t>
        </is>
      </c>
      <c r="B13" s="17" t="n">
        <v>1213</v>
      </c>
      <c r="C13" s="17" t="n">
        <v>1104</v>
      </c>
      <c r="D13" s="17" t="n">
        <v>1904</v>
      </c>
      <c r="E13" s="17" t="n">
        <v>1900</v>
      </c>
      <c r="F13" s="17" t="n">
        <v>2011</v>
      </c>
    </row>
    <row r="14">
      <c r="A14" s="15" t="inlineStr">
        <is>
          <t>Finansielle anlægsaktiver</t>
        </is>
      </c>
      <c r="B14" s="17" t="n">
        <v>2254</v>
      </c>
      <c r="C14" s="17" t="n">
        <v>1104</v>
      </c>
      <c r="D14" s="17" t="n">
        <v>1904</v>
      </c>
      <c r="E14" s="17" t="n">
        <v>1900</v>
      </c>
      <c r="F14" s="17" t="n">
        <v>2844</v>
      </c>
    </row>
    <row r="15">
      <c r="A15" s="15" t="inlineStr">
        <is>
          <t>Anlægsaktiver</t>
        </is>
      </c>
      <c r="B15" s="17" t="n">
        <v>46046</v>
      </c>
      <c r="C15" s="17" t="n">
        <v>39452</v>
      </c>
      <c r="D15" s="17" t="n">
        <v>39127</v>
      </c>
      <c r="E15" s="17" t="n">
        <v>36199</v>
      </c>
      <c r="F15" s="17" t="n">
        <v>36368</v>
      </c>
    </row>
    <row r="16">
      <c r="A16" s="16" t="inlineStr">
        <is>
          <t>Råvarer og hjælpematerialer</t>
        </is>
      </c>
      <c r="B16" s="17" t="n">
        <v>21828</v>
      </c>
      <c r="C16" s="17" t="n">
        <v>22637</v>
      </c>
      <c r="D16" s="17" t="n">
        <v>17762</v>
      </c>
      <c r="E16" s="17" t="n">
        <v>21518</v>
      </c>
      <c r="F16" s="17" t="n">
        <v>30560</v>
      </c>
    </row>
    <row r="17">
      <c r="A17" s="16" t="inlineStr">
        <is>
          <t>Varer under fremstilling</t>
        </is>
      </c>
      <c r="B17" s="17" t="n">
        <v>4477</v>
      </c>
      <c r="C17" s="17" t="n">
        <v>2601</v>
      </c>
      <c r="D17" s="17" t="n">
        <v>2997</v>
      </c>
      <c r="E17" s="17" t="n">
        <v>2859</v>
      </c>
      <c r="F17" s="17" t="n">
        <v>4479</v>
      </c>
    </row>
    <row r="18">
      <c r="A18" s="16" t="inlineStr">
        <is>
          <t>Færdigvarer og handelsvarer</t>
        </is>
      </c>
      <c r="B18" s="17" t="n">
        <v>4524</v>
      </c>
      <c r="C18" s="17" t="n">
        <v>5072</v>
      </c>
      <c r="D18" s="17" t="n">
        <v>6316</v>
      </c>
      <c r="E18" s="17" t="n">
        <v>10322</v>
      </c>
      <c r="F18" s="17" t="n">
        <v>9737</v>
      </c>
    </row>
    <row r="19">
      <c r="A19" s="15" t="inlineStr">
        <is>
          <t>Varebeholdninger</t>
        </is>
      </c>
      <c r="B19" s="17" t="n">
        <v>30829</v>
      </c>
      <c r="C19" s="17" t="n">
        <v>30310</v>
      </c>
      <c r="D19" s="17" t="n">
        <v>27075</v>
      </c>
      <c r="E19" s="17" t="n">
        <v>34699</v>
      </c>
      <c r="F19" s="17" t="n">
        <v>45559</v>
      </c>
    </row>
    <row r="20">
      <c r="A20" s="16" t="inlineStr">
        <is>
          <t>Tilgodehavender fra salg og tjenesteydelser</t>
        </is>
      </c>
      <c r="B20" s="17" t="n">
        <v>16888</v>
      </c>
      <c r="C20" s="17" t="n">
        <v>15551</v>
      </c>
      <c r="D20" s="17" t="n">
        <v>17071</v>
      </c>
      <c r="E20" s="17" t="n">
        <v>19411</v>
      </c>
      <c r="F20" s="17" t="n">
        <v>19722</v>
      </c>
    </row>
    <row r="21">
      <c r="A21" s="16" t="inlineStr">
        <is>
          <t>Tilgodehavender hos tilknyttede virksomheder</t>
        </is>
      </c>
      <c r="B21" s="17" t="n">
        <v>1950</v>
      </c>
      <c r="C21" s="17" t="n">
        <v>2221</v>
      </c>
      <c r="D21" s="17" t="n">
        <v>257</v>
      </c>
      <c r="E21" s="17" t="n">
        <v>1480</v>
      </c>
      <c r="F21" s="17" t="n">
        <v>708</v>
      </c>
    </row>
    <row r="22">
      <c r="A22" s="16" t="inlineStr">
        <is>
          <t>Andre tilgodehavender</t>
        </is>
      </c>
      <c r="B22" s="17" t="n">
        <v>1065</v>
      </c>
      <c r="C22" s="17" t="n">
        <v>1985</v>
      </c>
      <c r="D22" s="17" t="n">
        <v>1127</v>
      </c>
      <c r="E22" s="17" t="n">
        <v>1550</v>
      </c>
      <c r="F22" s="17" t="n">
        <v>1471</v>
      </c>
    </row>
    <row r="23">
      <c r="A23" s="16" t="inlineStr">
        <is>
          <t>Periodeafgrænsningsposter (aktiver)</t>
        </is>
      </c>
      <c r="B23" s="17" t="n"/>
      <c r="C23" s="17" t="n"/>
      <c r="D23" s="17" t="n"/>
      <c r="E23" s="17" t="n">
        <v>1644</v>
      </c>
      <c r="F23" s="17" t="n">
        <v>2635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21789</v>
      </c>
      <c r="C27" s="17" t="n">
        <v>19756</v>
      </c>
      <c r="D27" s="17" t="n">
        <v>18455</v>
      </c>
      <c r="E27" s="17" t="n">
        <v>24085</v>
      </c>
      <c r="F27" s="17" t="n">
        <v>24536</v>
      </c>
    </row>
    <row r="28">
      <c r="A28" s="16" t="inlineStr">
        <is>
          <t>Værdipapirer</t>
        </is>
      </c>
      <c r="B28" s="17" t="n">
        <v>1437</v>
      </c>
      <c r="C28" s="17" t="n">
        <v>1644</v>
      </c>
      <c r="D28" s="17" t="n">
        <v>8818</v>
      </c>
      <c r="E28" s="17" t="n">
        <v>1442</v>
      </c>
      <c r="F28" s="17" t="n"/>
    </row>
    <row r="29">
      <c r="A29" s="16" t="inlineStr">
        <is>
          <t>Likvide beholdninger</t>
        </is>
      </c>
      <c r="B29" s="17" t="n">
        <v>6837</v>
      </c>
      <c r="C29" s="17" t="n">
        <v>21650</v>
      </c>
      <c r="D29" s="17" t="n">
        <v>16690</v>
      </c>
      <c r="E29" s="17" t="n">
        <v>9480</v>
      </c>
      <c r="F29" s="17" t="n">
        <v>13169</v>
      </c>
    </row>
    <row r="30">
      <c r="A30" s="15" t="inlineStr">
        <is>
          <t>Omsætningsaktiver</t>
        </is>
      </c>
      <c r="B30" s="17" t="n">
        <v>60892</v>
      </c>
      <c r="C30" s="17" t="n">
        <v>73361</v>
      </c>
      <c r="D30" s="17" t="n">
        <v>71038</v>
      </c>
      <c r="E30" s="17" t="n">
        <v>69706</v>
      </c>
      <c r="F30" s="17" t="n">
        <v>83265</v>
      </c>
    </row>
    <row r="31">
      <c r="A31" s="15" t="inlineStr">
        <is>
          <t>Aktiver</t>
        </is>
      </c>
      <c r="B31" s="17" t="n">
        <v>106937</v>
      </c>
      <c r="C31" s="17" t="n">
        <v>112813</v>
      </c>
      <c r="D31" s="17" t="n">
        <v>110164</v>
      </c>
      <c r="E31" s="17" t="n">
        <v>105905</v>
      </c>
      <c r="F31" s="17" t="n">
        <v>119633</v>
      </c>
    </row>
    <row r="32">
      <c r="A32" s="16" t="inlineStr">
        <is>
          <t>Selskabskapital</t>
        </is>
      </c>
      <c r="B32" s="17" t="n">
        <v>500</v>
      </c>
      <c r="C32" s="17" t="n">
        <v>500</v>
      </c>
      <c r="D32" s="17" t="n">
        <v>500</v>
      </c>
      <c r="E32" s="17" t="n">
        <v>500</v>
      </c>
      <c r="F32" s="17" t="n">
        <v>500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>
        <v>4355</v>
      </c>
      <c r="C34" s="17" t="n">
        <v>2896</v>
      </c>
      <c r="D34" s="17" t="n">
        <v>1855</v>
      </c>
      <c r="E34" s="17" t="n">
        <v>434</v>
      </c>
      <c r="F34" s="17" t="n">
        <v>0</v>
      </c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-49</v>
      </c>
      <c r="C36" s="17" t="n">
        <v>-182</v>
      </c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39424</v>
      </c>
      <c r="C37" s="17" t="n">
        <v>36935</v>
      </c>
      <c r="D37" s="17" t="n">
        <v>38923</v>
      </c>
      <c r="E37" s="17" t="n">
        <v>43132</v>
      </c>
      <c r="F37" s="17" t="n">
        <v>47287</v>
      </c>
    </row>
    <row r="38">
      <c r="A38" s="15" t="inlineStr">
        <is>
          <t>Egenkapital i alt</t>
        </is>
      </c>
      <c r="B38" s="17" t="n">
        <v>49230</v>
      </c>
      <c r="C38" s="17" t="n">
        <v>40148</v>
      </c>
      <c r="D38" s="17" t="n">
        <v>46021</v>
      </c>
      <c r="E38" s="17" t="n">
        <v>48447</v>
      </c>
      <c r="F38" s="17" t="n">
        <v>57174</v>
      </c>
    </row>
    <row r="39">
      <c r="A39" s="16" t="inlineStr">
        <is>
          <t>Hensættelse til udskudt skat</t>
        </is>
      </c>
      <c r="B39" s="17" t="n">
        <v>4403</v>
      </c>
      <c r="C39" s="17" t="n">
        <v>3886</v>
      </c>
      <c r="D39" s="17" t="n">
        <v>3826</v>
      </c>
      <c r="E39" s="17" t="n">
        <v>3213</v>
      </c>
      <c r="F39" s="17" t="n">
        <v>3134</v>
      </c>
    </row>
    <row r="40">
      <c r="A40" s="15" t="inlineStr">
        <is>
          <t>Hensatte forpligtelser</t>
        </is>
      </c>
      <c r="B40" s="17" t="n">
        <v>4403</v>
      </c>
      <c r="C40" s="17" t="n">
        <v>4151</v>
      </c>
      <c r="D40" s="17" t="n">
        <v>3826</v>
      </c>
      <c r="E40" s="17" t="n">
        <v>3213</v>
      </c>
      <c r="F40" s="17" t="n">
        <v>3134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9855</v>
      </c>
      <c r="C42" s="17" t="n">
        <v>11378</v>
      </c>
      <c r="D42" s="17" t="n">
        <v>10938</v>
      </c>
      <c r="E42" s="17" t="n">
        <v>10483</v>
      </c>
      <c r="F42" s="17" t="n">
        <v>10011</v>
      </c>
    </row>
    <row r="43">
      <c r="A43" s="16" t="inlineStr">
        <is>
          <t>Leasingforpligtelser (langfristet)</t>
        </is>
      </c>
      <c r="B43" s="17" t="n">
        <v>458</v>
      </c>
      <c r="C43" s="17" t="n">
        <v>358</v>
      </c>
      <c r="D43" s="17" t="n">
        <v>224</v>
      </c>
      <c r="E43" s="17" t="n">
        <v>108</v>
      </c>
      <c r="F43" s="17" t="n">
        <v>0</v>
      </c>
    </row>
    <row r="44">
      <c r="A44" s="16" t="inlineStr">
        <is>
          <t>Anden gæld (langfristet)</t>
        </is>
      </c>
      <c r="B44" s="17" t="n">
        <v>302</v>
      </c>
      <c r="C44" s="17" t="n">
        <v>302</v>
      </c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10615</v>
      </c>
      <c r="C45" s="17" t="n">
        <v>30038</v>
      </c>
      <c r="D45" s="17" t="n">
        <v>27162</v>
      </c>
      <c r="E45" s="17" t="n">
        <v>24591</v>
      </c>
      <c r="F45" s="17" t="n">
        <v>22011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638</v>
      </c>
      <c r="C48" s="17" t="n">
        <v>424</v>
      </c>
      <c r="D48" s="17" t="n">
        <v>439</v>
      </c>
      <c r="E48" s="17" t="n">
        <v>456</v>
      </c>
      <c r="F48" s="17" t="n">
        <v>472</v>
      </c>
    </row>
    <row r="49">
      <c r="A49" s="16" t="inlineStr">
        <is>
          <t>Leasingforpligtelser (kortfristet)</t>
        </is>
      </c>
      <c r="B49" s="17" t="n">
        <v>96</v>
      </c>
      <c r="C49" s="17" t="n">
        <v>98</v>
      </c>
      <c r="D49" s="17" t="n">
        <v>116</v>
      </c>
      <c r="E49" s="17" t="n">
        <v>116</v>
      </c>
      <c r="F49" s="17" t="n">
        <v>111</v>
      </c>
    </row>
    <row r="50">
      <c r="A50" s="16" t="inlineStr">
        <is>
          <t>Leverandører af varer og tjenesteydelser</t>
        </is>
      </c>
      <c r="B50" s="17" t="n">
        <v>7805</v>
      </c>
      <c r="C50" s="17" t="n">
        <v>5614</v>
      </c>
      <c r="D50" s="17" t="n">
        <v>7688</v>
      </c>
      <c r="E50" s="17" t="n">
        <v>6142</v>
      </c>
      <c r="F50" s="17" t="n">
        <v>10539</v>
      </c>
    </row>
    <row r="51">
      <c r="A51" s="16" t="inlineStr">
        <is>
          <t>Gæld til tilknyttede virksomheder</t>
        </is>
      </c>
      <c r="B51" s="17" t="n">
        <v>17117</v>
      </c>
      <c r="C51" s="17" t="n">
        <v>20286</v>
      </c>
      <c r="D51" s="17" t="n">
        <v>8765</v>
      </c>
      <c r="E51" s="17" t="n">
        <v>10015</v>
      </c>
      <c r="F51" s="17" t="n">
        <v>9534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>
        <v>2628</v>
      </c>
      <c r="C54" s="17" t="n">
        <v>571</v>
      </c>
      <c r="D54" s="17" t="n">
        <v>2514</v>
      </c>
      <c r="E54" s="17" t="n">
        <v>772</v>
      </c>
      <c r="F54" s="17" t="n">
        <v>2223</v>
      </c>
    </row>
    <row r="55">
      <c r="A55" s="16" t="inlineStr">
        <is>
          <t>Anden gæld (kortfristet)</t>
        </is>
      </c>
      <c r="B55" s="17" t="n">
        <v>9879</v>
      </c>
      <c r="C55" s="17" t="n">
        <v>9484</v>
      </c>
      <c r="D55" s="17" t="n">
        <v>9081</v>
      </c>
      <c r="E55" s="17" t="n">
        <v>10154</v>
      </c>
      <c r="F55" s="17" t="n">
        <v>12436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42690</v>
      </c>
      <c r="C57" s="17" t="n">
        <v>38476</v>
      </c>
      <c r="D57" s="17" t="n">
        <v>33155</v>
      </c>
      <c r="E57" s="17" t="n">
        <v>29654</v>
      </c>
      <c r="F57" s="17" t="n">
        <v>37315</v>
      </c>
    </row>
    <row r="58">
      <c r="A58" s="15" t="inlineStr">
        <is>
          <t>Gældsforpligtelser</t>
        </is>
      </c>
      <c r="B58" s="17" t="n">
        <v>53305</v>
      </c>
      <c r="C58" s="17" t="n">
        <v>68514</v>
      </c>
      <c r="D58" s="17" t="n">
        <v>60317</v>
      </c>
      <c r="E58" s="17" t="n">
        <v>54245</v>
      </c>
      <c r="F58" s="17" t="n">
        <v>59326</v>
      </c>
    </row>
    <row r="59">
      <c r="A59" s="15" t="inlineStr">
        <is>
          <t>Passiver</t>
        </is>
      </c>
      <c r="B59" s="17" t="n">
        <v>106937</v>
      </c>
      <c r="C59" s="17" t="n">
        <v>112813</v>
      </c>
      <c r="D59" s="17" t="n">
        <v>110164</v>
      </c>
      <c r="E59" s="17" t="n">
        <v>105905</v>
      </c>
      <c r="F59" s="17" t="n">
        <v>119633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Summerbird A/S (CVR 24209644)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3539</v>
      </c>
      <c r="C2" s="17" t="n">
        <v>10273</v>
      </c>
      <c r="D2" s="17" t="n">
        <v>19775</v>
      </c>
      <c r="E2" s="17" t="n">
        <v>6131</v>
      </c>
      <c r="F2" s="17" t="n">
        <v>17791</v>
      </c>
    </row>
    <row r="3">
      <c r="A3" s="16" t="inlineStr">
        <is>
          <t>Pengestrømme fra investeringsaktivitet</t>
        </is>
      </c>
      <c r="B3" s="17" t="n">
        <v>-9787</v>
      </c>
      <c r="C3" s="17" t="n">
        <v>-4780</v>
      </c>
      <c r="D3" s="17" t="n">
        <v>-11020</v>
      </c>
      <c r="E3" s="17" t="n">
        <v>2981</v>
      </c>
      <c r="F3" s="17" t="n">
        <v>-4004</v>
      </c>
    </row>
    <row r="4">
      <c r="A4" s="16" t="inlineStr">
        <is>
          <t>Pengestrømme fra finansieringsaktivitet</t>
        </is>
      </c>
      <c r="B4" s="17" t="n">
        <v>-3254</v>
      </c>
      <c r="C4" s="17" t="n">
        <v>16476</v>
      </c>
      <c r="D4" s="17" t="n">
        <v>-13489</v>
      </c>
      <c r="E4" s="17" t="n">
        <v>-13770</v>
      </c>
      <c r="F4" s="17" t="n">
        <v>-7277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Summerbird A/S (CVR 24209644) — Regnskabs- og nøgletal (CVR: 24209644)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'res_raw_24209644'!$F$2</f>
        <v/>
      </c>
      <c r="C5" s="24">
        <f>'res_raw_24209644'!$E$2</f>
        <v/>
      </c>
      <c r="D5" s="24">
        <f>'res_raw_24209644'!$D$2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'res_raw_24209644'!$F$3</f>
        <v/>
      </c>
      <c r="C6" s="24">
        <f>'res_raw_24209644'!$E$3</f>
        <v/>
      </c>
      <c r="D6" s="24">
        <f>'res_raw_24209644'!$D$3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-'res_raw_24209644'!$F$4</f>
        <v/>
      </c>
      <c r="C7" s="24">
        <f>-'res_raw_24209644'!$E$4</f>
        <v/>
      </c>
      <c r="D7" s="24">
        <f>-'res_raw_24209644'!$D$4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-'res_raw_24209644'!$F$5</f>
        <v/>
      </c>
      <c r="C8" s="24">
        <f>-'res_raw_24209644'!$E$5</f>
        <v/>
      </c>
      <c r="D8" s="24">
        <f>-'res_raw_24209644'!$D$5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IF(ABS((SUM(B5:B8))-'res_raw_24209644'!$F$6)&lt;=2,SUM(B5:B8),'res_raw_24209644'!$F$6)</f>
        <v/>
      </c>
      <c r="C9" s="27">
        <f>IF(ABS((SUM(C5:C8))-'res_raw_24209644'!$E$6)&lt;=2,SUM(C5:C8),'res_raw_24209644'!$E$6)</f>
        <v/>
      </c>
      <c r="D9" s="27">
        <f>IF(ABS((SUM(D5:D8))-'res_raw_24209644'!$D$6)&lt;=2,SUM(D5:D8),'res_raw_24209644'!$D$6)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-'res_raw_24209644'!$F$7</f>
        <v/>
      </c>
      <c r="C10" s="24">
        <f>-'res_raw_24209644'!$E$7</f>
        <v/>
      </c>
      <c r="D10" s="24">
        <f>-'res_raw_24209644'!$D$7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-'res_raw_24209644'!$F$9</f>
        <v/>
      </c>
      <c r="C11" s="24">
        <f>-'res_raw_24209644'!$E$9</f>
        <v/>
      </c>
      <c r="D11" s="24">
        <f>-'res_raw_24209644'!$D$9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-'res_raw_24209644'!$F$10</f>
        <v/>
      </c>
      <c r="C12" s="24">
        <f>-'res_raw_24209644'!$E$10</f>
        <v/>
      </c>
      <c r="D12" s="24">
        <f>-'res_raw_24209644'!$D$10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IF(ABS((SUM(B9:B12))-'res_raw_24209644'!$F$11)&lt;=2,SUM(B9:B12),'res_raw_24209644'!$F$11)</f>
        <v/>
      </c>
      <c r="C13" s="27">
        <f>IF(ABS((SUM(C9:C12))-'res_raw_24209644'!$E$11)&lt;=2,SUM(C9:C12),'res_raw_24209644'!$E$11)</f>
        <v/>
      </c>
      <c r="D13" s="27">
        <f>IF(ABS((SUM(D9:D12))-'res_raw_24209644'!$D$11)&lt;=2,SUM(D9:D12),'res_raw_24209644'!$D$11)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N('res_raw_24209644'!$F$12)+N('res_raw_24209644'!$F$13)</f>
        <v/>
      </c>
      <c r="C14" s="24">
        <f>N('res_raw_24209644'!$E$12)+N('res_raw_24209644'!$E$13)</f>
        <v/>
      </c>
      <c r="D14" s="24">
        <f>N('res_raw_24209644'!$D$12)+N('res_raw_24209644'!$D$13)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-'res_raw_24209644'!$F$14</f>
        <v/>
      </c>
      <c r="C15" s="24">
        <f>-'res_raw_24209644'!$E$14</f>
        <v/>
      </c>
      <c r="D15" s="24">
        <f>-'res_raw_24209644'!$D$14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IF(ABS((SUM(B13:B15))-'res_raw_24209644'!$F$16)&lt;=2,SUM(B13:B15),'res_raw_24209644'!$F$16)</f>
        <v/>
      </c>
      <c r="C16" s="27">
        <f>IF(ABS((SUM(C13:C15))-'res_raw_24209644'!$E$16)&lt;=2,SUM(C13:C15),'res_raw_24209644'!$E$16)</f>
        <v/>
      </c>
      <c r="D16" s="27">
        <f>IF(ABS((SUM(D13:D15))-'res_raw_24209644'!$D$16)&lt;=2,SUM(D13:D15),'res_raw_24209644'!$D$16)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'balance_raw_24209644'!$F$15</f>
        <v/>
      </c>
      <c r="C19" s="24">
        <f>'balance_raw_24209644'!$E$15</f>
        <v/>
      </c>
      <c r="D19" s="24">
        <f>'balance_raw_24209644'!$D$15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'balance_raw_24209644'!$F$30</f>
        <v/>
      </c>
      <c r="C20" s="24">
        <f>'balance_raw_24209644'!$E$30</f>
        <v/>
      </c>
      <c r="D20" s="24">
        <f>'balance_raw_24209644'!$D$30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'balance_raw_24209644'!$F$38</f>
        <v/>
      </c>
      <c r="C23" s="24">
        <f>'balance_raw_24209644'!$E$38</f>
        <v/>
      </c>
      <c r="D23" s="24">
        <f>'balance_raw_24209644'!$D$38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'balance_raw_24209644'!$F$59-'balance_raw_24209644'!$F$38</f>
        <v/>
      </c>
      <c r="C24" s="24">
        <f>'balance_raw_24209644'!$E$59-'balance_raw_24209644'!$E$38</f>
        <v/>
      </c>
      <c r="D24" s="24">
        <f>'balance_raw_24209644'!$D$59-'balance_raw_24209644'!$D$38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'balance_raw_24209644'!$F$19</f>
        <v/>
      </c>
      <c r="C28" s="24">
        <f>'balance_raw_24209644'!$E$19</f>
        <v/>
      </c>
      <c r="D28" s="24">
        <f>'balance_raw_24209644'!$D$19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'balance_raw_24209644'!$F$20</f>
        <v/>
      </c>
      <c r="C29" s="24">
        <f>'balance_raw_24209644'!$E$20</f>
        <v/>
      </c>
      <c r="D29" s="24">
        <f>'balance_raw_24209644'!$D$20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'balance_raw_24209644'!$F$57</f>
        <v/>
      </c>
      <c r="C30" s="24">
        <f>'balance_raw_24209644'!$E$57</f>
        <v/>
      </c>
      <c r="D30" s="24">
        <f>'balance_raw_24209644'!$D$57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IF('balance_raw_24209644'!$F$31="","—",IF(ABS(B21-'balance_raw_24209644'!$F$31)&lt;=1,"✓ OK","❌ "&amp;TEXT(B21-'balance_raw_24209644'!$F$31,"+#,##0;-#,##0")&amp;" t.kr."))</f>
        <v/>
      </c>
      <c r="C61" s="29">
        <f>IF('balance_raw_24209644'!$E$31="","—",IF(ABS(C21-'balance_raw_24209644'!$E$31)&lt;=1,"✓ OK","❌ "&amp;TEXT(C21-'balance_raw_24209644'!$E$31,"+#,##0;-#,##0")&amp;" t.kr."))</f>
        <v/>
      </c>
      <c r="D61" s="29">
        <f>IF('balance_raw_24209644'!$D$31="","—",IF(ABS(D21-'balance_raw_24209644'!$D$31)&lt;=1,"✓ OK","❌ "&amp;TEXT(D21-'balance_raw_24209644'!$D$31,"+#,##0;-#,##0")&amp;"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IF('balance_raw_24209644'!$F$59="","—",IF(ABS(B25-'balance_raw_24209644'!$F$59)&lt;=1,"✓ OK","❌ "&amp;TEXT(B25-'balance_raw_24209644'!$F$59,"+#,##0;-#,##0")&amp;" t.kr."))</f>
        <v/>
      </c>
      <c r="C62" s="29">
        <f>IF('balance_raw_24209644'!$E$59="","—",IF(ABS(C25-'balance_raw_24209644'!$E$59)&lt;=1,"✓ OK","❌ "&amp;TEXT(C25-'balance_raw_24209644'!$E$59,"+#,##0;-#,##0")&amp;" t.kr."))</f>
        <v/>
      </c>
      <c r="D62" s="29">
        <f>IF('balance_raw_24209644'!$D$59="","—",IF(ABS(D25-'balance_raw_24209644'!$D$59)&lt;=1,"✓ OK","❌ "&amp;TEXT(D25-'balance_raw_24209644'!$D$59,"+#,##0;-#,##0")&amp;"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IF('res_raw_24209644'!$F$6="","—",IF(ABS(B9-'res_raw_24209644'!$F$6)&lt;=1,"✓ OK","❌ "&amp;TEXT(B9-'res_raw_24209644'!$F$6,"+#,##0;-#,##0")&amp;" t.kr."))</f>
        <v/>
      </c>
      <c r="C64" s="29">
        <f>IF('res_raw_24209644'!$E$6="","—",IF(ABS(C9-'res_raw_24209644'!$E$6)&lt;=1,"✓ OK","❌ "&amp;TEXT(C9-'res_raw_24209644'!$E$6,"+#,##0;-#,##0")&amp;" t.kr."))</f>
        <v/>
      </c>
      <c r="D64" s="29">
        <f>IF('res_raw_24209644'!$D$6="","—",IF(ABS(D9-'res_raw_24209644'!$D$6)&lt;=1,"✓ OK","❌ "&amp;TEXT(D9-'res_raw_24209644'!$D$6,"+#,##0;-#,##0")&amp;"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IF('res_raw_24209644'!$F$11="","—",IF(ABS(B13-'res_raw_24209644'!$F$11)&lt;=1,"✓ OK","❌ "&amp;TEXT(B13-'res_raw_24209644'!$F$11,"+#,##0;-#,##0")&amp;" t.kr."))</f>
        <v/>
      </c>
      <c r="C65" s="29">
        <f>IF('res_raw_24209644'!$E$11="","—",IF(ABS(C13-'res_raw_24209644'!$E$11)&lt;=1,"✓ OK","❌ "&amp;TEXT(C13-'res_raw_24209644'!$E$11,"+#,##0;-#,##0")&amp;" t.kr."))</f>
        <v/>
      </c>
      <c r="D65" s="29">
        <f>IF('res_raw_24209644'!$D$11="","—",IF(ABS(D13-'res_raw_24209644'!$D$11)&lt;=1,"✓ OK","❌ "&amp;TEXT(D13-'res_raw_24209644'!$D$11,"+#,##0;-#,##0")&amp;"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IF('res_raw_24209644'!$F$16="","—",IF(ABS(B16-'res_raw_24209644'!$F$16)&lt;=1,"✓ OK","❌ "&amp;TEXT(B16-'res_raw_24209644'!$F$16,"+#,##0;-#,##0")&amp;" t.kr."))</f>
        <v/>
      </c>
      <c r="C66" s="29">
        <f>IF('res_raw_24209644'!$E$16="","—",IF(ABS(C16-'res_raw_24209644'!$E$16)&lt;=1,"✓ OK","❌ "&amp;TEXT(C16-'res_raw_24209644'!$E$16,"+#,##0;-#,##0")&amp;" t.kr."))</f>
        <v/>
      </c>
      <c r="D66" s="29">
        <f>IF('res_raw_24209644'!$D$16="","—",IF(ABS(D16-'res_raw_24209644'!$D$16)&lt;=1,"✓ OK","❌ "&amp;TEXT(D16-'res_raw_24209644'!$D$16,"+#,##0;-#,##0")&amp;"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Summerbird A/S (CVR 24209644)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fsa:ConclusionOfLeaseObligations</t>
        </is>
      </c>
      <c r="C3" s="34" t="inlineStr">
        <is>
          <t>fsa:ConclusionOfLeaseObligations</t>
        </is>
      </c>
      <c r="D3" s="35" t="n">
        <v>695</v>
      </c>
      <c r="E3" s="35" t="n">
        <v>0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fsa:DepreciationOfEquity</t>
        </is>
      </c>
      <c r="C4" s="37" t="inlineStr">
        <is>
          <t>fsa:DepreciationOfEquity</t>
        </is>
      </c>
      <c r="D4" s="38" t="n"/>
      <c r="E4" s="38" t="n"/>
      <c r="F4" s="38" t="n"/>
      <c r="G4" s="38" t="n"/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fsa:FinanceExpensesArisingFromGroupEnterprises</t>
        </is>
      </c>
      <c r="C5" s="34" t="inlineStr">
        <is>
          <t>fsa:FinanceExpensesArisingFromGroupEnterprises</t>
        </is>
      </c>
      <c r="D5" s="35" t="n"/>
      <c r="E5" s="35" t="n"/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fsa:ProvisionsForInvestmentsInGroupEnterprises</t>
        </is>
      </c>
      <c r="C6" s="37" t="inlineStr">
        <is>
          <t>fsa:ProvisionsForInvestmentsInGroupEnterprises</t>
        </is>
      </c>
      <c r="D6" s="38" t="n">
        <v>0</v>
      </c>
      <c r="E6" s="38" t="n">
        <v>265</v>
      </c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fsa:PurchaseOfShortTermInvestments</t>
        </is>
      </c>
      <c r="C7" s="34" t="inlineStr">
        <is>
          <t>fsa:PurchaseOfShortTermInvestments</t>
        </is>
      </c>
      <c r="D7" s="35" t="n"/>
      <c r="E7" s="35" t="n"/>
      <c r="F7" s="35" t="n">
        <v>-6002</v>
      </c>
      <c r="G7" s="35" t="n">
        <v>0</v>
      </c>
      <c r="H7" s="35" t="n">
        <v>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fsa:RaisingOfMortgageDebt</t>
        </is>
      </c>
      <c r="C8" s="37" t="inlineStr">
        <is>
          <t>fsa:RaisingOfMortgageDebt</t>
        </is>
      </c>
      <c r="D8" s="38" t="n"/>
      <c r="E8" s="38" t="n"/>
      <c r="F8" s="38" t="n">
        <v>0</v>
      </c>
      <c r="G8" s="38" t="n"/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fsa:ReductionOfLeaseCommitments</t>
        </is>
      </c>
      <c r="C9" s="34" t="inlineStr">
        <is>
          <t>fsa:ReductionOfLeaseCommitments</t>
        </is>
      </c>
      <c r="D9" s="35" t="n">
        <v>141</v>
      </c>
      <c r="E9" s="35" t="n">
        <v>98</v>
      </c>
      <c r="F9" s="35" t="n">
        <v>-116</v>
      </c>
      <c r="G9" s="35" t="n">
        <v>-116</v>
      </c>
      <c r="H9" s="35" t="n">
        <v>113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fsa:RepaymentOfMortgageDebt</t>
        </is>
      </c>
      <c r="C10" s="37" t="inlineStr">
        <is>
          <t>fsa:RepaymentOfMortgageDebt</t>
        </is>
      </c>
      <c r="D10" s="38" t="n"/>
      <c r="E10" s="38" t="n"/>
      <c r="F10" s="38" t="n">
        <v>-424</v>
      </c>
      <c r="G10" s="38" t="n">
        <v>-439</v>
      </c>
      <c r="H10" s="38" t="n">
        <v>456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fsa:ReserveForCurrentValueAdjustmentsOfCurrencyGains</t>
        </is>
      </c>
      <c r="C11" s="34" t="inlineStr">
        <is>
          <t>fsa:ReserveForCurrentValueAdjustmentsOfCurrencyGains</t>
        </is>
      </c>
      <c r="D11" s="35" t="n"/>
      <c r="E11" s="35" t="n"/>
      <c r="F11" s="35" t="n">
        <v>-257</v>
      </c>
      <c r="G11" s="35" t="n">
        <v>-619</v>
      </c>
      <c r="H11" s="35" t="n">
        <v>-613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fsa:SalesOfShortTermInvestments</t>
        </is>
      </c>
      <c r="C12" s="37" t="inlineStr">
        <is>
          <t>fsa:SalesOfShortTermInvestments</t>
        </is>
      </c>
      <c r="D12" s="38" t="n"/>
      <c r="E12" s="38" t="n"/>
      <c r="F12" s="38" t="n"/>
      <c r="G12" s="38" t="n">
        <v>7376</v>
      </c>
      <c r="H12" s="38" t="n">
        <v>0</v>
      </c>
      <c r="I1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2026-10-02T21:58:23Z</dcterms:created>
  <dcterms:modified xmlns:dcterms="http://purl.org/dc/terms/" xmlns:xsi="http://www.w3.org/2001/XMLSchema-instance" xsi:type="dcterms:W3CDTF">2026-10-02T21:58:23Z</dcterms:modified>
</cp:coreProperties>
</file>