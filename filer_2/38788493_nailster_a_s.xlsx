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8788493" sheetId="1" state="visible" r:id="rId1"/>
    <sheet xmlns:r="http://schemas.openxmlformats.org/officeDocument/2006/relationships" name="res_raw_38788493" sheetId="2" state="visible" r:id="rId2"/>
    <sheet xmlns:r="http://schemas.openxmlformats.org/officeDocument/2006/relationships" name="balance_raw_38788493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Nailster A/S (CVR 38788493) — Regnskabsanalyse – Resultatopgørelse &amp; Balance (t.kr.) · Klasse B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'res_raw_38788493'!$B$2</f>
        <v/>
      </c>
      <c r="C4" s="5">
        <f>'res_raw_38788493'!$C$2</f>
        <v/>
      </c>
      <c r="D4" s="5">
        <f>'res_raw_38788493'!$D$2</f>
        <v/>
      </c>
      <c r="E4" s="5">
        <f>'res_raw_38788493'!$E$2</f>
        <v/>
      </c>
      <c r="F4" s="5">
        <f>'res_raw_38788493'!$F$2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'res_raw_38788493'!$B$3</f>
        <v/>
      </c>
      <c r="C5" s="8">
        <f>'res_raw_38788493'!$C$3</f>
        <v/>
      </c>
      <c r="D5" s="8">
        <f>'res_raw_38788493'!$D$3</f>
        <v/>
      </c>
      <c r="E5" s="8">
        <f>'res_raw_38788493'!$E$3</f>
        <v/>
      </c>
      <c r="F5" s="8">
        <f>'res_raw_38788493'!$F$3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'res_raw_38788493'!$B$4</f>
        <v/>
      </c>
      <c r="C6" s="5">
        <f>'res_raw_38788493'!$C$4</f>
        <v/>
      </c>
      <c r="D6" s="5">
        <f>'res_raw_38788493'!$D$4</f>
        <v/>
      </c>
      <c r="E6" s="5">
        <f>'res_raw_38788493'!$E$4</f>
        <v/>
      </c>
      <c r="F6" s="5">
        <f>'res_raw_38788493'!$F$4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'res_raw_38788493'!$B$5</f>
        <v/>
      </c>
      <c r="C7" s="8">
        <f>'res_raw_38788493'!$C$5</f>
        <v/>
      </c>
      <c r="D7" s="8">
        <f>'res_raw_38788493'!$D$5</f>
        <v/>
      </c>
      <c r="E7" s="8">
        <f>'res_raw_38788493'!$E$5</f>
        <v/>
      </c>
      <c r="F7" s="8">
        <f>'res_raw_38788493'!$F$5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'res_raw_38788493'!$B$6</f>
        <v/>
      </c>
      <c r="C8" s="11">
        <f>'res_raw_38788493'!$C$6</f>
        <v/>
      </c>
      <c r="D8" s="11">
        <f>'res_raw_38788493'!$D$6</f>
        <v/>
      </c>
      <c r="E8" s="11">
        <f>'res_raw_38788493'!$E$6</f>
        <v/>
      </c>
      <c r="F8" s="11">
        <f>'res_raw_38788493'!$F$6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'res_raw_38788493'!$B$7</f>
        <v/>
      </c>
      <c r="C9" s="8">
        <f>'res_raw_38788493'!$C$7</f>
        <v/>
      </c>
      <c r="D9" s="8">
        <f>'res_raw_38788493'!$D$7</f>
        <v/>
      </c>
      <c r="E9" s="8">
        <f>'res_raw_38788493'!$E$7</f>
        <v/>
      </c>
      <c r="F9" s="8">
        <f>'res_raw_38788493'!$F$7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'res_raw_38788493'!$B$9</f>
        <v/>
      </c>
      <c r="C11" s="8">
        <f>'res_raw_38788493'!$C$9</f>
        <v/>
      </c>
      <c r="D11" s="8">
        <f>'res_raw_38788493'!$D$9</f>
        <v/>
      </c>
      <c r="E11" s="8">
        <f>'res_raw_38788493'!$E$9</f>
        <v/>
      </c>
      <c r="F11" s="8">
        <f>'res_raw_38788493'!$F$9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'res_raw_38788493'!$B$10</f>
        <v/>
      </c>
      <c r="C12" s="5">
        <f>'res_raw_38788493'!$C$10</f>
        <v/>
      </c>
      <c r="D12" s="5">
        <f>'res_raw_38788493'!$D$10</f>
        <v/>
      </c>
      <c r="E12" s="5">
        <f>'res_raw_38788493'!$E$10</f>
        <v/>
      </c>
      <c r="F12" s="5">
        <f>'res_raw_38788493'!$F$10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'res_raw_38788493'!$B$11</f>
        <v/>
      </c>
      <c r="C13" s="11">
        <f>'res_raw_38788493'!$C$11</f>
        <v/>
      </c>
      <c r="D13" s="11">
        <f>'res_raw_38788493'!$D$11</f>
        <v/>
      </c>
      <c r="E13" s="11">
        <f>'res_raw_38788493'!$E$11</f>
        <v/>
      </c>
      <c r="F13" s="11">
        <f>'res_raw_38788493'!$F$11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'res_raw_38788493'!$B$12</f>
        <v/>
      </c>
      <c r="C14" s="5">
        <f>'res_raw_38788493'!$C$12</f>
        <v/>
      </c>
      <c r="D14" s="5">
        <f>'res_raw_38788493'!$D$12</f>
        <v/>
      </c>
      <c r="E14" s="5">
        <f>'res_raw_38788493'!$E$12</f>
        <v/>
      </c>
      <c r="F14" s="5">
        <f>'res_raw_38788493'!$F$12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'res_raw_38788493'!$B$13</f>
        <v/>
      </c>
      <c r="C15" s="8">
        <f>'res_raw_38788493'!$C$13</f>
        <v/>
      </c>
      <c r="D15" s="8">
        <f>'res_raw_38788493'!$D$13</f>
        <v/>
      </c>
      <c r="E15" s="8">
        <f>'res_raw_38788493'!$E$13</f>
        <v/>
      </c>
      <c r="F15" s="8">
        <f>'res_raw_38788493'!$F$13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'res_raw_38788493'!$B$14</f>
        <v/>
      </c>
      <c r="C16" s="5">
        <f>'res_raw_38788493'!$C$14</f>
        <v/>
      </c>
      <c r="D16" s="5">
        <f>'res_raw_38788493'!$D$14</f>
        <v/>
      </c>
      <c r="E16" s="5">
        <f>'res_raw_38788493'!$E$14</f>
        <v/>
      </c>
      <c r="F16" s="5">
        <f>'res_raw_38788493'!$F$14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'res_raw_38788493'!$B$15</f>
        <v/>
      </c>
      <c r="C17" s="11">
        <f>'res_raw_38788493'!$C$15</f>
        <v/>
      </c>
      <c r="D17" s="11">
        <f>'res_raw_38788493'!$D$15</f>
        <v/>
      </c>
      <c r="E17" s="11">
        <f>'res_raw_38788493'!$E$15</f>
        <v/>
      </c>
      <c r="F17" s="11">
        <f>'res_raw_38788493'!$F$15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'res_raw_38788493'!$B$16</f>
        <v/>
      </c>
      <c r="C18" s="11">
        <f>'res_raw_38788493'!$C$16</f>
        <v/>
      </c>
      <c r="D18" s="11">
        <f>'res_raw_38788493'!$D$16</f>
        <v/>
      </c>
      <c r="E18" s="11">
        <f>'res_raw_38788493'!$E$16</f>
        <v/>
      </c>
      <c r="F18" s="11">
        <f>'res_raw_38788493'!$F$16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'res_raw_38788493'!$B$17</f>
        <v/>
      </c>
      <c r="C19" s="8">
        <f>'res_raw_38788493'!$C$17</f>
        <v/>
      </c>
      <c r="D19" s="8">
        <f>'res_raw_38788493'!$D$17</f>
        <v/>
      </c>
      <c r="E19" s="8">
        <f>'res_raw_38788493'!$E$17</f>
        <v/>
      </c>
      <c r="F19" s="8">
        <f>'res_raw_38788493'!$F$17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'res_raw_38788493'!$B$18</f>
        <v/>
      </c>
      <c r="C20" s="11">
        <f>'res_raw_38788493'!$C$18</f>
        <v/>
      </c>
      <c r="D20" s="11">
        <f>'res_raw_38788493'!$D$18</f>
        <v/>
      </c>
      <c r="E20" s="11">
        <f>'res_raw_38788493'!$E$18</f>
        <v/>
      </c>
      <c r="F20" s="11">
        <f>'res_raw_38788493'!$F$18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'balance_raw_38788493'!$B$2</f>
        <v/>
      </c>
      <c r="C23" s="8">
        <f>'balance_raw_38788493'!$C$2</f>
        <v/>
      </c>
      <c r="D23" s="8">
        <f>'balance_raw_38788493'!$D$2</f>
        <v/>
      </c>
      <c r="E23" s="8">
        <f>'balance_raw_38788493'!$E$2</f>
        <v/>
      </c>
      <c r="F23" s="8">
        <f>'balance_raw_38788493'!$F$2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'balance_raw_38788493'!$B$3</f>
        <v/>
      </c>
      <c r="C24" s="5">
        <f>'balance_raw_38788493'!$C$3</f>
        <v/>
      </c>
      <c r="D24" s="5">
        <f>'balance_raw_38788493'!$D$3</f>
        <v/>
      </c>
      <c r="E24" s="5">
        <f>'balance_raw_38788493'!$E$3</f>
        <v/>
      </c>
      <c r="F24" s="5">
        <f>'balance_raw_38788493'!$F$3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'balance_raw_38788493'!$B$4</f>
        <v/>
      </c>
      <c r="C25" s="8">
        <f>'balance_raw_38788493'!$C$4</f>
        <v/>
      </c>
      <c r="D25" s="8">
        <f>'balance_raw_38788493'!$D$4</f>
        <v/>
      </c>
      <c r="E25" s="8">
        <f>'balance_raw_38788493'!$E$4</f>
        <v/>
      </c>
      <c r="F25" s="8">
        <f>'balance_raw_38788493'!$F$4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'balance_raw_38788493'!$B$5</f>
        <v/>
      </c>
      <c r="C26" s="11">
        <f>'balance_raw_38788493'!$C$5</f>
        <v/>
      </c>
      <c r="D26" s="11">
        <f>'balance_raw_38788493'!$D$5</f>
        <v/>
      </c>
      <c r="E26" s="11">
        <f>'balance_raw_38788493'!$E$5</f>
        <v/>
      </c>
      <c r="F26" s="11">
        <f>'balance_raw_38788493'!$F$5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'balance_raw_38788493'!$B$6</f>
        <v/>
      </c>
      <c r="C27" s="8">
        <f>'balance_raw_38788493'!$C$6</f>
        <v/>
      </c>
      <c r="D27" s="8">
        <f>'balance_raw_38788493'!$D$6</f>
        <v/>
      </c>
      <c r="E27" s="8">
        <f>'balance_raw_38788493'!$E$6</f>
        <v/>
      </c>
      <c r="F27" s="8">
        <f>'balance_raw_38788493'!$F$6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'balance_raw_38788493'!$B$7</f>
        <v/>
      </c>
      <c r="C28" s="5">
        <f>'balance_raw_38788493'!$C$7</f>
        <v/>
      </c>
      <c r="D28" s="5">
        <f>'balance_raw_38788493'!$D$7</f>
        <v/>
      </c>
      <c r="E28" s="5">
        <f>'balance_raw_38788493'!$E$7</f>
        <v/>
      </c>
      <c r="F28" s="5">
        <f>'balance_raw_38788493'!$F$7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'balance_raw_38788493'!$B$8</f>
        <v/>
      </c>
      <c r="C29" s="8">
        <f>'balance_raw_38788493'!$C$8</f>
        <v/>
      </c>
      <c r="D29" s="8">
        <f>'balance_raw_38788493'!$D$8</f>
        <v/>
      </c>
      <c r="E29" s="8">
        <f>'balance_raw_38788493'!$E$8</f>
        <v/>
      </c>
      <c r="F29" s="8">
        <f>'balance_raw_38788493'!$F$8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'balance_raw_38788493'!$B$9</f>
        <v/>
      </c>
      <c r="C30" s="5">
        <f>'balance_raw_38788493'!$C$9</f>
        <v/>
      </c>
      <c r="D30" s="5">
        <f>'balance_raw_38788493'!$D$9</f>
        <v/>
      </c>
      <c r="E30" s="5">
        <f>'balance_raw_38788493'!$E$9</f>
        <v/>
      </c>
      <c r="F30" s="5">
        <f>'balance_raw_38788493'!$F$9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'balance_raw_38788493'!$B$10</f>
        <v/>
      </c>
      <c r="C31" s="8">
        <f>'balance_raw_38788493'!$C$10</f>
        <v/>
      </c>
      <c r="D31" s="8">
        <f>'balance_raw_38788493'!$D$10</f>
        <v/>
      </c>
      <c r="E31" s="8">
        <f>'balance_raw_38788493'!$E$10</f>
        <v/>
      </c>
      <c r="F31" s="8">
        <f>'balance_raw_38788493'!$F$10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'balance_raw_38788493'!$B$11</f>
        <v/>
      </c>
      <c r="C32" s="11">
        <f>'balance_raw_38788493'!$C$11</f>
        <v/>
      </c>
      <c r="D32" s="11">
        <f>'balance_raw_38788493'!$D$11</f>
        <v/>
      </c>
      <c r="E32" s="11">
        <f>'balance_raw_38788493'!$E$11</f>
        <v/>
      </c>
      <c r="F32" s="11">
        <f>'balance_raw_38788493'!$F$11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'balance_raw_38788493'!$B$12</f>
        <v/>
      </c>
      <c r="C33" s="8">
        <f>'balance_raw_38788493'!$C$12</f>
        <v/>
      </c>
      <c r="D33" s="8">
        <f>'balance_raw_38788493'!$D$12</f>
        <v/>
      </c>
      <c r="E33" s="8">
        <f>'balance_raw_38788493'!$E$12</f>
        <v/>
      </c>
      <c r="F33" s="8">
        <f>'balance_raw_38788493'!$F$12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'balance_raw_38788493'!$B$13</f>
        <v/>
      </c>
      <c r="C34" s="5">
        <f>'balance_raw_38788493'!$C$13</f>
        <v/>
      </c>
      <c r="D34" s="5">
        <f>'balance_raw_38788493'!$D$13</f>
        <v/>
      </c>
      <c r="E34" s="5">
        <f>'balance_raw_38788493'!$E$13</f>
        <v/>
      </c>
      <c r="F34" s="5">
        <f>'balance_raw_38788493'!$F$13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'balance_raw_38788493'!$B$14</f>
        <v/>
      </c>
      <c r="C35" s="11">
        <f>'balance_raw_38788493'!$C$14</f>
        <v/>
      </c>
      <c r="D35" s="11">
        <f>'balance_raw_38788493'!$D$14</f>
        <v/>
      </c>
      <c r="E35" s="11">
        <f>'balance_raw_38788493'!$E$14</f>
        <v/>
      </c>
      <c r="F35" s="11">
        <f>'balance_raw_38788493'!$F$14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'balance_raw_38788493'!$B$15</f>
        <v/>
      </c>
      <c r="C36" s="11">
        <f>'balance_raw_38788493'!$C$15</f>
        <v/>
      </c>
      <c r="D36" s="11">
        <f>'balance_raw_38788493'!$D$15</f>
        <v/>
      </c>
      <c r="E36" s="11">
        <f>'balance_raw_38788493'!$E$15</f>
        <v/>
      </c>
      <c r="F36" s="11">
        <f>'balance_raw_38788493'!$F$15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'balance_raw_38788493'!$B$16</f>
        <v/>
      </c>
      <c r="C37" s="8">
        <f>'balance_raw_38788493'!$C$16</f>
        <v/>
      </c>
      <c r="D37" s="8">
        <f>'balance_raw_38788493'!$D$16</f>
        <v/>
      </c>
      <c r="E37" s="8">
        <f>'balance_raw_38788493'!$E$16</f>
        <v/>
      </c>
      <c r="F37" s="8">
        <f>'balance_raw_38788493'!$F$16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'balance_raw_38788493'!$B$17</f>
        <v/>
      </c>
      <c r="C38" s="5">
        <f>'balance_raw_38788493'!$C$17</f>
        <v/>
      </c>
      <c r="D38" s="5">
        <f>'balance_raw_38788493'!$D$17</f>
        <v/>
      </c>
      <c r="E38" s="5">
        <f>'balance_raw_38788493'!$E$17</f>
        <v/>
      </c>
      <c r="F38" s="5">
        <f>'balance_raw_38788493'!$F$17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'balance_raw_38788493'!$B$18</f>
        <v/>
      </c>
      <c r="C39" s="8">
        <f>'balance_raw_38788493'!$C$18</f>
        <v/>
      </c>
      <c r="D39" s="8">
        <f>'balance_raw_38788493'!$D$18</f>
        <v/>
      </c>
      <c r="E39" s="8">
        <f>'balance_raw_38788493'!$E$18</f>
        <v/>
      </c>
      <c r="F39" s="8">
        <f>'balance_raw_38788493'!$F$18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'balance_raw_38788493'!$B$19</f>
        <v/>
      </c>
      <c r="C40" s="11">
        <f>'balance_raw_38788493'!$C$19</f>
        <v/>
      </c>
      <c r="D40" s="11">
        <f>'balance_raw_38788493'!$D$19</f>
        <v/>
      </c>
      <c r="E40" s="11">
        <f>'balance_raw_38788493'!$E$19</f>
        <v/>
      </c>
      <c r="F40" s="11">
        <f>'balance_raw_38788493'!$F$19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'balance_raw_38788493'!$B$20</f>
        <v/>
      </c>
      <c r="C41" s="8">
        <f>'balance_raw_38788493'!$C$20</f>
        <v/>
      </c>
      <c r="D41" s="8">
        <f>'balance_raw_38788493'!$D$20</f>
        <v/>
      </c>
      <c r="E41" s="8">
        <f>'balance_raw_38788493'!$E$20</f>
        <v/>
      </c>
      <c r="F41" s="8">
        <f>'balance_raw_38788493'!$F$20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'balance_raw_38788493'!$B$21</f>
        <v/>
      </c>
      <c r="C42" s="5">
        <f>'balance_raw_38788493'!$C$21</f>
        <v/>
      </c>
      <c r="D42" s="5">
        <f>'balance_raw_38788493'!$D$21</f>
        <v/>
      </c>
      <c r="E42" s="5">
        <f>'balance_raw_38788493'!$E$21</f>
        <v/>
      </c>
      <c r="F42" s="5">
        <f>'balance_raw_38788493'!$F$21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'balance_raw_38788493'!$B$22</f>
        <v/>
      </c>
      <c r="C43" s="8">
        <f>'balance_raw_38788493'!$C$22</f>
        <v/>
      </c>
      <c r="D43" s="8">
        <f>'balance_raw_38788493'!$D$22</f>
        <v/>
      </c>
      <c r="E43" s="8">
        <f>'balance_raw_38788493'!$E$22</f>
        <v/>
      </c>
      <c r="F43" s="8">
        <f>'balance_raw_38788493'!$F$22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'balance_raw_38788493'!$B$23</f>
        <v/>
      </c>
      <c r="C44" s="5">
        <f>'balance_raw_38788493'!$C$23</f>
        <v/>
      </c>
      <c r="D44" s="5">
        <f>'balance_raw_38788493'!$D$23</f>
        <v/>
      </c>
      <c r="E44" s="5">
        <f>'balance_raw_38788493'!$E$23</f>
        <v/>
      </c>
      <c r="F44" s="5">
        <f>'balance_raw_38788493'!$F$23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'balance_raw_38788493'!$B$24</f>
        <v/>
      </c>
      <c r="C45" s="8">
        <f>'balance_raw_38788493'!$C$24</f>
        <v/>
      </c>
      <c r="D45" s="8">
        <f>'balance_raw_38788493'!$D$24</f>
        <v/>
      </c>
      <c r="E45" s="8">
        <f>'balance_raw_38788493'!$E$24</f>
        <v/>
      </c>
      <c r="F45" s="8">
        <f>'balance_raw_38788493'!$F$24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'balance_raw_38788493'!$B$25</f>
        <v/>
      </c>
      <c r="C46" s="5">
        <f>'balance_raw_38788493'!$C$25</f>
        <v/>
      </c>
      <c r="D46" s="5">
        <f>'balance_raw_38788493'!$D$25</f>
        <v/>
      </c>
      <c r="E46" s="5">
        <f>'balance_raw_38788493'!$E$25</f>
        <v/>
      </c>
      <c r="F46" s="5">
        <f>'balance_raw_38788493'!$F$25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'balance_raw_38788493'!$B$26</f>
        <v/>
      </c>
      <c r="C47" s="8">
        <f>'balance_raw_38788493'!$C$26</f>
        <v/>
      </c>
      <c r="D47" s="8">
        <f>'balance_raw_38788493'!$D$26</f>
        <v/>
      </c>
      <c r="E47" s="8">
        <f>'balance_raw_38788493'!$E$26</f>
        <v/>
      </c>
      <c r="F47" s="8">
        <f>'balance_raw_38788493'!$F$26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'balance_raw_38788493'!$B$27</f>
        <v/>
      </c>
      <c r="C48" s="11">
        <f>'balance_raw_38788493'!$C$27</f>
        <v/>
      </c>
      <c r="D48" s="11">
        <f>'balance_raw_38788493'!$D$27</f>
        <v/>
      </c>
      <c r="E48" s="11">
        <f>'balance_raw_38788493'!$E$27</f>
        <v/>
      </c>
      <c r="F48" s="11">
        <f>'balance_raw_38788493'!$F$27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'balance_raw_38788493'!$B$28</f>
        <v/>
      </c>
      <c r="C49" s="8">
        <f>'balance_raw_38788493'!$C$28</f>
        <v/>
      </c>
      <c r="D49" s="8">
        <f>'balance_raw_38788493'!$D$28</f>
        <v/>
      </c>
      <c r="E49" s="8">
        <f>'balance_raw_38788493'!$E$28</f>
        <v/>
      </c>
      <c r="F49" s="8">
        <f>'balance_raw_38788493'!$F$28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'balance_raw_38788493'!$B$29</f>
        <v/>
      </c>
      <c r="C50" s="5">
        <f>'balance_raw_38788493'!$C$29</f>
        <v/>
      </c>
      <c r="D50" s="5">
        <f>'balance_raw_38788493'!$D$29</f>
        <v/>
      </c>
      <c r="E50" s="5">
        <f>'balance_raw_38788493'!$E$29</f>
        <v/>
      </c>
      <c r="F50" s="5">
        <f>'balance_raw_38788493'!$F$29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'balance_raw_38788493'!$B$30</f>
        <v/>
      </c>
      <c r="C51" s="11">
        <f>'balance_raw_38788493'!$C$30</f>
        <v/>
      </c>
      <c r="D51" s="11">
        <f>'balance_raw_38788493'!$D$30</f>
        <v/>
      </c>
      <c r="E51" s="11">
        <f>'balance_raw_38788493'!$E$30</f>
        <v/>
      </c>
      <c r="F51" s="11">
        <f>'balance_raw_38788493'!$F$30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'balance_raw_38788493'!$B$31</f>
        <v/>
      </c>
      <c r="C52" s="11">
        <f>'balance_raw_38788493'!$C$31</f>
        <v/>
      </c>
      <c r="D52" s="11">
        <f>'balance_raw_38788493'!$D$31</f>
        <v/>
      </c>
      <c r="E52" s="11">
        <f>'balance_raw_38788493'!$E$31</f>
        <v/>
      </c>
      <c r="F52" s="11">
        <f>'balance_raw_38788493'!$F$31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'balance_raw_38788493'!$B$32</f>
        <v/>
      </c>
      <c r="C55" s="8">
        <f>'balance_raw_38788493'!$C$32</f>
        <v/>
      </c>
      <c r="D55" s="8">
        <f>'balance_raw_38788493'!$D$32</f>
        <v/>
      </c>
      <c r="E55" s="8">
        <f>'balance_raw_38788493'!$E$32</f>
        <v/>
      </c>
      <c r="F55" s="8">
        <f>'balance_raw_38788493'!$F$32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'balance_raw_38788493'!$B$33</f>
        <v/>
      </c>
      <c r="C56" s="5">
        <f>'balance_raw_38788493'!$C$33</f>
        <v/>
      </c>
      <c r="D56" s="5">
        <f>'balance_raw_38788493'!$D$33</f>
        <v/>
      </c>
      <c r="E56" s="5">
        <f>'balance_raw_38788493'!$E$33</f>
        <v/>
      </c>
      <c r="F56" s="5">
        <f>'balance_raw_38788493'!$F$33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'balance_raw_38788493'!$B$34</f>
        <v/>
      </c>
      <c r="C57" s="8">
        <f>'balance_raw_38788493'!$C$34</f>
        <v/>
      </c>
      <c r="D57" s="8">
        <f>'balance_raw_38788493'!$D$34</f>
        <v/>
      </c>
      <c r="E57" s="8">
        <f>'balance_raw_38788493'!$E$34</f>
        <v/>
      </c>
      <c r="F57" s="8">
        <f>'balance_raw_38788493'!$F$34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'balance_raw_38788493'!$B$35</f>
        <v/>
      </c>
      <c r="C58" s="5">
        <f>'balance_raw_38788493'!$C$35</f>
        <v/>
      </c>
      <c r="D58" s="5">
        <f>'balance_raw_38788493'!$D$35</f>
        <v/>
      </c>
      <c r="E58" s="5">
        <f>'balance_raw_38788493'!$E$35</f>
        <v/>
      </c>
      <c r="F58" s="5">
        <f>'balance_raw_38788493'!$F$35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'balance_raw_38788493'!$B$36</f>
        <v/>
      </c>
      <c r="C59" s="8">
        <f>'balance_raw_38788493'!$C$36</f>
        <v/>
      </c>
      <c r="D59" s="8">
        <f>'balance_raw_38788493'!$D$36</f>
        <v/>
      </c>
      <c r="E59" s="8">
        <f>'balance_raw_38788493'!$E$36</f>
        <v/>
      </c>
      <c r="F59" s="8">
        <f>'balance_raw_38788493'!$F$36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'balance_raw_38788493'!$B$37</f>
        <v/>
      </c>
      <c r="C60" s="5">
        <f>'balance_raw_38788493'!$C$37</f>
        <v/>
      </c>
      <c r="D60" s="5">
        <f>'balance_raw_38788493'!$D$37</f>
        <v/>
      </c>
      <c r="E60" s="5">
        <f>'balance_raw_38788493'!$E$37</f>
        <v/>
      </c>
      <c r="F60" s="5">
        <f>'balance_raw_38788493'!$F$37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'balance_raw_38788493'!$B$38</f>
        <v/>
      </c>
      <c r="C61" s="11">
        <f>'balance_raw_38788493'!$C$38</f>
        <v/>
      </c>
      <c r="D61" s="11">
        <f>'balance_raw_38788493'!$D$38</f>
        <v/>
      </c>
      <c r="E61" s="11">
        <f>'balance_raw_38788493'!$E$38</f>
        <v/>
      </c>
      <c r="F61" s="11">
        <f>'balance_raw_38788493'!$F$38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'balance_raw_38788493'!$B$39</f>
        <v/>
      </c>
      <c r="C62" s="5">
        <f>'balance_raw_38788493'!$C$39</f>
        <v/>
      </c>
      <c r="D62" s="5">
        <f>'balance_raw_38788493'!$D$39</f>
        <v/>
      </c>
      <c r="E62" s="5">
        <f>'balance_raw_38788493'!$E$39</f>
        <v/>
      </c>
      <c r="F62" s="5">
        <f>'balance_raw_38788493'!$F$39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'balance_raw_38788493'!$B$40</f>
        <v/>
      </c>
      <c r="C63" s="11">
        <f>'balance_raw_38788493'!$C$40</f>
        <v/>
      </c>
      <c r="D63" s="11">
        <f>'balance_raw_38788493'!$D$40</f>
        <v/>
      </c>
      <c r="E63" s="11">
        <f>'balance_raw_38788493'!$E$40</f>
        <v/>
      </c>
      <c r="F63" s="11">
        <f>'balance_raw_38788493'!$F$40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'balance_raw_38788493'!$B$41</f>
        <v/>
      </c>
      <c r="C64" s="5">
        <f>'balance_raw_38788493'!$C$41</f>
        <v/>
      </c>
      <c r="D64" s="5">
        <f>'balance_raw_38788493'!$D$41</f>
        <v/>
      </c>
      <c r="E64" s="5">
        <f>'balance_raw_38788493'!$E$41</f>
        <v/>
      </c>
      <c r="F64" s="5">
        <f>'balance_raw_38788493'!$F$41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Kortfristet del af langfristede gældsforpligtelser</t>
        </is>
      </c>
      <c r="B65" s="8">
        <f>'balance_raw_38788493'!$B$42</f>
        <v/>
      </c>
      <c r="C65" s="8">
        <f>'balance_raw_38788493'!$C$42</f>
        <v/>
      </c>
      <c r="D65" s="8">
        <f>'balance_raw_38788493'!$D$42</f>
        <v/>
      </c>
      <c r="E65" s="8">
        <f>'balance_raw_38788493'!$E$42</f>
        <v/>
      </c>
      <c r="F65" s="8">
        <f>'balance_raw_38788493'!$F$42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'balance_raw_38788493'!$B$43</f>
        <v/>
      </c>
      <c r="C66" s="5">
        <f>'balance_raw_38788493'!$C$43</f>
        <v/>
      </c>
      <c r="D66" s="5">
        <f>'balance_raw_38788493'!$D$43</f>
        <v/>
      </c>
      <c r="E66" s="5">
        <f>'balance_raw_38788493'!$E$43</f>
        <v/>
      </c>
      <c r="F66" s="5">
        <f>'balance_raw_38788493'!$F$43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Leasingforpligtelser (kortfristet)</t>
        </is>
      </c>
      <c r="B67" s="8">
        <f>'balance_raw_38788493'!$B$44</f>
        <v/>
      </c>
      <c r="C67" s="8">
        <f>'balance_raw_38788493'!$C$44</f>
        <v/>
      </c>
      <c r="D67" s="8">
        <f>'balance_raw_38788493'!$D$44</f>
        <v/>
      </c>
      <c r="E67" s="8">
        <f>'balance_raw_38788493'!$E$44</f>
        <v/>
      </c>
      <c r="F67" s="8">
        <f>'balance_raw_38788493'!$F$44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'balance_raw_38788493'!$B$45</f>
        <v/>
      </c>
      <c r="C68" s="5">
        <f>'balance_raw_38788493'!$C$45</f>
        <v/>
      </c>
      <c r="D68" s="5">
        <f>'balance_raw_38788493'!$D$45</f>
        <v/>
      </c>
      <c r="E68" s="5">
        <f>'balance_raw_38788493'!$E$45</f>
        <v/>
      </c>
      <c r="F68" s="5">
        <f>'balance_raw_38788493'!$F$45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</t>
        </is>
      </c>
      <c r="B69" s="8">
        <f>'balance_raw_38788493'!$B$46</f>
        <v/>
      </c>
      <c r="C69" s="8">
        <f>'balance_raw_38788493'!$C$46</f>
        <v/>
      </c>
      <c r="D69" s="8">
        <f>'balance_raw_38788493'!$D$46</f>
        <v/>
      </c>
      <c r="E69" s="8">
        <f>'balance_raw_38788493'!$E$46</f>
        <v/>
      </c>
      <c r="F69" s="8">
        <f>'balance_raw_38788493'!$F$46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'balance_raw_38788493'!$B$47</f>
        <v/>
      </c>
      <c r="C70" s="5">
        <f>'balance_raw_38788493'!$C$47</f>
        <v/>
      </c>
      <c r="D70" s="5">
        <f>'balance_raw_38788493'!$D$47</f>
        <v/>
      </c>
      <c r="E70" s="5">
        <f>'balance_raw_38788493'!$E$47</f>
        <v/>
      </c>
      <c r="F70" s="5">
        <f>'balance_raw_38788493'!$F$47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Selskabsskat</t>
        </is>
      </c>
      <c r="B71" s="8">
        <f>'balance_raw_38788493'!$B$48</f>
        <v/>
      </c>
      <c r="C71" s="8">
        <f>'balance_raw_38788493'!$C$48</f>
        <v/>
      </c>
      <c r="D71" s="8">
        <f>'balance_raw_38788493'!$D$48</f>
        <v/>
      </c>
      <c r="E71" s="8">
        <f>'balance_raw_38788493'!$E$48</f>
        <v/>
      </c>
      <c r="F71" s="8">
        <f>'balance_raw_38788493'!$F$48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'balance_raw_38788493'!$B$49</f>
        <v/>
      </c>
      <c r="C72" s="5">
        <f>'balance_raw_38788493'!$C$49</f>
        <v/>
      </c>
      <c r="D72" s="5">
        <f>'balance_raw_38788493'!$D$49</f>
        <v/>
      </c>
      <c r="E72" s="5">
        <f>'balance_raw_38788493'!$E$49</f>
        <v/>
      </c>
      <c r="F72" s="5">
        <f>'balance_raw_38788493'!$F$49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Anden gæld (kortfristet)</t>
        </is>
      </c>
      <c r="B73" s="8">
        <f>'balance_raw_38788493'!$B$50</f>
        <v/>
      </c>
      <c r="C73" s="8">
        <f>'balance_raw_38788493'!$C$50</f>
        <v/>
      </c>
      <c r="D73" s="8">
        <f>'balance_raw_38788493'!$D$50</f>
        <v/>
      </c>
      <c r="E73" s="8">
        <f>'balance_raw_38788493'!$E$50</f>
        <v/>
      </c>
      <c r="F73" s="8">
        <f>'balance_raw_38788493'!$F$50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'balance_raw_38788493'!$B$51</f>
        <v/>
      </c>
      <c r="C74" s="5">
        <f>'balance_raw_38788493'!$C$51</f>
        <v/>
      </c>
      <c r="D74" s="5">
        <f>'balance_raw_38788493'!$D$51</f>
        <v/>
      </c>
      <c r="E74" s="5">
        <f>'balance_raw_38788493'!$E$51</f>
        <v/>
      </c>
      <c r="F74" s="5">
        <f>'balance_raw_38788493'!$F$51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Kortfristede gældsforpligtelser</t>
        </is>
      </c>
      <c r="B75" s="11">
        <f>'balance_raw_38788493'!$B$52</f>
        <v/>
      </c>
      <c r="C75" s="11">
        <f>'balance_raw_38788493'!$C$52</f>
        <v/>
      </c>
      <c r="D75" s="11">
        <f>'balance_raw_38788493'!$D$52</f>
        <v/>
      </c>
      <c r="E75" s="11">
        <f>'balance_raw_38788493'!$E$52</f>
        <v/>
      </c>
      <c r="F75" s="11">
        <f>'balance_raw_38788493'!$F$52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10" t="inlineStr">
        <is>
          <t>Gældsforpligtelser</t>
        </is>
      </c>
      <c r="B76" s="11">
        <f>'balance_raw_38788493'!$B$53</f>
        <v/>
      </c>
      <c r="C76" s="11">
        <f>'balance_raw_38788493'!$C$53</f>
        <v/>
      </c>
      <c r="D76" s="11">
        <f>'balance_raw_38788493'!$D$53</f>
        <v/>
      </c>
      <c r="E76" s="11">
        <f>'balance_raw_38788493'!$E$53</f>
        <v/>
      </c>
      <c r="F76" s="11">
        <f>'balance_raw_38788493'!$F$53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Passiver</t>
        </is>
      </c>
      <c r="B77" s="11">
        <f>'balance_raw_38788493'!$B$54</f>
        <v/>
      </c>
      <c r="C77" s="11">
        <f>'balance_raw_38788493'!$C$54</f>
        <v/>
      </c>
      <c r="D77" s="11">
        <f>'balance_raw_38788493'!$D$54</f>
        <v/>
      </c>
      <c r="E77" s="11">
        <f>'balance_raw_38788493'!$E$54</f>
        <v/>
      </c>
      <c r="F77" s="11">
        <f>'balance_raw_38788493'!$F$54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9" ht="22" customHeight="1">
      <c r="A79" s="3" t="inlineStr">
        <is>
          <t>NØGLEOPLYSNINGER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Gns. antal medarbejdere</t>
        </is>
      </c>
      <c r="B80" s="5">
        <f>'res_raw_38788493'!$B$19</f>
        <v/>
      </c>
      <c r="C80" s="5">
        <f>'res_raw_38788493'!$C$19</f>
        <v/>
      </c>
      <c r="D80" s="5">
        <f>'res_raw_38788493'!$D$19</f>
        <v/>
      </c>
      <c r="E80" s="5">
        <f>'res_raw_38788493'!$E$19</f>
        <v/>
      </c>
      <c r="F80" s="5">
        <f>'res_raw_38788493'!$F$19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7" t="inlineStr">
        <is>
          <t>Investering i materielle anlægsaktiver</t>
        </is>
      </c>
      <c r="B81" s="8">
        <f>'res_raw_38788493'!$B$20</f>
        <v/>
      </c>
      <c r="C81" s="8">
        <f>'res_raw_38788493'!$C$20</f>
        <v/>
      </c>
      <c r="D81" s="8">
        <f>'res_raw_38788493'!$D$20</f>
        <v/>
      </c>
      <c r="E81" s="8">
        <f>'res_raw_38788493'!$E$20</f>
        <v/>
      </c>
      <c r="F81" s="8">
        <f>'res_raw_38788493'!$F$20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3" ht="22" customHeight="1">
      <c r="A83" s="3" t="inlineStr">
        <is>
          <t>NØGLETAL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Afkastningsgrad, %</t>
        </is>
      </c>
      <c r="B84" s="13">
        <f>IFERROR(($B$13+$B$15+$B$14)/$B$52*100,"")</f>
        <v/>
      </c>
      <c r="C84" s="13">
        <f>IFERROR(($C$13+$C$15+$C$14)/$C$52*100,"")</f>
        <v/>
      </c>
      <c r="D84" s="13">
        <f>IFERROR(($D$13+$D$15+$D$14)/$D$52*100,"")</f>
        <v/>
      </c>
      <c r="E84" s="13">
        <f>IFERROR(($E$13+$E$15+$E$14)/$E$52*100,"")</f>
        <v/>
      </c>
      <c r="F84" s="13">
        <f>IFERROR(($F$13+$F$15+$F$14)/$F$52*100,"")</f>
        <v/>
      </c>
    </row>
    <row r="85" ht="16" customHeight="1">
      <c r="A85" s="7" t="inlineStr">
        <is>
          <t>Overskudsgrad (af bruttofortjeneste), %</t>
        </is>
      </c>
      <c r="B85" s="14">
        <f>IFERROR(($B$13+$B$15+$B$14)/$B$8*100,"")</f>
        <v/>
      </c>
      <c r="C85" s="14">
        <f>IFERROR(($C$13+$C$15+$C$14)/$C$8*100,"")</f>
        <v/>
      </c>
      <c r="D85" s="14">
        <f>IFERROR(($D$13+$D$15+$D$14)/$D$8*100,"")</f>
        <v/>
      </c>
      <c r="E85" s="14">
        <f>IFERROR(($E$13+$E$15+$E$14)/$E$8*100,"")</f>
        <v/>
      </c>
      <c r="F85" s="14">
        <f>IFERROR(($F$13+$F$15+$F$14)/$F$8*100,"")</f>
        <v/>
      </c>
    </row>
    <row r="86" ht="16" customHeight="1">
      <c r="A86" s="4" t="inlineStr">
        <is>
          <t>Aktivernes omsætningshastighed (af bruttofortjeneste), gange</t>
        </is>
      </c>
      <c r="B86" s="13">
        <f>IFERROR($B$8/$B$52,"")</f>
        <v/>
      </c>
      <c r="C86" s="13">
        <f>IFERROR($C$8/$C$52,"")</f>
        <v/>
      </c>
      <c r="D86" s="13">
        <f>IFERROR($D$8/$D$52,"")</f>
        <v/>
      </c>
      <c r="E86" s="13">
        <f>IFERROR($E$8/$E$52,"")</f>
        <v/>
      </c>
      <c r="F86" s="13">
        <f>IFERROR($F$8/$F$52,"")</f>
        <v/>
      </c>
    </row>
    <row r="87" ht="16" customHeight="1">
      <c r="A87" s="7" t="inlineStr">
        <is>
          <t>Egenkapitalens forrentning, %</t>
        </is>
      </c>
      <c r="B87" s="14">
        <f>IFERROR($B$18/$B$61*100,"")</f>
        <v/>
      </c>
      <c r="C87" s="14">
        <f>IFERROR($C$18/$C$61*100,"")</f>
        <v/>
      </c>
      <c r="D87" s="14">
        <f>IFERROR($D$18/$D$61*100,"")</f>
        <v/>
      </c>
      <c r="E87" s="14">
        <f>IFERROR($E$18/$E$61*100,"")</f>
        <v/>
      </c>
      <c r="F87" s="14">
        <f>IFERROR($F$18/$F$61*100,"")</f>
        <v/>
      </c>
    </row>
    <row r="88" ht="16" customHeight="1">
      <c r="A88" s="4" t="inlineStr">
        <is>
          <t>Gældsrente, %</t>
        </is>
      </c>
      <c r="B88" s="13">
        <f>IFERROR($B$16/($B$77-$B$61)*100,"")</f>
        <v/>
      </c>
      <c r="C88" s="13">
        <f>IFERROR($C$16/($C$77-$C$61)*100,"")</f>
        <v/>
      </c>
      <c r="D88" s="13">
        <f>IFERROR($D$16/($D$77-$D$61)*100,"")</f>
        <v/>
      </c>
      <c r="E88" s="13">
        <f>IFERROR($E$16/($E$77-$E$61)*100,"")</f>
        <v/>
      </c>
      <c r="F88" s="13">
        <f>IFERROR($F$16/($F$77-$F$61)*100,"")</f>
        <v/>
      </c>
    </row>
    <row r="89" ht="16" customHeight="1">
      <c r="A89" s="7" t="inlineStr">
        <is>
          <t>Soliditetsgrad, %</t>
        </is>
      </c>
      <c r="B89" s="14">
        <f>IFERROR($B$61/$B$52*100,"")</f>
        <v/>
      </c>
      <c r="C89" s="14">
        <f>IFERROR($C$61/$C$52*100,"")</f>
        <v/>
      </c>
      <c r="D89" s="14">
        <f>IFERROR($D$61/$D$52*100,"")</f>
        <v/>
      </c>
      <c r="E89" s="14">
        <f>IFERROR($E$61/$E$52*100,"")</f>
        <v/>
      </c>
      <c r="F89" s="14">
        <f>IFERROR($F$61/$F$52*100,"")</f>
        <v/>
      </c>
    </row>
    <row r="90" ht="16" customHeight="1">
      <c r="A90" s="4" t="inlineStr">
        <is>
          <t>Gearing</t>
        </is>
      </c>
      <c r="B90" s="13">
        <f>IFERROR(($B$77-$B$61)/$B$61,"")</f>
        <v/>
      </c>
      <c r="C90" s="13">
        <f>IFERROR(($C$77-$C$61)/$C$61,"")</f>
        <v/>
      </c>
      <c r="D90" s="13">
        <f>IFERROR(($D$77-$D$61)/$D$61,"")</f>
        <v/>
      </c>
      <c r="E90" s="13">
        <f>IFERROR(($E$77-$E$61)/$E$61,"")</f>
        <v/>
      </c>
      <c r="F90" s="13">
        <f>IFERROR(($F$77-$F$61)/$F$61,"")</f>
        <v/>
      </c>
    </row>
    <row r="91" ht="16" customHeight="1">
      <c r="A91" s="7" t="inlineStr">
        <is>
          <t>Likviditetsgrad, %</t>
        </is>
      </c>
      <c r="B91" s="14">
        <f>IFERROR($B$51/$B$75*100,"")</f>
        <v/>
      </c>
      <c r="C91" s="14">
        <f>IFERROR($C$51/$C$75*100,"")</f>
        <v/>
      </c>
      <c r="D91" s="14">
        <f>IFERROR($D$51/$D$75*100,"")</f>
        <v/>
      </c>
      <c r="E91" s="14">
        <f>IFERROR($E$51/$E$75*100,"")</f>
        <v/>
      </c>
      <c r="F91" s="14">
        <f>IFERROR($F$51/$F$75*100,"")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7" t="inlineStr">
        <is>
          <t>Gældsandel, %</t>
        </is>
      </c>
      <c r="B93" s="14">
        <f>IFERROR(($B$77-$B$61)/$B$52*100,"")</f>
        <v/>
      </c>
      <c r="C93" s="14">
        <f>IFERROR(($C$77-$C$61)/$C$52*100,"")</f>
        <v/>
      </c>
      <c r="D93" s="14">
        <f>IFERROR(($D$77-$D$61)/$D$52*100,"")</f>
        <v/>
      </c>
      <c r="E93" s="14">
        <f>IFERROR(($E$77-$E$61)/$E$52*100,"")</f>
        <v/>
      </c>
      <c r="F93" s="14">
        <f>IFERROR(($F$77-$F$61)/$F$52*100,"")</f>
        <v/>
      </c>
    </row>
    <row r="94" ht="16" customHeight="1">
      <c r="A94" s="4" t="inlineStr">
        <is>
          <t>Kapitalbindingsgrad, %</t>
        </is>
      </c>
      <c r="B94" s="13">
        <f>IFERROR($B$36/($B$61+0)*100,"")</f>
        <v/>
      </c>
      <c r="C94" s="13">
        <f>IFERROR($C$36/($C$61+0)*100,"")</f>
        <v/>
      </c>
      <c r="D94" s="13">
        <f>IFERROR($D$36/($D$61+0)*100,"")</f>
        <v/>
      </c>
      <c r="E94" s="13">
        <f>IFERROR($E$36/($E$61+0)*100,"")</f>
        <v/>
      </c>
      <c r="F94" s="13">
        <f>IFERROR($F$36/($F$61+0)*100,"")</f>
        <v/>
      </c>
    </row>
    <row r="96">
      <c r="A96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Nailster A/S (CVR 38788493)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7440</v>
      </c>
      <c r="C6" s="16" t="n">
        <v>13451</v>
      </c>
      <c r="D6" s="16" t="n">
        <v>22593</v>
      </c>
      <c r="E6" s="16" t="n">
        <v>20700</v>
      </c>
      <c r="F6" s="16" t="n">
        <v>21364</v>
      </c>
    </row>
    <row r="7">
      <c r="A7" s="15" t="inlineStr">
        <is>
          <t>Personaleomkostninger</t>
        </is>
      </c>
      <c r="B7" s="16" t="n">
        <v>4543</v>
      </c>
      <c r="C7" s="16" t="n">
        <v>9388</v>
      </c>
      <c r="D7" s="16" t="n">
        <v>12406</v>
      </c>
      <c r="E7" s="16" t="n">
        <v>14271</v>
      </c>
      <c r="F7" s="16" t="n">
        <v>15672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748</v>
      </c>
      <c r="C9" s="16" t="n">
        <v>1586</v>
      </c>
      <c r="D9" s="16" t="n">
        <v>2445</v>
      </c>
      <c r="E9" s="16" t="n">
        <v>2798</v>
      </c>
      <c r="F9" s="16" t="n">
        <v>2155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>
        <v>389</v>
      </c>
      <c r="F10" s="16" t="n">
        <v>16</v>
      </c>
    </row>
    <row r="11">
      <c r="A11" s="17" t="inlineStr">
        <is>
          <t>Resultat af primær drift</t>
        </is>
      </c>
      <c r="B11" s="16" t="n">
        <v>2150</v>
      </c>
      <c r="C11" s="16" t="n">
        <v>2477</v>
      </c>
      <c r="D11" s="16" t="n">
        <v>7741</v>
      </c>
      <c r="E11" s="16" t="n">
        <v>3242</v>
      </c>
      <c r="F11" s="16" t="n">
        <v>3520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32</v>
      </c>
      <c r="C13" s="16" t="n"/>
      <c r="D13" s="16" t="n"/>
      <c r="E13" s="16" t="n">
        <v>123</v>
      </c>
      <c r="F13" s="16" t="n">
        <v>784</v>
      </c>
    </row>
    <row r="14">
      <c r="A14" s="15" t="inlineStr">
        <is>
          <t>Finansielle omkostninger</t>
        </is>
      </c>
      <c r="B14" s="16" t="n">
        <v>152</v>
      </c>
      <c r="C14" s="16" t="n">
        <v>1483</v>
      </c>
      <c r="D14" s="16" t="n">
        <v>1688</v>
      </c>
      <c r="E14" s="16" t="n">
        <v>1214</v>
      </c>
      <c r="F14" s="16" t="n">
        <v>920</v>
      </c>
    </row>
    <row r="15">
      <c r="A15" s="17" t="inlineStr">
        <is>
          <t>Finansielle poster, netto</t>
        </is>
      </c>
      <c r="B15" s="16" t="n">
        <v>-120</v>
      </c>
      <c r="C15" s="16" t="n">
        <v>-1483</v>
      </c>
      <c r="D15" s="16" t="n">
        <v>-1688</v>
      </c>
      <c r="E15" s="16" t="n">
        <v>-1091</v>
      </c>
      <c r="F15" s="16" t="n">
        <v>-136</v>
      </c>
    </row>
    <row r="16">
      <c r="A16" s="17" t="inlineStr">
        <is>
          <t>Resultat før skat</t>
        </is>
      </c>
      <c r="B16" s="16" t="n">
        <v>2030</v>
      </c>
      <c r="C16" s="16" t="n">
        <v>1735</v>
      </c>
      <c r="D16" s="16" t="n">
        <v>5626</v>
      </c>
      <c r="E16" s="16" t="n">
        <v>2151</v>
      </c>
      <c r="F16" s="16" t="n">
        <v>3384</v>
      </c>
    </row>
    <row r="17">
      <c r="A17" s="15" t="inlineStr">
        <is>
          <t>Skat af årets resultat</t>
        </is>
      </c>
      <c r="B17" s="16" t="n">
        <v>462</v>
      </c>
      <c r="C17" s="16" t="n">
        <v>438</v>
      </c>
      <c r="D17" s="16" t="n">
        <v>1262</v>
      </c>
      <c r="E17" s="16" t="n">
        <v>479</v>
      </c>
      <c r="F17" s="16" t="n">
        <v>744</v>
      </c>
    </row>
    <row r="18">
      <c r="A18" s="17" t="inlineStr">
        <is>
          <t>Årets resultat</t>
        </is>
      </c>
      <c r="B18" s="16" t="n">
        <v>1568</v>
      </c>
      <c r="C18" s="16" t="n">
        <v>1298</v>
      </c>
      <c r="D18" s="16" t="n">
        <v>4363</v>
      </c>
      <c r="E18" s="16" t="n">
        <v>1672</v>
      </c>
      <c r="F18" s="16" t="n">
        <v>2639</v>
      </c>
    </row>
    <row r="19">
      <c r="A19" s="15" t="inlineStr">
        <is>
          <t>Gns. antal medarbejdere</t>
        </is>
      </c>
      <c r="B19" s="16" t="n">
        <v>12</v>
      </c>
      <c r="C19" s="16" t="n">
        <v>22</v>
      </c>
      <c r="D19" s="16" t="n">
        <v>24</v>
      </c>
      <c r="E19" s="16" t="n">
        <v>28</v>
      </c>
      <c r="F19" s="16" t="n">
        <v>25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Nailster A/S (CVR 38788493)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2785</v>
      </c>
      <c r="C2" s="16" t="n">
        <v>3095</v>
      </c>
      <c r="D2" s="16" t="n">
        <v>1937</v>
      </c>
      <c r="E2" s="16" t="n">
        <v>607</v>
      </c>
      <c r="F2" s="16" t="n">
        <v>107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2785</v>
      </c>
      <c r="C5" s="16" t="n">
        <v>3095</v>
      </c>
      <c r="D5" s="16" t="n">
        <v>1937</v>
      </c>
      <c r="E5" s="16" t="n">
        <v>607</v>
      </c>
      <c r="F5" s="16" t="n">
        <v>107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159</v>
      </c>
      <c r="C8" s="16" t="n">
        <v>799</v>
      </c>
      <c r="D8" s="16" t="n">
        <v>2197</v>
      </c>
      <c r="E8" s="16" t="n">
        <v>2477</v>
      </c>
      <c r="F8" s="16" t="n">
        <v>2203</v>
      </c>
    </row>
    <row r="9">
      <c r="A9" s="15" t="inlineStr">
        <is>
          <t>Indretning af lejede lokaler</t>
        </is>
      </c>
      <c r="B9" s="16" t="n">
        <v>206</v>
      </c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365</v>
      </c>
      <c r="C11" s="16" t="n">
        <v>799</v>
      </c>
      <c r="D11" s="16" t="n">
        <v>2197</v>
      </c>
      <c r="E11" s="16" t="n">
        <v>2477</v>
      </c>
      <c r="F11" s="16" t="n">
        <v>2203</v>
      </c>
    </row>
    <row r="12">
      <c r="A12" s="15" t="inlineStr">
        <is>
          <t>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Deposita</t>
        </is>
      </c>
      <c r="B13" s="16" t="n">
        <v>208</v>
      </c>
      <c r="C13" s="16" t="n">
        <v>344</v>
      </c>
      <c r="D13" s="16" t="n">
        <v>497</v>
      </c>
      <c r="E13" s="16" t="n">
        <v>497</v>
      </c>
      <c r="F13" s="16" t="n">
        <v>0</v>
      </c>
    </row>
    <row r="14">
      <c r="A14" s="17" t="inlineStr">
        <is>
          <t>Finansielle anlægsaktiver</t>
        </is>
      </c>
      <c r="B14" s="16" t="n">
        <v>208</v>
      </c>
      <c r="C14" s="16" t="n">
        <v>344</v>
      </c>
      <c r="D14" s="16" t="n">
        <v>497</v>
      </c>
      <c r="E14" s="16" t="n">
        <v>497</v>
      </c>
      <c r="F14" s="16" t="n">
        <v>0</v>
      </c>
    </row>
    <row r="15">
      <c r="A15" s="17" t="inlineStr">
        <is>
          <t>Anlægsaktiver</t>
        </is>
      </c>
      <c r="B15" s="16" t="n">
        <v>3358</v>
      </c>
      <c r="C15" s="16" t="n">
        <v>4239</v>
      </c>
      <c r="D15" s="16" t="n">
        <v>4631</v>
      </c>
      <c r="E15" s="16" t="n">
        <v>3581</v>
      </c>
      <c r="F15" s="16" t="n">
        <v>2310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7048</v>
      </c>
      <c r="C18" s="16" t="n">
        <v>13736</v>
      </c>
      <c r="D18" s="16" t="n">
        <v>11148</v>
      </c>
      <c r="E18" s="16" t="n">
        <v>8308</v>
      </c>
      <c r="F18" s="16" t="n">
        <v>7344</v>
      </c>
    </row>
    <row r="19">
      <c r="A19" s="17" t="inlineStr">
        <is>
          <t>Varebeholdninger</t>
        </is>
      </c>
      <c r="B19" s="16" t="n">
        <v>7048</v>
      </c>
      <c r="C19" s="16" t="n">
        <v>16447</v>
      </c>
      <c r="D19" s="16" t="n">
        <v>14354</v>
      </c>
      <c r="E19" s="16" t="n">
        <v>11725</v>
      </c>
      <c r="F19" s="16" t="n">
        <v>13820</v>
      </c>
    </row>
    <row r="20">
      <c r="A20" s="15" t="inlineStr">
        <is>
          <t>Tilgodehavender fra salg og tjenesteydelser</t>
        </is>
      </c>
      <c r="B20" s="16" t="n">
        <v>129</v>
      </c>
      <c r="C20" s="16" t="n">
        <v>8131</v>
      </c>
      <c r="D20" s="16" t="n">
        <v>12603</v>
      </c>
      <c r="E20" s="16" t="n">
        <v>7199</v>
      </c>
      <c r="F20" s="16" t="n">
        <v>7305</v>
      </c>
    </row>
    <row r="21">
      <c r="A21" s="15" t="inlineStr">
        <is>
          <t>Tilgodehavender hos tilknyttede virksomheder</t>
        </is>
      </c>
      <c r="B21" s="16" t="n">
        <v>269</v>
      </c>
      <c r="C21" s="16" t="n">
        <v>253</v>
      </c>
      <c r="D21" s="16" t="n">
        <v>1839</v>
      </c>
      <c r="E21" s="16" t="n">
        <v>2259</v>
      </c>
      <c r="F21" s="16" t="n">
        <v>2074</v>
      </c>
    </row>
    <row r="22">
      <c r="A22" s="15" t="inlineStr">
        <is>
          <t>Andre tilgodehavender</t>
        </is>
      </c>
      <c r="B22" s="16" t="n">
        <v>236</v>
      </c>
      <c r="C22" s="16" t="n">
        <v>827</v>
      </c>
      <c r="D22" s="16" t="n">
        <v>531</v>
      </c>
      <c r="E22" s="16" t="n">
        <v>372</v>
      </c>
      <c r="F22" s="16" t="n">
        <v>52</v>
      </c>
    </row>
    <row r="23">
      <c r="A23" s="15" t="inlineStr">
        <is>
          <t>Periodeafgrænsningsposter (aktiver)</t>
        </is>
      </c>
      <c r="B23" s="16" t="n"/>
      <c r="C23" s="16" t="n">
        <v>75</v>
      </c>
      <c r="D23" s="16" t="n">
        <v>567</v>
      </c>
      <c r="E23" s="16" t="n">
        <v>459</v>
      </c>
      <c r="F23" s="16" t="n">
        <v>685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  <c r="F24" s="16" t="n">
        <v>24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634</v>
      </c>
      <c r="C27" s="16" t="n">
        <v>9287</v>
      </c>
      <c r="D27" s="16" t="n">
        <v>15540</v>
      </c>
      <c r="E27" s="16" t="n">
        <v>10288</v>
      </c>
      <c r="F27" s="16" t="n">
        <v>10141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1098</v>
      </c>
      <c r="C29" s="16" t="n">
        <v>3942</v>
      </c>
      <c r="D29" s="16" t="n">
        <v>3284</v>
      </c>
      <c r="E29" s="16" t="n">
        <v>4115</v>
      </c>
      <c r="F29" s="16" t="n">
        <v>1359</v>
      </c>
    </row>
    <row r="30">
      <c r="A30" s="17" t="inlineStr">
        <is>
          <t>Omsætningsaktiver</t>
        </is>
      </c>
      <c r="B30" s="16" t="n">
        <v>8780</v>
      </c>
      <c r="C30" s="16" t="n">
        <v>29676</v>
      </c>
      <c r="D30" s="16" t="n">
        <v>33178</v>
      </c>
      <c r="E30" s="16" t="n">
        <v>26128</v>
      </c>
      <c r="F30" s="16" t="n">
        <v>25320</v>
      </c>
    </row>
    <row r="31">
      <c r="A31" s="17" t="inlineStr">
        <is>
          <t>Aktiver</t>
        </is>
      </c>
      <c r="B31" s="16" t="n">
        <v>12138</v>
      </c>
      <c r="C31" s="16" t="n">
        <v>33914</v>
      </c>
      <c r="D31" s="16" t="n">
        <v>37809</v>
      </c>
      <c r="E31" s="16" t="n">
        <v>29709</v>
      </c>
      <c r="F31" s="16" t="n">
        <v>27630</v>
      </c>
    </row>
    <row r="32">
      <c r="A32" s="15" t="inlineStr">
        <is>
          <t>Selskabskapital</t>
        </is>
      </c>
      <c r="B32" s="16" t="n">
        <v>40</v>
      </c>
      <c r="C32" s="16" t="n">
        <v>40</v>
      </c>
      <c r="D32" s="16" t="n">
        <v>40</v>
      </c>
      <c r="E32" s="16" t="n">
        <v>400</v>
      </c>
      <c r="F32" s="16" t="n">
        <v>400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>
        <v>2172</v>
      </c>
      <c r="C34" s="16" t="n">
        <v>2414</v>
      </c>
      <c r="D34" s="16" t="n">
        <v>1511</v>
      </c>
      <c r="E34" s="16" t="n">
        <v>473</v>
      </c>
      <c r="F34" s="16" t="n">
        <v>84</v>
      </c>
    </row>
    <row r="35">
      <c r="A35" s="15" t="inlineStr">
        <is>
          <t>Reserve for sikringstransaktioner</t>
        </is>
      </c>
      <c r="B35" s="16" t="n"/>
      <c r="C35" s="16" t="n"/>
      <c r="D35" s="16" t="n">
        <v>-52</v>
      </c>
      <c r="E35" s="16" t="n">
        <v>-44</v>
      </c>
      <c r="F35" s="16" t="n">
        <v>0</v>
      </c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436</v>
      </c>
      <c r="C37" s="16" t="n">
        <v>1491</v>
      </c>
      <c r="D37" s="16" t="n">
        <v>6158</v>
      </c>
      <c r="E37" s="16" t="n">
        <v>7508</v>
      </c>
      <c r="F37" s="16" t="n">
        <v>6537</v>
      </c>
    </row>
    <row r="38">
      <c r="A38" s="17" t="inlineStr">
        <is>
          <t>Egenkapital i alt</t>
        </is>
      </c>
      <c r="B38" s="16" t="n">
        <v>2648</v>
      </c>
      <c r="C38" s="16" t="n">
        <v>3945</v>
      </c>
      <c r="D38" s="16" t="n">
        <v>8257</v>
      </c>
      <c r="E38" s="16" t="n">
        <v>9337</v>
      </c>
      <c r="F38" s="16" t="n">
        <v>11020</v>
      </c>
    </row>
    <row r="39">
      <c r="A39" s="15" t="inlineStr">
        <is>
          <t>Hensættelse til udskudt skat</t>
        </is>
      </c>
      <c r="B39" s="16" t="n">
        <v>635</v>
      </c>
      <c r="C39" s="16" t="n">
        <v>710</v>
      </c>
      <c r="D39" s="16" t="n">
        <v>303</v>
      </c>
      <c r="E39" s="16" t="n">
        <v>12</v>
      </c>
      <c r="F39" s="16" t="n">
        <v>0</v>
      </c>
    </row>
    <row r="40">
      <c r="A40" s="17" t="inlineStr">
        <is>
          <t>Hensatte forpligtelser</t>
        </is>
      </c>
      <c r="B40" s="16" t="n">
        <v>635</v>
      </c>
      <c r="C40" s="16" t="n">
        <v>710</v>
      </c>
      <c r="D40" s="16" t="n">
        <v>303</v>
      </c>
      <c r="E40" s="16" t="n">
        <v>12</v>
      </c>
      <c r="F40" s="16" t="n">
        <v>0</v>
      </c>
    </row>
    <row r="41">
      <c r="A41" s="15" t="inlineStr">
        <is>
          <t>Ansvarlig lånekapital (kortfristet)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Kortfristet del af langfristede gældsforpligtelser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Kreditinstitutter</t>
        </is>
      </c>
      <c r="B43" s="16" t="n">
        <v>0</v>
      </c>
      <c r="C43" s="16" t="n">
        <v>5658</v>
      </c>
      <c r="D43" s="16" t="n">
        <v>10807</v>
      </c>
      <c r="E43" s="16" t="n">
        <v>5978</v>
      </c>
      <c r="F43" s="16" t="n">
        <v>4769</v>
      </c>
    </row>
    <row r="44">
      <c r="A44" s="15" t="inlineStr">
        <is>
          <t>Leasingforpligtelser (kortfristet)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Leverandører af varer og tjenesteydelser</t>
        </is>
      </c>
      <c r="B45" s="16" t="n">
        <v>1912</v>
      </c>
      <c r="C45" s="16" t="n">
        <v>10116</v>
      </c>
      <c r="D45" s="16" t="n">
        <v>4600</v>
      </c>
      <c r="E45" s="16" t="n">
        <v>5242</v>
      </c>
      <c r="F45" s="16" t="n">
        <v>5253</v>
      </c>
    </row>
    <row r="46">
      <c r="A46" s="15" t="inlineStr">
        <is>
          <t>Gæld til tilknyttede virksomheder</t>
        </is>
      </c>
      <c r="B46" s="16" t="n">
        <v>350</v>
      </c>
      <c r="C46" s="16" t="n">
        <v>343</v>
      </c>
      <c r="D46" s="16" t="n">
        <v>264</v>
      </c>
      <c r="E46" s="16" t="n">
        <v>0</v>
      </c>
      <c r="F46" s="16" t="n"/>
    </row>
    <row r="47">
      <c r="A47" s="15" t="inlineStr">
        <is>
          <t>Gæld til selskabsdeltagere og ledelse</t>
        </is>
      </c>
      <c r="B47" s="16" t="n">
        <v>2</v>
      </c>
      <c r="C47" s="16" t="n"/>
      <c r="D47" s="16" t="n"/>
      <c r="E47" s="16" t="n"/>
      <c r="F47" s="16" t="n"/>
    </row>
    <row r="48">
      <c r="A48" s="15" t="inlineStr">
        <is>
          <t>Selskabsskat</t>
        </is>
      </c>
      <c r="B48" s="16" t="n"/>
      <c r="C48" s="16" t="n">
        <v>363</v>
      </c>
      <c r="D48" s="16" t="n">
        <v>1678</v>
      </c>
      <c r="E48" s="16" t="n"/>
      <c r="F48" s="16" t="n"/>
    </row>
    <row r="49">
      <c r="A49" s="15" t="inlineStr">
        <is>
          <t>Gæld til tilknyttede virksomheder vedr. selskabsskat</t>
        </is>
      </c>
      <c r="B49" s="16" t="n">
        <v>27</v>
      </c>
      <c r="C49" s="16" t="n"/>
      <c r="D49" s="16" t="n"/>
      <c r="E49" s="16" t="n">
        <v>770</v>
      </c>
      <c r="F49" s="16" t="n">
        <v>781</v>
      </c>
    </row>
    <row r="50">
      <c r="A50" s="15" t="inlineStr">
        <is>
          <t>Anden gæld (kortfristet)</t>
        </is>
      </c>
      <c r="B50" s="16" t="n">
        <v>6564</v>
      </c>
      <c r="C50" s="16" t="n">
        <v>12780</v>
      </c>
      <c r="D50" s="16" t="n">
        <v>11899</v>
      </c>
      <c r="E50" s="16" t="n">
        <v>8370</v>
      </c>
      <c r="F50" s="16" t="n">
        <v>5806</v>
      </c>
    </row>
    <row r="51">
      <c r="A51" s="15" t="inlineStr">
        <is>
          <t>Periodeafgrænsningsposter (passiver)</t>
        </is>
      </c>
      <c r="B51" s="16" t="n"/>
      <c r="C51" s="16" t="n"/>
      <c r="D51" s="16" t="n"/>
      <c r="E51" s="16" t="n"/>
      <c r="F51" s="16" t="n"/>
    </row>
    <row r="52">
      <c r="A52" s="17" t="inlineStr">
        <is>
          <t>Kortfristede gældsforpligtelser</t>
        </is>
      </c>
      <c r="B52" s="16" t="n">
        <v>8856</v>
      </c>
      <c r="C52" s="16" t="n">
        <v>29259</v>
      </c>
      <c r="D52" s="16" t="n">
        <v>29249</v>
      </c>
      <c r="E52" s="16" t="n">
        <v>20360</v>
      </c>
      <c r="F52" s="16" t="n">
        <v>16609</v>
      </c>
    </row>
    <row r="53">
      <c r="A53" s="17" t="inlineStr">
        <is>
          <t>Gældsforpligtelser</t>
        </is>
      </c>
      <c r="B53" s="16" t="n">
        <v>8856</v>
      </c>
      <c r="C53" s="16" t="n">
        <v>29259</v>
      </c>
      <c r="D53" s="16" t="n">
        <v>29249</v>
      </c>
      <c r="E53" s="16" t="n">
        <v>20360</v>
      </c>
      <c r="F53" s="16" t="n">
        <v>16609</v>
      </c>
    </row>
    <row r="54">
      <c r="A54" s="17" t="inlineStr">
        <is>
          <t>Passiver</t>
        </is>
      </c>
      <c r="B54" s="16" t="n">
        <v>12138</v>
      </c>
      <c r="C54" s="16" t="n">
        <v>33914</v>
      </c>
      <c r="D54" s="16" t="n">
        <v>37809</v>
      </c>
      <c r="E54" s="16" t="n">
        <v>29709</v>
      </c>
      <c r="F54" s="16" t="n">
        <v>27630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Nailster A/S (CVR 38788493) — Regnskabs- og nøgletal (CVR: 38788493)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'res_raw_38788493'!$F$2</f>
        <v/>
      </c>
      <c r="C5" s="24">
        <f>'res_raw_38788493'!$E$2</f>
        <v/>
      </c>
      <c r="D5" s="24">
        <f>'res_raw_38788493'!$D$2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'res_raw_38788493'!$F$3</f>
        <v/>
      </c>
      <c r="C6" s="24">
        <f>'res_raw_38788493'!$E$3</f>
        <v/>
      </c>
      <c r="D6" s="24">
        <f>'res_raw_38788493'!$D$3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-'res_raw_38788493'!$F$4</f>
        <v/>
      </c>
      <c r="C7" s="24">
        <f>-'res_raw_38788493'!$E$4</f>
        <v/>
      </c>
      <c r="D7" s="24">
        <f>-'res_raw_38788493'!$D$4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-'res_raw_38788493'!$F$5</f>
        <v/>
      </c>
      <c r="C8" s="24">
        <f>-'res_raw_38788493'!$E$5</f>
        <v/>
      </c>
      <c r="D8" s="24">
        <f>-'res_raw_38788493'!$D$5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IF(ABS((SUM(B5:B8))-'res_raw_38788493'!$F$6)&lt;=2,SUM(B5:B8),'res_raw_38788493'!$F$6)</f>
        <v/>
      </c>
      <c r="C9" s="27">
        <f>IF(ABS((SUM(C5:C8))-'res_raw_38788493'!$E$6)&lt;=2,SUM(C5:C8),'res_raw_38788493'!$E$6)</f>
        <v/>
      </c>
      <c r="D9" s="27">
        <f>IF(ABS((SUM(D5:D8))-'res_raw_38788493'!$D$6)&lt;=2,SUM(D5:D8),'res_raw_38788493'!$D$6)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-'res_raw_38788493'!$F$7</f>
        <v/>
      </c>
      <c r="C10" s="24">
        <f>-'res_raw_38788493'!$E$7</f>
        <v/>
      </c>
      <c r="D10" s="24">
        <f>-'res_raw_38788493'!$D$7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-'res_raw_38788493'!$F$9</f>
        <v/>
      </c>
      <c r="C11" s="24">
        <f>-'res_raw_38788493'!$E$9</f>
        <v/>
      </c>
      <c r="D11" s="24">
        <f>-'res_raw_38788493'!$D$9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-'res_raw_38788493'!$F$10</f>
        <v/>
      </c>
      <c r="C12" s="24">
        <f>-'res_raw_38788493'!$E$10</f>
        <v/>
      </c>
      <c r="D12" s="24">
        <f>-'res_raw_38788493'!$D$10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IF(ABS((SUM(B9:B12))-'res_raw_38788493'!$F$11)&lt;=2,SUM(B9:B12),'res_raw_38788493'!$F$11)</f>
        <v/>
      </c>
      <c r="C13" s="27">
        <f>IF(ABS((SUM(C9:C12))-'res_raw_38788493'!$E$11)&lt;=2,SUM(C9:C12),'res_raw_38788493'!$E$11)</f>
        <v/>
      </c>
      <c r="D13" s="27">
        <f>IF(ABS((SUM(D9:D12))-'res_raw_38788493'!$D$11)&lt;=2,SUM(D9:D12),'res_raw_38788493'!$D$11)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N('res_raw_38788493'!$F$12)+N('res_raw_38788493'!$F$13)</f>
        <v/>
      </c>
      <c r="C14" s="24">
        <f>N('res_raw_38788493'!$E$12)+N('res_raw_38788493'!$E$13)</f>
        <v/>
      </c>
      <c r="D14" s="24">
        <f>N('res_raw_38788493'!$D$12)+N('res_raw_38788493'!$D$13)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-'res_raw_38788493'!$F$14</f>
        <v/>
      </c>
      <c r="C15" s="24">
        <f>-'res_raw_38788493'!$E$14</f>
        <v/>
      </c>
      <c r="D15" s="24">
        <f>-'res_raw_38788493'!$D$14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IF(ABS((SUM(B13:B15))-'res_raw_38788493'!$F$16)&lt;=2,SUM(B13:B15),'res_raw_38788493'!$F$16)</f>
        <v/>
      </c>
      <c r="C16" s="27">
        <f>IF(ABS((SUM(C13:C15))-'res_raw_38788493'!$E$16)&lt;=2,SUM(C13:C15),'res_raw_38788493'!$E$16)</f>
        <v/>
      </c>
      <c r="D16" s="27">
        <f>IF(ABS((SUM(D13:D15))-'res_raw_38788493'!$D$16)&lt;=2,SUM(D13:D15),'res_raw_38788493'!$D$16)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'balance_raw_38788493'!$F$15</f>
        <v/>
      </c>
      <c r="C19" s="24">
        <f>'balance_raw_38788493'!$E$15</f>
        <v/>
      </c>
      <c r="D19" s="24">
        <f>'balance_raw_38788493'!$D$15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'balance_raw_38788493'!$F$30</f>
        <v/>
      </c>
      <c r="C20" s="24">
        <f>'balance_raw_38788493'!$E$30</f>
        <v/>
      </c>
      <c r="D20" s="24">
        <f>'balance_raw_38788493'!$D$30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'balance_raw_38788493'!$F$38</f>
        <v/>
      </c>
      <c r="C23" s="24">
        <f>'balance_raw_38788493'!$E$38</f>
        <v/>
      </c>
      <c r="D23" s="24">
        <f>'balance_raw_38788493'!$D$38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'balance_raw_38788493'!$F$54-'balance_raw_38788493'!$F$38</f>
        <v/>
      </c>
      <c r="C24" s="24">
        <f>'balance_raw_38788493'!$E$54-'balance_raw_38788493'!$E$38</f>
        <v/>
      </c>
      <c r="D24" s="24">
        <f>'balance_raw_38788493'!$D$54-'balance_raw_38788493'!$D$38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'balance_raw_38788493'!$F$19</f>
        <v/>
      </c>
      <c r="C28" s="24">
        <f>'balance_raw_38788493'!$E$19</f>
        <v/>
      </c>
      <c r="D28" s="24">
        <f>'balance_raw_38788493'!$D$19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'balance_raw_38788493'!$F$20</f>
        <v/>
      </c>
      <c r="C29" s="24">
        <f>'balance_raw_38788493'!$E$20</f>
        <v/>
      </c>
      <c r="D29" s="24">
        <f>'balance_raw_38788493'!$D$20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'balance_raw_38788493'!$F$52</f>
        <v/>
      </c>
      <c r="C30" s="24">
        <f>'balance_raw_38788493'!$E$52</f>
        <v/>
      </c>
      <c r="D30" s="24">
        <f>'balance_raw_38788493'!$D$52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IF('balance_raw_38788493'!$F$31="","—",IF(ABS(B21-'balance_raw_38788493'!$F$31)&lt;=1,"✓ OK","❌ "&amp;TEXT(B21-'balance_raw_38788493'!$F$31,"+#,##0;-#,##0")&amp;" t.kr."))</f>
        <v/>
      </c>
      <c r="C61" s="29">
        <f>IF('balance_raw_38788493'!$E$31="","—",IF(ABS(C21-'balance_raw_38788493'!$E$31)&lt;=1,"✓ OK","❌ "&amp;TEXT(C21-'balance_raw_38788493'!$E$31,"+#,##0;-#,##0")&amp;" t.kr."))</f>
        <v/>
      </c>
      <c r="D61" s="29">
        <f>IF('balance_raw_38788493'!$D$31="","—",IF(ABS(D21-'balance_raw_38788493'!$D$31)&lt;=1,"✓ OK","❌ "&amp;TEXT(D21-'balance_raw_38788493'!$D$31,"+#,##0;-#,##0")&amp;"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IF('balance_raw_38788493'!$F$54="","—",IF(ABS(B25-'balance_raw_38788493'!$F$54)&lt;=1,"✓ OK","❌ "&amp;TEXT(B25-'balance_raw_38788493'!$F$54,"+#,##0;-#,##0")&amp;" t.kr."))</f>
        <v/>
      </c>
      <c r="C62" s="29">
        <f>IF('balance_raw_38788493'!$E$54="","—",IF(ABS(C25-'balance_raw_38788493'!$E$54)&lt;=1,"✓ OK","❌ "&amp;TEXT(C25-'balance_raw_38788493'!$E$54,"+#,##0;-#,##0")&amp;" t.kr."))</f>
        <v/>
      </c>
      <c r="D62" s="29">
        <f>IF('balance_raw_38788493'!$D$54="","—",IF(ABS(D25-'balance_raw_38788493'!$D$54)&lt;=1,"✓ OK","❌ "&amp;TEXT(D25-'balance_raw_38788493'!$D$54,"+#,##0;-#,##0")&amp;"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IF('res_raw_38788493'!$F$6="","—",IF(ABS(B9-'res_raw_38788493'!$F$6)&lt;=1,"✓ OK","❌ "&amp;TEXT(B9-'res_raw_38788493'!$F$6,"+#,##0;-#,##0")&amp;" t.kr."))</f>
        <v/>
      </c>
      <c r="C64" s="29">
        <f>IF('res_raw_38788493'!$E$6="","—",IF(ABS(C9-'res_raw_38788493'!$E$6)&lt;=1,"✓ OK","❌ "&amp;TEXT(C9-'res_raw_38788493'!$E$6,"+#,##0;-#,##0")&amp;" t.kr."))</f>
        <v/>
      </c>
      <c r="D64" s="29">
        <f>IF('res_raw_38788493'!$D$6="","—",IF(ABS(D9-'res_raw_38788493'!$D$6)&lt;=1,"✓ OK","❌ "&amp;TEXT(D9-'res_raw_38788493'!$D$6,"+#,##0;-#,##0")&amp;"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IF('res_raw_38788493'!$F$11="","—",IF(ABS(B13-'res_raw_38788493'!$F$11)&lt;=1,"✓ OK","❌ "&amp;TEXT(B13-'res_raw_38788493'!$F$11,"+#,##0;-#,##0")&amp;" t.kr."))</f>
        <v/>
      </c>
      <c r="C65" s="29">
        <f>IF('res_raw_38788493'!$E$11="","—",IF(ABS(C13-'res_raw_38788493'!$E$11)&lt;=1,"✓ OK","❌ "&amp;TEXT(C13-'res_raw_38788493'!$E$11,"+#,##0;-#,##0")&amp;" t.kr."))</f>
        <v/>
      </c>
      <c r="D65" s="29">
        <f>IF('res_raw_38788493'!$D$11="","—",IF(ABS(D13-'res_raw_38788493'!$D$11)&lt;=1,"✓ OK","❌ "&amp;TEXT(D13-'res_raw_38788493'!$D$11,"+#,##0;-#,##0")&amp;"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IF('res_raw_38788493'!$F$16="","—",IF(ABS(B16-'res_raw_38788493'!$F$16)&lt;=1,"✓ OK","❌ "&amp;TEXT(B16-'res_raw_38788493'!$F$16,"+#,##0;-#,##0")&amp;" t.kr."))</f>
        <v/>
      </c>
      <c r="C66" s="29">
        <f>IF('res_raw_38788493'!$E$16="","—",IF(ABS(C16-'res_raw_38788493'!$E$16)&lt;=1,"✓ OK","❌ "&amp;TEXT(C16-'res_raw_38788493'!$E$16,"+#,##0;-#,##0")&amp;" t.kr."))</f>
        <v/>
      </c>
      <c r="D66" s="29">
        <f>IF('res_raw_38788493'!$D$16="","—",IF(ABS(D16-'res_raw_38788493'!$D$16)&lt;=1,"✓ OK","❌ "&amp;TEXT(D16-'res_raw_38788493'!$D$16,"+#,##0;-#,##0")&amp;"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Nailster A/S (CVR 38788493)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fsa:ReserveForEntrepreneurialCompany</t>
        </is>
      </c>
      <c r="C3" s="34" t="inlineStr">
        <is>
          <t>fsa:ReserveForEntrepreneurialCompany</t>
        </is>
      </c>
      <c r="D3" s="35" t="n">
        <v>0</v>
      </c>
      <c r="E3" s="35" t="n"/>
      <c r="F3" s="35" t="n"/>
      <c r="G3" s="35" t="n"/>
      <c r="H3" s="35" t="n"/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2026-10-02T21:14:05Z</dcterms:created>
  <dcterms:modified xmlns:dcterms="http://purl.org/dc/terms/" xmlns:xsi="http://www.w3.org/2001/XMLSchema-instance" xsi:type="dcterms:W3CDTF">2026-10-02T21:14:05Z</dcterms:modified>
</cp:coreProperties>
</file>