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66365328" sheetId="1" state="visible" r:id="rId1"/>
    <sheet xmlns:r="http://schemas.openxmlformats.org/officeDocument/2006/relationships" name="res_raw_66365328" sheetId="2" state="visible" r:id="rId2"/>
    <sheet xmlns:r="http://schemas.openxmlformats.org/officeDocument/2006/relationships" name="balance_raw_66365328" sheetId="3" state="visible" r:id="rId3"/>
    <sheet xmlns:r="http://schemas.openxmlformats.org/officeDocument/2006/relationships" name="pengestrom_raw_66365328" sheetId="4" state="visible" r:id="rId4"/>
    <sheet xmlns:r="http://schemas.openxmlformats.org/officeDocument/2006/relationships" name="Simpel_funktion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3" borderId="1" pivotButton="0" quotePrefix="0" xfId="0"/>
    <xf numFmtId="4" fontId="2" fillId="0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3" fillId="0" borderId="3" pivotButton="0" quotePrefix="0" xfId="0"/>
    <xf numFmtId="3" fontId="3" fillId="0" borderId="3" applyAlignment="1" pivotButton="0" quotePrefix="0" xfId="0">
      <alignment horizontal="right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LINAK A/S (CVR 66365328) — Regnskabsanalyse – Resultatopgørelse &amp; Balance (t.kr.) · Klasse C-stor · Revision · Regnskabsår 1/7–30/6 (forskudt)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'res_raw_66365328'!$B$2</f>
        <v/>
      </c>
      <c r="C4" s="5">
        <f>'res_raw_66365328'!$C$2</f>
        <v/>
      </c>
      <c r="D4" s="5">
        <f>'res_raw_66365328'!$D$2</f>
        <v/>
      </c>
      <c r="E4" s="5">
        <f>'res_raw_66365328'!$E$2</f>
        <v/>
      </c>
      <c r="F4" s="5">
        <f>'res_raw_66365328'!$F$2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'res_raw_66365328'!$B$3</f>
        <v/>
      </c>
      <c r="C5" s="8">
        <f>'res_raw_66365328'!$C$3</f>
        <v/>
      </c>
      <c r="D5" s="8">
        <f>'res_raw_66365328'!$D$3</f>
        <v/>
      </c>
      <c r="E5" s="8">
        <f>'res_raw_66365328'!$E$3</f>
        <v/>
      </c>
      <c r="F5" s="8">
        <f>'res_raw_66365328'!$F$3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'res_raw_66365328'!$B$4</f>
        <v/>
      </c>
      <c r="C6" s="8">
        <f>'res_raw_66365328'!$C$4</f>
        <v/>
      </c>
      <c r="D6" s="8">
        <f>'res_raw_66365328'!$D$4</f>
        <v/>
      </c>
      <c r="E6" s="8">
        <f>'res_raw_66365328'!$E$4</f>
        <v/>
      </c>
      <c r="F6" s="8">
        <f>'res_raw_66365328'!$F$4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10" t="inlineStr">
        <is>
          <t>Udviklingsomkostninger</t>
        </is>
      </c>
      <c r="B7" s="11">
        <f>'res_raw_66365328'!$B$5</f>
        <v/>
      </c>
      <c r="C7" s="11">
        <f>'res_raw_66365328'!$C$5</f>
        <v/>
      </c>
      <c r="D7" s="11">
        <f>'res_raw_66365328'!$D$5</f>
        <v/>
      </c>
      <c r="E7" s="11">
        <f>'res_raw_66365328'!$E$5</f>
        <v/>
      </c>
      <c r="F7" s="11">
        <f>'res_raw_66365328'!$F$5</f>
        <v/>
      </c>
      <c r="G7" t="inlineStr"/>
      <c r="H7" s="12">
        <f>IFERROR(B7/$B$7*100,"")</f>
        <v/>
      </c>
      <c r="I7" s="12">
        <f>IFERROR(C7/$B$7*100,"")</f>
        <v/>
      </c>
      <c r="J7" s="12">
        <f>IFERROR(D7/$B$7*100,"")</f>
        <v/>
      </c>
      <c r="K7" s="12">
        <f>IFERROR(E7/$B$7*100,"")</f>
        <v/>
      </c>
      <c r="L7" s="12">
        <f>IFERROR(F7/$B$7*100,"")</f>
        <v/>
      </c>
    </row>
    <row r="8" ht="16" customHeight="1">
      <c r="A8" s="7" t="inlineStr">
        <is>
          <t>Salgs- og distributionsomkostninger</t>
        </is>
      </c>
      <c r="B8" s="8">
        <f>'res_raw_66365328'!$B$6</f>
        <v/>
      </c>
      <c r="C8" s="8">
        <f>'res_raw_66365328'!$C$6</f>
        <v/>
      </c>
      <c r="D8" s="8">
        <f>'res_raw_66365328'!$D$6</f>
        <v/>
      </c>
      <c r="E8" s="8">
        <f>'res_raw_66365328'!$E$6</f>
        <v/>
      </c>
      <c r="F8" s="8">
        <f>'res_raw_66365328'!$F$6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7" t="inlineStr">
        <is>
          <t>Administrationsomkostninger</t>
        </is>
      </c>
      <c r="B9" s="8">
        <f>'res_raw_66365328'!$B$7</f>
        <v/>
      </c>
      <c r="C9" s="8">
        <f>'res_raw_66365328'!$C$7</f>
        <v/>
      </c>
      <c r="D9" s="8">
        <f>'res_raw_66365328'!$D$7</f>
        <v/>
      </c>
      <c r="E9" s="8">
        <f>'res_raw_66365328'!$E$7</f>
        <v/>
      </c>
      <c r="F9" s="8">
        <f>'res_raw_66365328'!$F$7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4" t="inlineStr">
        <is>
          <t>Andre driftsindtægter</t>
        </is>
      </c>
      <c r="B10" s="5">
        <f>'res_raw_66365328'!$B$8</f>
        <v/>
      </c>
      <c r="C10" s="5">
        <f>'res_raw_66365328'!$C$8</f>
        <v/>
      </c>
      <c r="D10" s="5">
        <f>'res_raw_66365328'!$D$8</f>
        <v/>
      </c>
      <c r="E10" s="5">
        <f>'res_raw_66365328'!$E$8</f>
        <v/>
      </c>
      <c r="F10" s="5">
        <f>'res_raw_66365328'!$F$8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10" t="inlineStr">
        <is>
          <t>Andre driftsomkostninger</t>
        </is>
      </c>
      <c r="B11" s="11">
        <f>'res_raw_66365328'!$B$9</f>
        <v/>
      </c>
      <c r="C11" s="11">
        <f>'res_raw_66365328'!$C$9</f>
        <v/>
      </c>
      <c r="D11" s="11">
        <f>'res_raw_66365328'!$D$9</f>
        <v/>
      </c>
      <c r="E11" s="11">
        <f>'res_raw_66365328'!$E$9</f>
        <v/>
      </c>
      <c r="F11" s="11">
        <f>'res_raw_66365328'!$F$9</f>
        <v/>
      </c>
      <c r="G11" t="inlineStr"/>
      <c r="H11" s="12">
        <f>IFERROR(B11/$B$11*100,"")</f>
        <v/>
      </c>
      <c r="I11" s="12">
        <f>IFERROR(C11/$B$11*100,"")</f>
        <v/>
      </c>
      <c r="J11" s="12">
        <f>IFERROR(D11/$B$11*100,"")</f>
        <v/>
      </c>
      <c r="K11" s="12">
        <f>IFERROR(E11/$B$11*100,"")</f>
        <v/>
      </c>
      <c r="L11" s="12">
        <f>IFERROR(F11/$B$11*100,"")</f>
        <v/>
      </c>
    </row>
    <row r="12" ht="16" customHeight="1">
      <c r="A12" s="7" t="inlineStr">
        <is>
          <t>Resultat af primær drift</t>
        </is>
      </c>
      <c r="B12" s="8">
        <f>'res_raw_66365328'!$B$10</f>
        <v/>
      </c>
      <c r="C12" s="8">
        <f>'res_raw_66365328'!$C$10</f>
        <v/>
      </c>
      <c r="D12" s="8">
        <f>'res_raw_66365328'!$D$10</f>
        <v/>
      </c>
      <c r="E12" s="8">
        <f>'res_raw_66365328'!$E$10</f>
        <v/>
      </c>
      <c r="F12" s="8">
        <f>'res_raw_66365328'!$F$10</f>
        <v/>
      </c>
      <c r="G12" t="inlineStr"/>
      <c r="H12" s="9">
        <f>IFERROR(B12/$B$12*100,"")</f>
        <v/>
      </c>
      <c r="I12" s="9">
        <f>IFERROR(C12/$B$12*100,"")</f>
        <v/>
      </c>
      <c r="J12" s="9">
        <f>IFERROR(D12/$B$12*100,"")</f>
        <v/>
      </c>
      <c r="K12" s="9">
        <f>IFERROR(E12/$B$12*100,"")</f>
        <v/>
      </c>
      <c r="L12" s="9">
        <f>IFERROR(F12/$B$12*100,"")</f>
        <v/>
      </c>
    </row>
    <row r="13" ht="16" customHeight="1">
      <c r="A13" s="10" t="inlineStr">
        <is>
          <t>Indtægter af kapitalandele, dattervirksomheder</t>
        </is>
      </c>
      <c r="B13" s="11">
        <f>'res_raw_66365328'!$B$11</f>
        <v/>
      </c>
      <c r="C13" s="11">
        <f>'res_raw_66365328'!$C$11</f>
        <v/>
      </c>
      <c r="D13" s="11">
        <f>'res_raw_66365328'!$D$11</f>
        <v/>
      </c>
      <c r="E13" s="11">
        <f>'res_raw_66365328'!$E$11</f>
        <v/>
      </c>
      <c r="F13" s="11">
        <f>'res_raw_66365328'!$F$11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indtægter</t>
        </is>
      </c>
      <c r="B14" s="5">
        <f>'res_raw_66365328'!$B$12</f>
        <v/>
      </c>
      <c r="C14" s="5">
        <f>'res_raw_66365328'!$C$12</f>
        <v/>
      </c>
      <c r="D14" s="5">
        <f>'res_raw_66365328'!$D$12</f>
        <v/>
      </c>
      <c r="E14" s="5">
        <f>'res_raw_66365328'!$E$12</f>
        <v/>
      </c>
      <c r="F14" s="5">
        <f>'res_raw_66365328'!$F$12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10" t="inlineStr">
        <is>
          <t>Finansielle omkostninger</t>
        </is>
      </c>
      <c r="B15" s="11">
        <f>'res_raw_66365328'!$B$13</f>
        <v/>
      </c>
      <c r="C15" s="11">
        <f>'res_raw_66365328'!$C$13</f>
        <v/>
      </c>
      <c r="D15" s="11">
        <f>'res_raw_66365328'!$D$13</f>
        <v/>
      </c>
      <c r="E15" s="11">
        <f>'res_raw_66365328'!$E$13</f>
        <v/>
      </c>
      <c r="F15" s="11">
        <f>'res_raw_66365328'!$F$13</f>
        <v/>
      </c>
      <c r="G15" t="inlineStr"/>
      <c r="H15" s="12">
        <f>IFERROR(B15/$B$15*100,"")</f>
        <v/>
      </c>
      <c r="I15" s="12">
        <f>IFERROR(C15/$B$15*100,"")</f>
        <v/>
      </c>
      <c r="J15" s="12">
        <f>IFERROR(D15/$B$15*100,"")</f>
        <v/>
      </c>
      <c r="K15" s="12">
        <f>IFERROR(E15/$B$15*100,"")</f>
        <v/>
      </c>
      <c r="L15" s="12">
        <f>IFERROR(F15/$B$15*100,"")</f>
        <v/>
      </c>
    </row>
    <row r="16" ht="16" customHeight="1">
      <c r="A16" s="7" t="inlineStr">
        <is>
          <t>Finansielle poster, netto</t>
        </is>
      </c>
      <c r="B16" s="8">
        <f>'res_raw_66365328'!$B$14</f>
        <v/>
      </c>
      <c r="C16" s="8">
        <f>'res_raw_66365328'!$C$14</f>
        <v/>
      </c>
      <c r="D16" s="8">
        <f>'res_raw_66365328'!$D$14</f>
        <v/>
      </c>
      <c r="E16" s="8">
        <f>'res_raw_66365328'!$E$14</f>
        <v/>
      </c>
      <c r="F16" s="8">
        <f>'res_raw_66365328'!$F$14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7" t="inlineStr">
        <is>
          <t>Resultat før skat</t>
        </is>
      </c>
      <c r="B17" s="8">
        <f>'res_raw_66365328'!$B$15</f>
        <v/>
      </c>
      <c r="C17" s="8">
        <f>'res_raw_66365328'!$C$15</f>
        <v/>
      </c>
      <c r="D17" s="8">
        <f>'res_raw_66365328'!$D$15</f>
        <v/>
      </c>
      <c r="E17" s="8">
        <f>'res_raw_66365328'!$E$15</f>
        <v/>
      </c>
      <c r="F17" s="8">
        <f>'res_raw_66365328'!$F$15</f>
        <v/>
      </c>
      <c r="G17" t="inlineStr"/>
      <c r="H17" s="9">
        <f>IFERROR(B17/$B$17*100,"")</f>
        <v/>
      </c>
      <c r="I17" s="9">
        <f>IFERROR(C17/$B$17*100,"")</f>
        <v/>
      </c>
      <c r="J17" s="9">
        <f>IFERROR(D17/$B$17*100,"")</f>
        <v/>
      </c>
      <c r="K17" s="9">
        <f>IFERROR(E17/$B$17*100,"")</f>
        <v/>
      </c>
      <c r="L17" s="9">
        <f>IFERROR(F17/$B$17*100,"")</f>
        <v/>
      </c>
    </row>
    <row r="18" ht="16" customHeight="1">
      <c r="A18" s="4" t="inlineStr">
        <is>
          <t>Skat af årets resultat</t>
        </is>
      </c>
      <c r="B18" s="5">
        <f>'res_raw_66365328'!$B$16</f>
        <v/>
      </c>
      <c r="C18" s="5">
        <f>'res_raw_66365328'!$C$16</f>
        <v/>
      </c>
      <c r="D18" s="5">
        <f>'res_raw_66365328'!$D$16</f>
        <v/>
      </c>
      <c r="E18" s="5">
        <f>'res_raw_66365328'!$E$16</f>
        <v/>
      </c>
      <c r="F18" s="5">
        <f>'res_raw_66365328'!$F$16</f>
        <v/>
      </c>
      <c r="G18" t="inlineStr"/>
      <c r="H18" s="6">
        <f>IFERROR(B18/$B$18*100,"")</f>
        <v/>
      </c>
      <c r="I18" s="6">
        <f>IFERROR(C18/$B$18*100,"")</f>
        <v/>
      </c>
      <c r="J18" s="6">
        <f>IFERROR(D18/$B$18*100,"")</f>
        <v/>
      </c>
      <c r="K18" s="6">
        <f>IFERROR(E18/$B$18*100,"")</f>
        <v/>
      </c>
      <c r="L18" s="6">
        <f>IFERROR(F18/$B$18*100,"")</f>
        <v/>
      </c>
    </row>
    <row r="19" ht="16" customHeight="1">
      <c r="A19" s="7" t="inlineStr">
        <is>
          <t>Årets resultat</t>
        </is>
      </c>
      <c r="B19" s="8">
        <f>'res_raw_66365328'!$B$17</f>
        <v/>
      </c>
      <c r="C19" s="8">
        <f>'res_raw_66365328'!$C$17</f>
        <v/>
      </c>
      <c r="D19" s="8">
        <f>'res_raw_66365328'!$D$17</f>
        <v/>
      </c>
      <c r="E19" s="8">
        <f>'res_raw_66365328'!$E$17</f>
        <v/>
      </c>
      <c r="F19" s="8">
        <f>'res_raw_66365328'!$F$17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1" ht="22" customHeight="1">
      <c r="A21" s="3" t="inlineStr">
        <is>
          <t>AKTIVER t.kr.</t>
        </is>
      </c>
      <c r="B21" s="3" t="n">
        <v>2021</v>
      </c>
      <c r="C21" s="3" t="n">
        <v>2022</v>
      </c>
      <c r="D21" s="3" t="n">
        <v>2023</v>
      </c>
      <c r="E21" s="3" t="n">
        <v>2024</v>
      </c>
      <c r="F21" s="3" t="n">
        <v>2025</v>
      </c>
      <c r="G21" t="inlineStr"/>
      <c r="H21" s="3" t="n">
        <v>2021</v>
      </c>
      <c r="I21" s="3" t="n">
        <v>2022</v>
      </c>
      <c r="J21" s="3" t="n">
        <v>2023</v>
      </c>
      <c r="K21" s="3" t="n">
        <v>2024</v>
      </c>
      <c r="L21" s="3" t="n">
        <v>2025</v>
      </c>
    </row>
    <row r="22" ht="16" customHeight="1">
      <c r="A22" s="4" t="inlineStr">
        <is>
          <t>Udviklingsprojekter</t>
        </is>
      </c>
      <c r="B22" s="5">
        <f>'balance_raw_66365328'!$B$2</f>
        <v/>
      </c>
      <c r="C22" s="5">
        <f>'balance_raw_66365328'!$C$2</f>
        <v/>
      </c>
      <c r="D22" s="5">
        <f>'balance_raw_66365328'!$D$2</f>
        <v/>
      </c>
      <c r="E22" s="5">
        <f>'balance_raw_66365328'!$E$2</f>
        <v/>
      </c>
      <c r="F22" s="5">
        <f>'balance_raw_66365328'!$F$2</f>
        <v/>
      </c>
      <c r="G22" t="inlineStr"/>
      <c r="H22" s="6">
        <f>IFERROR(B22/$B$22*100,"")</f>
        <v/>
      </c>
      <c r="I22" s="6">
        <f>IFERROR(C22/$B$22*100,"")</f>
        <v/>
      </c>
      <c r="J22" s="6">
        <f>IFERROR(D22/$B$22*100,"")</f>
        <v/>
      </c>
      <c r="K22" s="6">
        <f>IFERROR(E22/$B$22*100,"")</f>
        <v/>
      </c>
      <c r="L22" s="6">
        <f>IFERROR(F22/$B$22*100,"")</f>
        <v/>
      </c>
    </row>
    <row r="23" ht="16" customHeight="1">
      <c r="A23" s="10" t="inlineStr">
        <is>
          <t>Patenter, varemærker mv.</t>
        </is>
      </c>
      <c r="B23" s="11">
        <f>'balance_raw_66365328'!$B$3</f>
        <v/>
      </c>
      <c r="C23" s="11">
        <f>'balance_raw_66365328'!$C$3</f>
        <v/>
      </c>
      <c r="D23" s="11">
        <f>'balance_raw_66365328'!$D$3</f>
        <v/>
      </c>
      <c r="E23" s="11">
        <f>'balance_raw_66365328'!$E$3</f>
        <v/>
      </c>
      <c r="F23" s="11">
        <f>'balance_raw_66365328'!$F$3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4" t="inlineStr">
        <is>
          <t>Goodwill</t>
        </is>
      </c>
      <c r="B24" s="5">
        <f>'balance_raw_66365328'!$B$4</f>
        <v/>
      </c>
      <c r="C24" s="5">
        <f>'balance_raw_66365328'!$C$4</f>
        <v/>
      </c>
      <c r="D24" s="5">
        <f>'balance_raw_66365328'!$D$4</f>
        <v/>
      </c>
      <c r="E24" s="5">
        <f>'balance_raw_66365328'!$E$4</f>
        <v/>
      </c>
      <c r="F24" s="5">
        <f>'balance_raw_66365328'!$F$4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Immaterielle anlægsaktiver</t>
        </is>
      </c>
      <c r="B25" s="8">
        <f>'balance_raw_66365328'!$B$5</f>
        <v/>
      </c>
      <c r="C25" s="8">
        <f>'balance_raw_66365328'!$C$5</f>
        <v/>
      </c>
      <c r="D25" s="8">
        <f>'balance_raw_66365328'!$D$5</f>
        <v/>
      </c>
      <c r="E25" s="8">
        <f>'balance_raw_66365328'!$E$5</f>
        <v/>
      </c>
      <c r="F25" s="8">
        <f>'balance_raw_66365328'!$F$5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Grunde og bygninger</t>
        </is>
      </c>
      <c r="B26" s="5">
        <f>'balance_raw_66365328'!$B$6</f>
        <v/>
      </c>
      <c r="C26" s="5">
        <f>'balance_raw_66365328'!$C$6</f>
        <v/>
      </c>
      <c r="D26" s="5">
        <f>'balance_raw_66365328'!$D$6</f>
        <v/>
      </c>
      <c r="E26" s="5">
        <f>'balance_raw_66365328'!$E$6</f>
        <v/>
      </c>
      <c r="F26" s="5">
        <f>'balance_raw_66365328'!$F$6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10" t="inlineStr">
        <is>
          <t>Produktionsanlæg og maskiner</t>
        </is>
      </c>
      <c r="B27" s="11">
        <f>'balance_raw_66365328'!$B$7</f>
        <v/>
      </c>
      <c r="C27" s="11">
        <f>'balance_raw_66365328'!$C$7</f>
        <v/>
      </c>
      <c r="D27" s="11">
        <f>'balance_raw_66365328'!$D$7</f>
        <v/>
      </c>
      <c r="E27" s="11">
        <f>'balance_raw_66365328'!$E$7</f>
        <v/>
      </c>
      <c r="F27" s="11">
        <f>'balance_raw_66365328'!$F$7</f>
        <v/>
      </c>
      <c r="G27" t="inlineStr"/>
      <c r="H27" s="12">
        <f>IFERROR(B27/$B$27*100,"")</f>
        <v/>
      </c>
      <c r="I27" s="12">
        <f>IFERROR(C27/$B$27*100,"")</f>
        <v/>
      </c>
      <c r="J27" s="12">
        <f>IFERROR(D27/$B$27*100,"")</f>
        <v/>
      </c>
      <c r="K27" s="12">
        <f>IFERROR(E27/$B$27*100,"")</f>
        <v/>
      </c>
      <c r="L27" s="12">
        <f>IFERROR(F27/$B$27*100,"")</f>
        <v/>
      </c>
    </row>
    <row r="28" ht="16" customHeight="1">
      <c r="A28" s="4" t="inlineStr">
        <is>
          <t>Driftsmateriel og inventar</t>
        </is>
      </c>
      <c r="B28" s="5">
        <f>'balance_raw_66365328'!$B$8</f>
        <v/>
      </c>
      <c r="C28" s="5">
        <f>'balance_raw_66365328'!$C$8</f>
        <v/>
      </c>
      <c r="D28" s="5">
        <f>'balance_raw_66365328'!$D$8</f>
        <v/>
      </c>
      <c r="E28" s="5">
        <f>'balance_raw_66365328'!$E$8</f>
        <v/>
      </c>
      <c r="F28" s="5">
        <f>'balance_raw_66365328'!$F$8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10" t="inlineStr">
        <is>
          <t>Indretning af lejede lokaler</t>
        </is>
      </c>
      <c r="B29" s="11">
        <f>'balance_raw_66365328'!$B$9</f>
        <v/>
      </c>
      <c r="C29" s="11">
        <f>'balance_raw_66365328'!$C$9</f>
        <v/>
      </c>
      <c r="D29" s="11">
        <f>'balance_raw_66365328'!$D$9</f>
        <v/>
      </c>
      <c r="E29" s="11">
        <f>'balance_raw_66365328'!$E$9</f>
        <v/>
      </c>
      <c r="F29" s="11">
        <f>'balance_raw_66365328'!$F$9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4" t="inlineStr">
        <is>
          <t>Forudbetaling og anlægsaktiver under opførelse</t>
        </is>
      </c>
      <c r="B30" s="5">
        <f>'balance_raw_66365328'!$B$10</f>
        <v/>
      </c>
      <c r="C30" s="5">
        <f>'balance_raw_66365328'!$C$10</f>
        <v/>
      </c>
      <c r="D30" s="5">
        <f>'balance_raw_66365328'!$D$10</f>
        <v/>
      </c>
      <c r="E30" s="5">
        <f>'balance_raw_66365328'!$E$10</f>
        <v/>
      </c>
      <c r="F30" s="5">
        <f>'balance_raw_66365328'!$F$10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Materielle anlægsaktiver</t>
        </is>
      </c>
      <c r="B31" s="8">
        <f>'balance_raw_66365328'!$B$11</f>
        <v/>
      </c>
      <c r="C31" s="8">
        <f>'balance_raw_66365328'!$C$11</f>
        <v/>
      </c>
      <c r="D31" s="8">
        <f>'balance_raw_66365328'!$D$11</f>
        <v/>
      </c>
      <c r="E31" s="8">
        <f>'balance_raw_66365328'!$E$11</f>
        <v/>
      </c>
      <c r="F31" s="8">
        <f>'balance_raw_66365328'!$F$11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4" t="inlineStr">
        <is>
          <t>Kapitalandele, dattervirksomheder</t>
        </is>
      </c>
      <c r="B32" s="5">
        <f>'balance_raw_66365328'!$B$12</f>
        <v/>
      </c>
      <c r="C32" s="5">
        <f>'balance_raw_66365328'!$C$12</f>
        <v/>
      </c>
      <c r="D32" s="5">
        <f>'balance_raw_66365328'!$D$12</f>
        <v/>
      </c>
      <c r="E32" s="5">
        <f>'balance_raw_66365328'!$E$12</f>
        <v/>
      </c>
      <c r="F32" s="5">
        <f>'balance_raw_66365328'!$F$12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10" t="inlineStr">
        <is>
          <t>Deposita</t>
        </is>
      </c>
      <c r="B33" s="11">
        <f>'balance_raw_66365328'!$B$13</f>
        <v/>
      </c>
      <c r="C33" s="11">
        <f>'balance_raw_66365328'!$C$13</f>
        <v/>
      </c>
      <c r="D33" s="11">
        <f>'balance_raw_66365328'!$D$13</f>
        <v/>
      </c>
      <c r="E33" s="11">
        <f>'balance_raw_66365328'!$E$13</f>
        <v/>
      </c>
      <c r="F33" s="11">
        <f>'balance_raw_66365328'!$F$13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7" t="inlineStr">
        <is>
          <t>Finansielle anlægsaktiver</t>
        </is>
      </c>
      <c r="B34" s="8">
        <f>'balance_raw_66365328'!$B$14</f>
        <v/>
      </c>
      <c r="C34" s="8">
        <f>'balance_raw_66365328'!$C$14</f>
        <v/>
      </c>
      <c r="D34" s="8">
        <f>'balance_raw_66365328'!$D$14</f>
        <v/>
      </c>
      <c r="E34" s="8">
        <f>'balance_raw_66365328'!$E$14</f>
        <v/>
      </c>
      <c r="F34" s="8">
        <f>'balance_raw_66365328'!$F$14</f>
        <v/>
      </c>
      <c r="G34" t="inlineStr"/>
      <c r="H34" s="9">
        <f>IFERROR(B34/$B$34*100,"")</f>
        <v/>
      </c>
      <c r="I34" s="9">
        <f>IFERROR(C34/$B$34*100,"")</f>
        <v/>
      </c>
      <c r="J34" s="9">
        <f>IFERROR(D34/$B$34*100,"")</f>
        <v/>
      </c>
      <c r="K34" s="9">
        <f>IFERROR(E34/$B$34*100,"")</f>
        <v/>
      </c>
      <c r="L34" s="9">
        <f>IFERROR(F34/$B$34*100,"")</f>
        <v/>
      </c>
    </row>
    <row r="35" ht="16" customHeight="1">
      <c r="A35" s="7" t="inlineStr">
        <is>
          <t>Anlægsaktiver</t>
        </is>
      </c>
      <c r="B35" s="8">
        <f>'balance_raw_66365328'!$B$15</f>
        <v/>
      </c>
      <c r="C35" s="8">
        <f>'balance_raw_66365328'!$C$15</f>
        <v/>
      </c>
      <c r="D35" s="8">
        <f>'balance_raw_66365328'!$D$15</f>
        <v/>
      </c>
      <c r="E35" s="8">
        <f>'balance_raw_66365328'!$E$15</f>
        <v/>
      </c>
      <c r="F35" s="8">
        <f>'balance_raw_66365328'!$F$15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Råvarer og hjælpematerialer</t>
        </is>
      </c>
      <c r="B36" s="5">
        <f>'balance_raw_66365328'!$B$16</f>
        <v/>
      </c>
      <c r="C36" s="5">
        <f>'balance_raw_66365328'!$C$16</f>
        <v/>
      </c>
      <c r="D36" s="5">
        <f>'balance_raw_66365328'!$D$16</f>
        <v/>
      </c>
      <c r="E36" s="5">
        <f>'balance_raw_66365328'!$E$16</f>
        <v/>
      </c>
      <c r="F36" s="5">
        <f>'balance_raw_66365328'!$F$16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Varer under fremstilling</t>
        </is>
      </c>
      <c r="B37" s="11">
        <f>'balance_raw_66365328'!$B$17</f>
        <v/>
      </c>
      <c r="C37" s="11">
        <f>'balance_raw_66365328'!$C$17</f>
        <v/>
      </c>
      <c r="D37" s="11">
        <f>'balance_raw_66365328'!$D$17</f>
        <v/>
      </c>
      <c r="E37" s="11">
        <f>'balance_raw_66365328'!$E$17</f>
        <v/>
      </c>
      <c r="F37" s="11">
        <f>'balance_raw_66365328'!$F$17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Færdigvarer og handelsvarer</t>
        </is>
      </c>
      <c r="B38" s="5">
        <f>'balance_raw_66365328'!$B$18</f>
        <v/>
      </c>
      <c r="C38" s="5">
        <f>'balance_raw_66365328'!$C$18</f>
        <v/>
      </c>
      <c r="D38" s="5">
        <f>'balance_raw_66365328'!$D$18</f>
        <v/>
      </c>
      <c r="E38" s="5">
        <f>'balance_raw_66365328'!$E$18</f>
        <v/>
      </c>
      <c r="F38" s="5">
        <f>'balance_raw_66365328'!$F$18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Varebeholdninger</t>
        </is>
      </c>
      <c r="B39" s="8">
        <f>'balance_raw_66365328'!$B$19</f>
        <v/>
      </c>
      <c r="C39" s="8">
        <f>'balance_raw_66365328'!$C$19</f>
        <v/>
      </c>
      <c r="D39" s="8">
        <f>'balance_raw_66365328'!$D$19</f>
        <v/>
      </c>
      <c r="E39" s="8">
        <f>'balance_raw_66365328'!$E$19</f>
        <v/>
      </c>
      <c r="F39" s="8">
        <f>'balance_raw_66365328'!$F$19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Tilgodehavender fra salg og tjenesteydelser</t>
        </is>
      </c>
      <c r="B40" s="5">
        <f>'balance_raw_66365328'!$B$20</f>
        <v/>
      </c>
      <c r="C40" s="5">
        <f>'balance_raw_66365328'!$C$20</f>
        <v/>
      </c>
      <c r="D40" s="5">
        <f>'balance_raw_66365328'!$D$20</f>
        <v/>
      </c>
      <c r="E40" s="5">
        <f>'balance_raw_66365328'!$E$20</f>
        <v/>
      </c>
      <c r="F40" s="5">
        <f>'balance_raw_66365328'!$F$20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10" t="inlineStr">
        <is>
          <t>Tilgodehavender hos tilknyttede virksomheder</t>
        </is>
      </c>
      <c r="B41" s="11">
        <f>'balance_raw_66365328'!$B$21</f>
        <v/>
      </c>
      <c r="C41" s="11">
        <f>'balance_raw_66365328'!$C$21</f>
        <v/>
      </c>
      <c r="D41" s="11">
        <f>'balance_raw_66365328'!$D$21</f>
        <v/>
      </c>
      <c r="E41" s="11">
        <f>'balance_raw_66365328'!$E$21</f>
        <v/>
      </c>
      <c r="F41" s="11">
        <f>'balance_raw_66365328'!$F$21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2" ht="16" customHeight="1">
      <c r="A42" s="4" t="inlineStr">
        <is>
          <t>Andre tilgodehavender</t>
        </is>
      </c>
      <c r="B42" s="5">
        <f>'balance_raw_66365328'!$B$22</f>
        <v/>
      </c>
      <c r="C42" s="5">
        <f>'balance_raw_66365328'!$C$22</f>
        <v/>
      </c>
      <c r="D42" s="5">
        <f>'balance_raw_66365328'!$D$22</f>
        <v/>
      </c>
      <c r="E42" s="5">
        <f>'balance_raw_66365328'!$E$22</f>
        <v/>
      </c>
      <c r="F42" s="5">
        <f>'balance_raw_66365328'!$F$22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10" t="inlineStr">
        <is>
          <t>Periodeafgrænsningsposter (aktiver)</t>
        </is>
      </c>
      <c r="B43" s="11">
        <f>'balance_raw_66365328'!$B$23</f>
        <v/>
      </c>
      <c r="C43" s="11">
        <f>'balance_raw_66365328'!$C$23</f>
        <v/>
      </c>
      <c r="D43" s="11">
        <f>'balance_raw_66365328'!$D$23</f>
        <v/>
      </c>
      <c r="E43" s="11">
        <f>'balance_raw_66365328'!$E$23</f>
        <v/>
      </c>
      <c r="F43" s="11">
        <f>'balance_raw_66365328'!$F$23</f>
        <v/>
      </c>
      <c r="G43" t="inlineStr"/>
      <c r="H43" s="12">
        <f>IFERROR(B43/$B$43*100,"")</f>
        <v/>
      </c>
      <c r="I43" s="12">
        <f>IFERROR(C43/$B$43*100,"")</f>
        <v/>
      </c>
      <c r="J43" s="12">
        <f>IFERROR(D43/$B$43*100,"")</f>
        <v/>
      </c>
      <c r="K43" s="12">
        <f>IFERROR(E43/$B$43*100,"")</f>
        <v/>
      </c>
      <c r="L43" s="12">
        <f>IFERROR(F43/$B$43*100,"")</f>
        <v/>
      </c>
    </row>
    <row r="44" ht="16" customHeight="1">
      <c r="A44" s="4" t="inlineStr">
        <is>
          <t>Udskudt skatteaktiv</t>
        </is>
      </c>
      <c r="B44" s="5">
        <f>'balance_raw_66365328'!$B$24</f>
        <v/>
      </c>
      <c r="C44" s="5">
        <f>'balance_raw_66365328'!$C$24</f>
        <v/>
      </c>
      <c r="D44" s="5">
        <f>'balance_raw_66365328'!$D$24</f>
        <v/>
      </c>
      <c r="E44" s="5">
        <f>'balance_raw_66365328'!$E$24</f>
        <v/>
      </c>
      <c r="F44" s="5">
        <f>'balance_raw_66365328'!$F$24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Tilgodehavende skat hos tilknyttede virksomheder</t>
        </is>
      </c>
      <c r="B45" s="11">
        <f>'balance_raw_66365328'!$B$25</f>
        <v/>
      </c>
      <c r="C45" s="11">
        <f>'balance_raw_66365328'!$C$25</f>
        <v/>
      </c>
      <c r="D45" s="11">
        <f>'balance_raw_66365328'!$D$25</f>
        <v/>
      </c>
      <c r="E45" s="11">
        <f>'balance_raw_66365328'!$E$25</f>
        <v/>
      </c>
      <c r="F45" s="11">
        <f>'balance_raw_66365328'!$F$25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4" t="inlineStr">
        <is>
          <t>Kortfristede skattetilgodehavender</t>
        </is>
      </c>
      <c r="B46" s="5">
        <f>'balance_raw_66365328'!$B$26</f>
        <v/>
      </c>
      <c r="C46" s="5">
        <f>'balance_raw_66365328'!$C$26</f>
        <v/>
      </c>
      <c r="D46" s="5">
        <f>'balance_raw_66365328'!$D$26</f>
        <v/>
      </c>
      <c r="E46" s="5">
        <f>'balance_raw_66365328'!$E$26</f>
        <v/>
      </c>
      <c r="F46" s="5">
        <f>'balance_raw_66365328'!$F$26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Tilgodehavender</t>
        </is>
      </c>
      <c r="B47" s="8">
        <f>'balance_raw_66365328'!$B$27</f>
        <v/>
      </c>
      <c r="C47" s="8">
        <f>'balance_raw_66365328'!$C$27</f>
        <v/>
      </c>
      <c r="D47" s="8">
        <f>'balance_raw_66365328'!$D$27</f>
        <v/>
      </c>
      <c r="E47" s="8">
        <f>'balance_raw_66365328'!$E$27</f>
        <v/>
      </c>
      <c r="F47" s="8">
        <f>'balance_raw_66365328'!$F$27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4" t="inlineStr">
        <is>
          <t>Værdipapirer</t>
        </is>
      </c>
      <c r="B48" s="5">
        <f>'balance_raw_66365328'!$B$28</f>
        <v/>
      </c>
      <c r="C48" s="5">
        <f>'balance_raw_66365328'!$C$28</f>
        <v/>
      </c>
      <c r="D48" s="5">
        <f>'balance_raw_66365328'!$D$28</f>
        <v/>
      </c>
      <c r="E48" s="5">
        <f>'balance_raw_66365328'!$E$28</f>
        <v/>
      </c>
      <c r="F48" s="5">
        <f>'balance_raw_66365328'!$F$28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10" t="inlineStr">
        <is>
          <t>Likvide beholdninger</t>
        </is>
      </c>
      <c r="B49" s="11">
        <f>'balance_raw_66365328'!$B$29</f>
        <v/>
      </c>
      <c r="C49" s="11">
        <f>'balance_raw_66365328'!$C$29</f>
        <v/>
      </c>
      <c r="D49" s="11">
        <f>'balance_raw_66365328'!$D$29</f>
        <v/>
      </c>
      <c r="E49" s="11">
        <f>'balance_raw_66365328'!$E$29</f>
        <v/>
      </c>
      <c r="F49" s="11">
        <f>'balance_raw_66365328'!$F$29</f>
        <v/>
      </c>
      <c r="G49" t="inlineStr"/>
      <c r="H49" s="12">
        <f>IFERROR(B49/$B$49*100,"")</f>
        <v/>
      </c>
      <c r="I49" s="12">
        <f>IFERROR(C49/$B$49*100,"")</f>
        <v/>
      </c>
      <c r="J49" s="12">
        <f>IFERROR(D49/$B$49*100,"")</f>
        <v/>
      </c>
      <c r="K49" s="12">
        <f>IFERROR(E49/$B$49*100,"")</f>
        <v/>
      </c>
      <c r="L49" s="12">
        <f>IFERROR(F49/$B$49*100,"")</f>
        <v/>
      </c>
    </row>
    <row r="50" ht="16" customHeight="1">
      <c r="A50" s="7" t="inlineStr">
        <is>
          <t>Omsætningsaktiver</t>
        </is>
      </c>
      <c r="B50" s="8">
        <f>'balance_raw_66365328'!$B$30</f>
        <v/>
      </c>
      <c r="C50" s="8">
        <f>'balance_raw_66365328'!$C$30</f>
        <v/>
      </c>
      <c r="D50" s="8">
        <f>'balance_raw_66365328'!$D$30</f>
        <v/>
      </c>
      <c r="E50" s="8">
        <f>'balance_raw_66365328'!$E$30</f>
        <v/>
      </c>
      <c r="F50" s="8">
        <f>'balance_raw_66365328'!$F$30</f>
        <v/>
      </c>
      <c r="G50" t="inlineStr"/>
      <c r="H50" s="9">
        <f>IFERROR(B50/$B$50*100,"")</f>
        <v/>
      </c>
      <c r="I50" s="9">
        <f>IFERROR(C50/$B$50*100,"")</f>
        <v/>
      </c>
      <c r="J50" s="9">
        <f>IFERROR(D50/$B$50*100,"")</f>
        <v/>
      </c>
      <c r="K50" s="9">
        <f>IFERROR(E50/$B$50*100,"")</f>
        <v/>
      </c>
      <c r="L50" s="9">
        <f>IFERROR(F50/$B$50*100,"")</f>
        <v/>
      </c>
    </row>
    <row r="51" ht="16" customHeight="1">
      <c r="A51" s="7" t="inlineStr">
        <is>
          <t>Aktiver</t>
        </is>
      </c>
      <c r="B51" s="8">
        <f>'balance_raw_66365328'!$B$31</f>
        <v/>
      </c>
      <c r="C51" s="8">
        <f>'balance_raw_66365328'!$C$31</f>
        <v/>
      </c>
      <c r="D51" s="8">
        <f>'balance_raw_66365328'!$D$31</f>
        <v/>
      </c>
      <c r="E51" s="8">
        <f>'balance_raw_66365328'!$E$31</f>
        <v/>
      </c>
      <c r="F51" s="8">
        <f>'balance_raw_66365328'!$F$31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3" ht="22" customHeight="1">
      <c r="A53" s="3" t="inlineStr">
        <is>
          <t>PASSIVER t.kr.</t>
        </is>
      </c>
      <c r="B53" s="3" t="n">
        <v>2021</v>
      </c>
      <c r="C53" s="3" t="n">
        <v>2022</v>
      </c>
      <c r="D53" s="3" t="n">
        <v>2023</v>
      </c>
      <c r="E53" s="3" t="n">
        <v>2024</v>
      </c>
      <c r="F53" s="3" t="n">
        <v>2025</v>
      </c>
      <c r="G53" t="inlineStr"/>
      <c r="H53" s="3" t="n">
        <v>2021</v>
      </c>
      <c r="I53" s="3" t="n">
        <v>2022</v>
      </c>
      <c r="J53" s="3" t="n">
        <v>2023</v>
      </c>
      <c r="K53" s="3" t="n">
        <v>2024</v>
      </c>
      <c r="L53" s="3" t="n">
        <v>2025</v>
      </c>
    </row>
    <row r="54" ht="16" customHeight="1">
      <c r="A54" s="4" t="inlineStr">
        <is>
          <t>Selskabskapital</t>
        </is>
      </c>
      <c r="B54" s="5">
        <f>'balance_raw_66365328'!$B$32</f>
        <v/>
      </c>
      <c r="C54" s="5">
        <f>'balance_raw_66365328'!$C$32</f>
        <v/>
      </c>
      <c r="D54" s="5">
        <f>'balance_raw_66365328'!$D$32</f>
        <v/>
      </c>
      <c r="E54" s="5">
        <f>'balance_raw_66365328'!$E$32</f>
        <v/>
      </c>
      <c r="F54" s="5">
        <f>'balance_raw_66365328'!$F$32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10" t="inlineStr">
        <is>
          <t>Reserve for nettoopskrivning (indre værdis metode)</t>
        </is>
      </c>
      <c r="B55" s="11">
        <f>'balance_raw_66365328'!$B$33</f>
        <v/>
      </c>
      <c r="C55" s="11">
        <f>'balance_raw_66365328'!$C$33</f>
        <v/>
      </c>
      <c r="D55" s="11">
        <f>'balance_raw_66365328'!$D$33</f>
        <v/>
      </c>
      <c r="E55" s="11">
        <f>'balance_raw_66365328'!$E$33</f>
        <v/>
      </c>
      <c r="F55" s="11">
        <f>'balance_raw_66365328'!$F$33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4" t="inlineStr">
        <is>
          <t>Reserve for udviklingsomkostninger</t>
        </is>
      </c>
      <c r="B56" s="5">
        <f>'balance_raw_66365328'!$B$34</f>
        <v/>
      </c>
      <c r="C56" s="5">
        <f>'balance_raw_66365328'!$C$34</f>
        <v/>
      </c>
      <c r="D56" s="5">
        <f>'balance_raw_66365328'!$D$34</f>
        <v/>
      </c>
      <c r="E56" s="5">
        <f>'balance_raw_66365328'!$E$34</f>
        <v/>
      </c>
      <c r="F56" s="5">
        <f>'balance_raw_66365328'!$F$34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Reserve for sikringstransaktioner</t>
        </is>
      </c>
      <c r="B57" s="11">
        <f>'balance_raw_66365328'!$B$35</f>
        <v/>
      </c>
      <c r="C57" s="11">
        <f>'balance_raw_66365328'!$C$35</f>
        <v/>
      </c>
      <c r="D57" s="11">
        <f>'balance_raw_66365328'!$D$35</f>
        <v/>
      </c>
      <c r="E57" s="11">
        <f>'balance_raw_66365328'!$E$35</f>
        <v/>
      </c>
      <c r="F57" s="11">
        <f>'balance_raw_66365328'!$F$35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Andre reserver</t>
        </is>
      </c>
      <c r="B58" s="5">
        <f>'balance_raw_66365328'!$B$36</f>
        <v/>
      </c>
      <c r="C58" s="5">
        <f>'balance_raw_66365328'!$C$36</f>
        <v/>
      </c>
      <c r="D58" s="5">
        <f>'balance_raw_66365328'!$D$36</f>
        <v/>
      </c>
      <c r="E58" s="5">
        <f>'balance_raw_66365328'!$E$36</f>
        <v/>
      </c>
      <c r="F58" s="5">
        <f>'balance_raw_66365328'!$F$36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10" t="inlineStr">
        <is>
          <t>Overført resultat</t>
        </is>
      </c>
      <c r="B59" s="11">
        <f>'balance_raw_66365328'!$B$37</f>
        <v/>
      </c>
      <c r="C59" s="11">
        <f>'balance_raw_66365328'!$C$37</f>
        <v/>
      </c>
      <c r="D59" s="11">
        <f>'balance_raw_66365328'!$D$37</f>
        <v/>
      </c>
      <c r="E59" s="11">
        <f>'balance_raw_66365328'!$E$37</f>
        <v/>
      </c>
      <c r="F59" s="11">
        <f>'balance_raw_66365328'!$F$37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7" t="inlineStr">
        <is>
          <t>Egenkapital i alt</t>
        </is>
      </c>
      <c r="B60" s="8">
        <f>'balance_raw_66365328'!$B$38</f>
        <v/>
      </c>
      <c r="C60" s="8">
        <f>'balance_raw_66365328'!$C$38</f>
        <v/>
      </c>
      <c r="D60" s="8">
        <f>'balance_raw_66365328'!$D$38</f>
        <v/>
      </c>
      <c r="E60" s="8">
        <f>'balance_raw_66365328'!$E$38</f>
        <v/>
      </c>
      <c r="F60" s="8">
        <f>'balance_raw_66365328'!$F$38</f>
        <v/>
      </c>
      <c r="G60" t="inlineStr"/>
      <c r="H60" s="9">
        <f>IFERROR(B60/$B$60*100,"")</f>
        <v/>
      </c>
      <c r="I60" s="9">
        <f>IFERROR(C60/$B$60*100,"")</f>
        <v/>
      </c>
      <c r="J60" s="9">
        <f>IFERROR(D60/$B$60*100,"")</f>
        <v/>
      </c>
      <c r="K60" s="9">
        <f>IFERROR(E60/$B$60*100,"")</f>
        <v/>
      </c>
      <c r="L60" s="9">
        <f>IFERROR(F60/$B$60*100,"")</f>
        <v/>
      </c>
    </row>
    <row r="61" ht="16" customHeight="1">
      <c r="A61" s="10" t="inlineStr">
        <is>
          <t>Hensættelse til udskudt skat</t>
        </is>
      </c>
      <c r="B61" s="11">
        <f>'balance_raw_66365328'!$B$39</f>
        <v/>
      </c>
      <c r="C61" s="11">
        <f>'balance_raw_66365328'!$C$39</f>
        <v/>
      </c>
      <c r="D61" s="11">
        <f>'balance_raw_66365328'!$D$39</f>
        <v/>
      </c>
      <c r="E61" s="11">
        <f>'balance_raw_66365328'!$E$39</f>
        <v/>
      </c>
      <c r="F61" s="11">
        <f>'balance_raw_66365328'!$F$39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7" t="inlineStr">
        <is>
          <t>Hensatte forpligtelser</t>
        </is>
      </c>
      <c r="B62" s="8">
        <f>'balance_raw_66365328'!$B$40</f>
        <v/>
      </c>
      <c r="C62" s="8">
        <f>'balance_raw_66365328'!$C$40</f>
        <v/>
      </c>
      <c r="D62" s="8">
        <f>'balance_raw_66365328'!$D$40</f>
        <v/>
      </c>
      <c r="E62" s="8">
        <f>'balance_raw_66365328'!$E$40</f>
        <v/>
      </c>
      <c r="F62" s="8">
        <f>'balance_raw_66365328'!$F$40</f>
        <v/>
      </c>
      <c r="G62" t="inlineStr"/>
      <c r="H62" s="9">
        <f>IFERROR(B62/$B$62*100,"")</f>
        <v/>
      </c>
      <c r="I62" s="9">
        <f>IFERROR(C62/$B$62*100,"")</f>
        <v/>
      </c>
      <c r="J62" s="9">
        <f>IFERROR(D62/$B$62*100,"")</f>
        <v/>
      </c>
      <c r="K62" s="9">
        <f>IFERROR(E62/$B$62*100,"")</f>
        <v/>
      </c>
      <c r="L62" s="9">
        <f>IFERROR(F62/$B$62*100,"")</f>
        <v/>
      </c>
    </row>
    <row r="63" ht="16" customHeight="1">
      <c r="A63" s="10" t="inlineStr">
        <is>
          <t>Ansvarlig lånekapital (langfristet)</t>
        </is>
      </c>
      <c r="B63" s="11">
        <f>'balance_raw_66365328'!$B$41</f>
        <v/>
      </c>
      <c r="C63" s="11">
        <f>'balance_raw_66365328'!$C$41</f>
        <v/>
      </c>
      <c r="D63" s="11">
        <f>'balance_raw_66365328'!$D$41</f>
        <v/>
      </c>
      <c r="E63" s="11">
        <f>'balance_raw_66365328'!$E$41</f>
        <v/>
      </c>
      <c r="F63" s="11">
        <f>'balance_raw_66365328'!$F$41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Langfristede lån</t>
        </is>
      </c>
      <c r="B64" s="5">
        <f>'balance_raw_66365328'!$B$42</f>
        <v/>
      </c>
      <c r="C64" s="5">
        <f>'balance_raw_66365328'!$C$42</f>
        <v/>
      </c>
      <c r="D64" s="5">
        <f>'balance_raw_66365328'!$D$42</f>
        <v/>
      </c>
      <c r="E64" s="5">
        <f>'balance_raw_66365328'!$E$42</f>
        <v/>
      </c>
      <c r="F64" s="5">
        <f>'balance_raw_66365328'!$F$42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Leasingforpligtelser (langfristet)</t>
        </is>
      </c>
      <c r="B65" s="11">
        <f>'balance_raw_66365328'!$B$43</f>
        <v/>
      </c>
      <c r="C65" s="11">
        <f>'balance_raw_66365328'!$C$43</f>
        <v/>
      </c>
      <c r="D65" s="11">
        <f>'balance_raw_66365328'!$D$43</f>
        <v/>
      </c>
      <c r="E65" s="11">
        <f>'balance_raw_66365328'!$E$43</f>
        <v/>
      </c>
      <c r="F65" s="11">
        <f>'balance_raw_66365328'!$F$43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Anden gæld (langfristet)</t>
        </is>
      </c>
      <c r="B66" s="5">
        <f>'balance_raw_66365328'!$B$44</f>
        <v/>
      </c>
      <c r="C66" s="5">
        <f>'balance_raw_66365328'!$C$44</f>
        <v/>
      </c>
      <c r="D66" s="5">
        <f>'balance_raw_66365328'!$D$44</f>
        <v/>
      </c>
      <c r="E66" s="5">
        <f>'balance_raw_66365328'!$E$44</f>
        <v/>
      </c>
      <c r="F66" s="5">
        <f>'balance_raw_66365328'!$F$44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Langfristede gældsforpligtelser</t>
        </is>
      </c>
      <c r="B67" s="8">
        <f>'balance_raw_66365328'!$B$45</f>
        <v/>
      </c>
      <c r="C67" s="8">
        <f>'balance_raw_66365328'!$C$45</f>
        <v/>
      </c>
      <c r="D67" s="8">
        <f>'balance_raw_66365328'!$D$45</f>
        <v/>
      </c>
      <c r="E67" s="8">
        <f>'balance_raw_66365328'!$E$45</f>
        <v/>
      </c>
      <c r="F67" s="8">
        <f>'balance_raw_66365328'!$F$45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Ansvarlig lånekapital (kortfristet)</t>
        </is>
      </c>
      <c r="B68" s="5">
        <f>'balance_raw_66365328'!$B$46</f>
        <v/>
      </c>
      <c r="C68" s="5">
        <f>'balance_raw_66365328'!$C$46</f>
        <v/>
      </c>
      <c r="D68" s="5">
        <f>'balance_raw_66365328'!$D$46</f>
        <v/>
      </c>
      <c r="E68" s="5">
        <f>'balance_raw_66365328'!$E$46</f>
        <v/>
      </c>
      <c r="F68" s="5">
        <f>'balance_raw_66365328'!$F$46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10" t="inlineStr">
        <is>
          <t>Kortfristet del af langfristede gældsforpligtelser</t>
        </is>
      </c>
      <c r="B69" s="11">
        <f>'balance_raw_66365328'!$B$47</f>
        <v/>
      </c>
      <c r="C69" s="11">
        <f>'balance_raw_66365328'!$C$47</f>
        <v/>
      </c>
      <c r="D69" s="11">
        <f>'balance_raw_66365328'!$D$47</f>
        <v/>
      </c>
      <c r="E69" s="11">
        <f>'balance_raw_66365328'!$E$47</f>
        <v/>
      </c>
      <c r="F69" s="11">
        <f>'balance_raw_66365328'!$F$47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4" t="inlineStr">
        <is>
          <t>Kreditinstitutter</t>
        </is>
      </c>
      <c r="B70" s="5">
        <f>'balance_raw_66365328'!$B$48</f>
        <v/>
      </c>
      <c r="C70" s="5">
        <f>'balance_raw_66365328'!$C$48</f>
        <v/>
      </c>
      <c r="D70" s="5">
        <f>'balance_raw_66365328'!$D$48</f>
        <v/>
      </c>
      <c r="E70" s="5">
        <f>'balance_raw_66365328'!$E$48</f>
        <v/>
      </c>
      <c r="F70" s="5">
        <f>'balance_raw_66365328'!$F$48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10" t="inlineStr">
        <is>
          <t>Leasingforpligtelser (kortfristet)</t>
        </is>
      </c>
      <c r="B71" s="11">
        <f>'balance_raw_66365328'!$B$49</f>
        <v/>
      </c>
      <c r="C71" s="11">
        <f>'balance_raw_66365328'!$C$49</f>
        <v/>
      </c>
      <c r="D71" s="11">
        <f>'balance_raw_66365328'!$D$49</f>
        <v/>
      </c>
      <c r="E71" s="11">
        <f>'balance_raw_66365328'!$E$49</f>
        <v/>
      </c>
      <c r="F71" s="11">
        <f>'balance_raw_66365328'!$F$49</f>
        <v/>
      </c>
      <c r="G71" t="inlineStr"/>
      <c r="H71" s="12">
        <f>IFERROR(B71/$B$71*100,"")</f>
        <v/>
      </c>
      <c r="I71" s="12">
        <f>IFERROR(C71/$B$71*100,"")</f>
        <v/>
      </c>
      <c r="J71" s="12">
        <f>IFERROR(D71/$B$71*100,"")</f>
        <v/>
      </c>
      <c r="K71" s="12">
        <f>IFERROR(E71/$B$71*100,"")</f>
        <v/>
      </c>
      <c r="L71" s="12">
        <f>IFERROR(F71/$B$71*100,"")</f>
        <v/>
      </c>
    </row>
    <row r="72" ht="16" customHeight="1">
      <c r="A72" s="4" t="inlineStr">
        <is>
          <t>Leverandører af varer og tjenesteydelser</t>
        </is>
      </c>
      <c r="B72" s="5">
        <f>'balance_raw_66365328'!$B$50</f>
        <v/>
      </c>
      <c r="C72" s="5">
        <f>'balance_raw_66365328'!$C$50</f>
        <v/>
      </c>
      <c r="D72" s="5">
        <f>'balance_raw_66365328'!$D$50</f>
        <v/>
      </c>
      <c r="E72" s="5">
        <f>'balance_raw_66365328'!$E$50</f>
        <v/>
      </c>
      <c r="F72" s="5">
        <f>'balance_raw_66365328'!$F$50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10" t="inlineStr">
        <is>
          <t>Gæld til tilknyttede virksomheder</t>
        </is>
      </c>
      <c r="B73" s="11">
        <f>'balance_raw_66365328'!$B$51</f>
        <v/>
      </c>
      <c r="C73" s="11">
        <f>'balance_raw_66365328'!$C$51</f>
        <v/>
      </c>
      <c r="D73" s="11">
        <f>'balance_raw_66365328'!$D$51</f>
        <v/>
      </c>
      <c r="E73" s="11">
        <f>'balance_raw_66365328'!$E$51</f>
        <v/>
      </c>
      <c r="F73" s="11">
        <f>'balance_raw_66365328'!$F$51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4" ht="16" customHeight="1">
      <c r="A74" s="4" t="inlineStr">
        <is>
          <t>Gæld til selskabsdeltagere og ledelse</t>
        </is>
      </c>
      <c r="B74" s="5">
        <f>'balance_raw_66365328'!$B$52</f>
        <v/>
      </c>
      <c r="C74" s="5">
        <f>'balance_raw_66365328'!$C$52</f>
        <v/>
      </c>
      <c r="D74" s="5">
        <f>'balance_raw_66365328'!$D$52</f>
        <v/>
      </c>
      <c r="E74" s="5">
        <f>'balance_raw_66365328'!$E$52</f>
        <v/>
      </c>
      <c r="F74" s="5">
        <f>'balance_raw_66365328'!$F$52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10" t="inlineStr">
        <is>
          <t>Selskabsskat</t>
        </is>
      </c>
      <c r="B75" s="11">
        <f>'balance_raw_66365328'!$B$53</f>
        <v/>
      </c>
      <c r="C75" s="11">
        <f>'balance_raw_66365328'!$C$53</f>
        <v/>
      </c>
      <c r="D75" s="11">
        <f>'balance_raw_66365328'!$D$53</f>
        <v/>
      </c>
      <c r="E75" s="11">
        <f>'balance_raw_66365328'!$E$53</f>
        <v/>
      </c>
      <c r="F75" s="11">
        <f>'balance_raw_66365328'!$F$53</f>
        <v/>
      </c>
      <c r="G75" t="inlineStr"/>
      <c r="H75" s="12">
        <f>IFERROR(B75/$B$75*100,"")</f>
        <v/>
      </c>
      <c r="I75" s="12">
        <f>IFERROR(C75/$B$75*100,"")</f>
        <v/>
      </c>
      <c r="J75" s="12">
        <f>IFERROR(D75/$B$75*100,"")</f>
        <v/>
      </c>
      <c r="K75" s="12">
        <f>IFERROR(E75/$B$75*100,"")</f>
        <v/>
      </c>
      <c r="L75" s="12">
        <f>IFERROR(F75/$B$75*100,"")</f>
        <v/>
      </c>
    </row>
    <row r="76" ht="16" customHeight="1">
      <c r="A76" s="4" t="inlineStr">
        <is>
          <t>Gæld til tilknyttede virksomheder vedr. selskabsskat</t>
        </is>
      </c>
      <c r="B76" s="5">
        <f>'balance_raw_66365328'!$B$54</f>
        <v/>
      </c>
      <c r="C76" s="5">
        <f>'balance_raw_66365328'!$C$54</f>
        <v/>
      </c>
      <c r="D76" s="5">
        <f>'balance_raw_66365328'!$D$54</f>
        <v/>
      </c>
      <c r="E76" s="5">
        <f>'balance_raw_66365328'!$E$54</f>
        <v/>
      </c>
      <c r="F76" s="5">
        <f>'balance_raw_66365328'!$F$54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10" t="inlineStr">
        <is>
          <t>Anden gæld (kortfristet)</t>
        </is>
      </c>
      <c r="B77" s="11">
        <f>'balance_raw_66365328'!$B$55</f>
        <v/>
      </c>
      <c r="C77" s="11">
        <f>'balance_raw_66365328'!$C$55</f>
        <v/>
      </c>
      <c r="D77" s="11">
        <f>'balance_raw_66365328'!$D$55</f>
        <v/>
      </c>
      <c r="E77" s="11">
        <f>'balance_raw_66365328'!$E$55</f>
        <v/>
      </c>
      <c r="F77" s="11">
        <f>'balance_raw_66365328'!$F$55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8" ht="16" customHeight="1">
      <c r="A78" s="4" t="inlineStr">
        <is>
          <t>Periodeafgrænsningsposter (passiver)</t>
        </is>
      </c>
      <c r="B78" s="5">
        <f>'balance_raw_66365328'!$B$56</f>
        <v/>
      </c>
      <c r="C78" s="5">
        <f>'balance_raw_66365328'!$C$56</f>
        <v/>
      </c>
      <c r="D78" s="5">
        <f>'balance_raw_66365328'!$D$56</f>
        <v/>
      </c>
      <c r="E78" s="5">
        <f>'balance_raw_66365328'!$E$56</f>
        <v/>
      </c>
      <c r="F78" s="5">
        <f>'balance_raw_66365328'!$F$56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Kortfristede gældsforpligtelser</t>
        </is>
      </c>
      <c r="B79" s="8">
        <f>'balance_raw_66365328'!$B$57</f>
        <v/>
      </c>
      <c r="C79" s="8">
        <f>'balance_raw_66365328'!$C$57</f>
        <v/>
      </c>
      <c r="D79" s="8">
        <f>'balance_raw_66365328'!$D$57</f>
        <v/>
      </c>
      <c r="E79" s="8">
        <f>'balance_raw_66365328'!$E$57</f>
        <v/>
      </c>
      <c r="F79" s="8">
        <f>'balance_raw_66365328'!$F$57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7" t="inlineStr">
        <is>
          <t>Gældsforpligtelser</t>
        </is>
      </c>
      <c r="B80" s="8">
        <f>'balance_raw_66365328'!$B$58</f>
        <v/>
      </c>
      <c r="C80" s="8">
        <f>'balance_raw_66365328'!$C$58</f>
        <v/>
      </c>
      <c r="D80" s="8">
        <f>'balance_raw_66365328'!$D$58</f>
        <v/>
      </c>
      <c r="E80" s="8">
        <f>'balance_raw_66365328'!$E$58</f>
        <v/>
      </c>
      <c r="F80" s="8">
        <f>'balance_raw_66365328'!$F$58</f>
        <v/>
      </c>
      <c r="G80" t="inlineStr"/>
      <c r="H80" s="9">
        <f>IFERROR(B80/$B$80*100,"")</f>
        <v/>
      </c>
      <c r="I80" s="9">
        <f>IFERROR(C80/$B$80*100,"")</f>
        <v/>
      </c>
      <c r="J80" s="9">
        <f>IFERROR(D80/$B$80*100,"")</f>
        <v/>
      </c>
      <c r="K80" s="9">
        <f>IFERROR(E80/$B$80*100,"")</f>
        <v/>
      </c>
      <c r="L80" s="9">
        <f>IFERROR(F80/$B$80*100,"")</f>
        <v/>
      </c>
    </row>
    <row r="81" ht="16" customHeight="1">
      <c r="A81" s="7" t="inlineStr">
        <is>
          <t>Passiver</t>
        </is>
      </c>
      <c r="B81" s="8">
        <f>'balance_raw_66365328'!$B$59</f>
        <v/>
      </c>
      <c r="C81" s="8">
        <f>'balance_raw_66365328'!$C$59</f>
        <v/>
      </c>
      <c r="D81" s="8">
        <f>'balance_raw_66365328'!$D$59</f>
        <v/>
      </c>
      <c r="E81" s="8">
        <f>'balance_raw_66365328'!$E$59</f>
        <v/>
      </c>
      <c r="F81" s="8">
        <f>'balance_raw_66365328'!$F$59</f>
        <v/>
      </c>
      <c r="G81" t="inlineStr"/>
      <c r="H81" s="9">
        <f>IFERROR(B81/$B$81*100,"")</f>
        <v/>
      </c>
      <c r="I81" s="9">
        <f>IFERROR(C81/$B$81*100,"")</f>
        <v/>
      </c>
      <c r="J81" s="9">
        <f>IFERROR(D81/$B$81*100,"")</f>
        <v/>
      </c>
      <c r="K81" s="9">
        <f>IFERROR(E81/$B$81*100,"")</f>
        <v/>
      </c>
      <c r="L81" s="9">
        <f>IFERROR(F81/$B$81*100,"")</f>
        <v/>
      </c>
    </row>
    <row r="83" ht="22" customHeight="1">
      <c r="A83" s="3" t="inlineStr">
        <is>
          <t>NØGLEOPLYSNINGER</t>
        </is>
      </c>
      <c r="B83" s="3" t="n">
        <v>2021</v>
      </c>
      <c r="C83" s="3" t="n">
        <v>2022</v>
      </c>
      <c r="D83" s="3" t="n">
        <v>2023</v>
      </c>
      <c r="E83" s="3" t="n">
        <v>2024</v>
      </c>
      <c r="F83" s="3" t="n">
        <v>2025</v>
      </c>
    </row>
    <row r="84" ht="16" customHeight="1">
      <c r="A84" s="4" t="inlineStr">
        <is>
          <t>Gns. antal medarbejdere</t>
        </is>
      </c>
      <c r="B84" s="5">
        <f>'res_raw_66365328'!$B$18</f>
        <v/>
      </c>
      <c r="C84" s="5">
        <f>'res_raw_66365328'!$C$18</f>
        <v/>
      </c>
      <c r="D84" s="5">
        <f>'res_raw_66365328'!$D$18</f>
        <v/>
      </c>
      <c r="E84" s="5">
        <f>'res_raw_66365328'!$E$18</f>
        <v/>
      </c>
      <c r="F84" s="5">
        <f>'res_raw_66365328'!$F$18</f>
        <v/>
      </c>
      <c r="G84" t="inlineStr"/>
      <c r="H84" s="6">
        <f>IFERROR(B84/$B$84*100,"")</f>
        <v/>
      </c>
      <c r="I84" s="6">
        <f>IFERROR(C84/$B$84*100,"")</f>
        <v/>
      </c>
      <c r="J84" s="6">
        <f>IFERROR(D84/$B$84*100,"")</f>
        <v/>
      </c>
      <c r="K84" s="6">
        <f>IFERROR(E84/$B$84*100,"")</f>
        <v/>
      </c>
      <c r="L84" s="6">
        <f>IFERROR(F84/$B$84*100,"")</f>
        <v/>
      </c>
    </row>
    <row r="85" ht="16" customHeight="1">
      <c r="A85" s="10" t="inlineStr">
        <is>
          <t>Investering i materielle anlægsaktiver</t>
        </is>
      </c>
      <c r="B85" s="11">
        <f>'res_raw_66365328'!$B$19</f>
        <v/>
      </c>
      <c r="C85" s="11">
        <f>'res_raw_66365328'!$C$19</f>
        <v/>
      </c>
      <c r="D85" s="11">
        <f>'res_raw_66365328'!$D$19</f>
        <v/>
      </c>
      <c r="E85" s="11">
        <f>'res_raw_66365328'!$E$19</f>
        <v/>
      </c>
      <c r="F85" s="11">
        <f>'res_raw_66365328'!$F$19</f>
        <v/>
      </c>
      <c r="G85" t="inlineStr"/>
      <c r="H85" s="12">
        <f>IFERROR(B85/$B$85*100,"")</f>
        <v/>
      </c>
      <c r="I85" s="12">
        <f>IFERROR(C85/$B$85*100,"")</f>
        <v/>
      </c>
      <c r="J85" s="12">
        <f>IFERROR(D85/$B$85*100,"")</f>
        <v/>
      </c>
      <c r="K85" s="12">
        <f>IFERROR(E85/$B$85*100,"")</f>
        <v/>
      </c>
      <c r="L85" s="12">
        <f>IFERROR(F85/$B$85*100,"")</f>
        <v/>
      </c>
    </row>
    <row r="87" ht="22" customHeight="1">
      <c r="A87" s="3" t="inlineStr">
        <is>
          <t>NØGLETAL</t>
        </is>
      </c>
      <c r="B87" s="3" t="n">
        <v>2021</v>
      </c>
      <c r="C87" s="3" t="n">
        <v>2022</v>
      </c>
      <c r="D87" s="3" t="n">
        <v>2023</v>
      </c>
      <c r="E87" s="3" t="n">
        <v>2024</v>
      </c>
      <c r="F87" s="3" t="n">
        <v>2025</v>
      </c>
    </row>
    <row r="88" ht="16" customHeight="1">
      <c r="A88" s="4" t="inlineStr">
        <is>
          <t>Afkastningsgrad, %</t>
        </is>
      </c>
      <c r="B88" s="13">
        <f>IFERROR(($B$12+$B$14+$B$13)/$B$51*100,"")</f>
        <v/>
      </c>
      <c r="C88" s="13">
        <f>IFERROR(($C$12+$C$14+$C$13)/$C$51*100,"")</f>
        <v/>
      </c>
      <c r="D88" s="13">
        <f>IFERROR(($D$12+$D$14+$D$13)/$D$51*100,"")</f>
        <v/>
      </c>
      <c r="E88" s="13">
        <f>IFERROR(($E$12+$E$14+$E$13)/$E$51*100,"")</f>
        <v/>
      </c>
      <c r="F88" s="13">
        <f>IFERROR(($F$12+$F$14+$F$13)/$F$51*100,"")</f>
        <v/>
      </c>
    </row>
    <row r="89" ht="16" customHeight="1">
      <c r="A89" s="10" t="inlineStr">
        <is>
          <t>Overskudsgrad, %</t>
        </is>
      </c>
      <c r="B89" s="14">
        <f>IFERROR(($B$12+$B$14+$B$13)/$B$4*100,"")</f>
        <v/>
      </c>
      <c r="C89" s="14">
        <f>IFERROR(($C$12+$C$14+$C$13)/$C$4*100,"")</f>
        <v/>
      </c>
      <c r="D89" s="14">
        <f>IFERROR(($D$12+$D$14+$D$13)/$D$4*100,"")</f>
        <v/>
      </c>
      <c r="E89" s="14">
        <f>IFERROR(($E$12+$E$14+$E$13)/$E$4*100,"")</f>
        <v/>
      </c>
      <c r="F89" s="14">
        <f>IFERROR(($F$12+$F$14+$F$13)/$F$4*100,"")</f>
        <v/>
      </c>
    </row>
    <row r="90" ht="16" customHeight="1">
      <c r="A90" s="4" t="inlineStr">
        <is>
          <t>Aktivernes omsætningshastighed, gange</t>
        </is>
      </c>
      <c r="B90" s="13">
        <f>IFERROR($B$4/$B$51,"")</f>
        <v/>
      </c>
      <c r="C90" s="13">
        <f>IFERROR($C$4/$C$51,"")</f>
        <v/>
      </c>
      <c r="D90" s="13">
        <f>IFERROR($D$4/$D$51,"")</f>
        <v/>
      </c>
      <c r="E90" s="13">
        <f>IFERROR($E$4/$E$51,"")</f>
        <v/>
      </c>
      <c r="F90" s="13">
        <f>IFERROR($F$4/$F$51,"")</f>
        <v/>
      </c>
    </row>
    <row r="91" ht="16" customHeight="1">
      <c r="A91" s="10" t="inlineStr">
        <is>
          <t>Egenkapitalens forrentning, %</t>
        </is>
      </c>
      <c r="B91" s="14">
        <f>IFERROR($B$17/$B$60*100,"")</f>
        <v/>
      </c>
      <c r="C91" s="14">
        <f>IFERROR($C$17/$C$60*100,"")</f>
        <v/>
      </c>
      <c r="D91" s="14">
        <f>IFERROR($D$17/$D$60*100,"")</f>
        <v/>
      </c>
      <c r="E91" s="14">
        <f>IFERROR($E$17/$E$60*100,"")</f>
        <v/>
      </c>
      <c r="F91" s="14">
        <f>IFERROR($F$17/$F$60*100,"")</f>
        <v/>
      </c>
    </row>
    <row r="92" ht="16" customHeight="1">
      <c r="A92" s="4" t="inlineStr">
        <is>
          <t>Gældsrente, %</t>
        </is>
      </c>
      <c r="B92" s="13">
        <f>IFERROR($B$15/($B$81-$B$60)*100,"")</f>
        <v/>
      </c>
      <c r="C92" s="13">
        <f>IFERROR($C$15/($C$81-$C$60)*100,"")</f>
        <v/>
      </c>
      <c r="D92" s="13">
        <f>IFERROR($D$15/($D$81-$D$60)*100,"")</f>
        <v/>
      </c>
      <c r="E92" s="13">
        <f>IFERROR($E$15/($E$81-$E$60)*100,"")</f>
        <v/>
      </c>
      <c r="F92" s="13">
        <f>IFERROR($F$15/($F$81-$F$60)*100,"")</f>
        <v/>
      </c>
    </row>
    <row r="93" ht="16" customHeight="1">
      <c r="A93" s="10" t="inlineStr">
        <is>
          <t>Soliditetsgrad, %</t>
        </is>
      </c>
      <c r="B93" s="14">
        <f>IFERROR($B$60/$B$51*100,"")</f>
        <v/>
      </c>
      <c r="C93" s="14">
        <f>IFERROR($C$60/$C$51*100,"")</f>
        <v/>
      </c>
      <c r="D93" s="14">
        <f>IFERROR($D$60/$D$51*100,"")</f>
        <v/>
      </c>
      <c r="E93" s="14">
        <f>IFERROR($E$60/$E$51*100,"")</f>
        <v/>
      </c>
      <c r="F93" s="14">
        <f>IFERROR($F$60/$F$51*100,"")</f>
        <v/>
      </c>
    </row>
    <row r="94" ht="16" customHeight="1">
      <c r="A94" s="4" t="inlineStr">
        <is>
          <t>Gearing</t>
        </is>
      </c>
      <c r="B94" s="13">
        <f>IFERROR(($B$81-$B$60)/$B$60,"")</f>
        <v/>
      </c>
      <c r="C94" s="13">
        <f>IFERROR(($C$81-$C$60)/$C$60,"")</f>
        <v/>
      </c>
      <c r="D94" s="13">
        <f>IFERROR(($D$81-$D$60)/$D$60,"")</f>
        <v/>
      </c>
      <c r="E94" s="13">
        <f>IFERROR(($E$81-$E$60)/$E$60,"")</f>
        <v/>
      </c>
      <c r="F94" s="13">
        <f>IFERROR(($F$81-$F$60)/$F$60,"")</f>
        <v/>
      </c>
    </row>
    <row r="95" ht="16" customHeight="1">
      <c r="A95" s="10" t="inlineStr">
        <is>
          <t>Likviditetsgrad, %</t>
        </is>
      </c>
      <c r="B95" s="14">
        <f>IFERROR($B$50/$B$79*100,"")</f>
        <v/>
      </c>
      <c r="C95" s="14">
        <f>IFERROR($C$50/$C$79*100,"")</f>
        <v/>
      </c>
      <c r="D95" s="14">
        <f>IFERROR($D$50/$D$79*100,"")</f>
        <v/>
      </c>
      <c r="E95" s="14">
        <f>IFERROR($E$50/$E$79*100,"")</f>
        <v/>
      </c>
      <c r="F95" s="14">
        <f>IFERROR($F$50/$F$79*100,"")</f>
        <v/>
      </c>
    </row>
    <row r="96" ht="16" customHeight="1">
      <c r="A96" s="4" t="inlineStr">
        <is>
          <t>Rentemarginal, %</t>
        </is>
      </c>
      <c r="B96" s="13">
        <f>IFERROR(B88-B92,"")</f>
        <v/>
      </c>
      <c r="C96" s="13">
        <f>IFERROR(C88-C92,"")</f>
        <v/>
      </c>
      <c r="D96" s="13">
        <f>IFERROR(D88-D92,"")</f>
        <v/>
      </c>
      <c r="E96" s="13">
        <f>IFERROR(E88-E92,"")</f>
        <v/>
      </c>
      <c r="F96" s="13">
        <f>IFERROR(F88-F92,"")</f>
        <v/>
      </c>
    </row>
    <row r="97" ht="16" customHeight="1">
      <c r="A97" s="10" t="inlineStr">
        <is>
          <t>Gældsandel, %</t>
        </is>
      </c>
      <c r="B97" s="14">
        <f>IFERROR(($B$81-$B$60)/$B$51*100,"")</f>
        <v/>
      </c>
      <c r="C97" s="14">
        <f>IFERROR(($C$81-$C$60)/$C$51*100,"")</f>
        <v/>
      </c>
      <c r="D97" s="14">
        <f>IFERROR(($D$81-$D$60)/$D$51*100,"")</f>
        <v/>
      </c>
      <c r="E97" s="14">
        <f>IFERROR(($E$81-$E$60)/$E$51*100,"")</f>
        <v/>
      </c>
      <c r="F97" s="14">
        <f>IFERROR(($F$81-$F$60)/$F$51*100,"")</f>
        <v/>
      </c>
    </row>
    <row r="98" ht="16" customHeight="1">
      <c r="A98" s="4" t="inlineStr">
        <is>
          <t>Kapitalbindingsgrad, %</t>
        </is>
      </c>
      <c r="B98" s="13">
        <f>IFERROR($B$35/($B$60+$B$67)*100,"")</f>
        <v/>
      </c>
      <c r="C98" s="13">
        <f>IFERROR($C$35/($C$60+$C$67)*100,"")</f>
        <v/>
      </c>
      <c r="D98" s="13">
        <f>IFERROR($D$35/($D$60+$D$67)*100,"")</f>
        <v/>
      </c>
      <c r="E98" s="13">
        <f>IFERROR($E$35/($E$60+$E$67)*100,"")</f>
        <v/>
      </c>
      <c r="F98" s="13">
        <f>IFERROR($F$35/($F$60+$F$67)*100,"")</f>
        <v/>
      </c>
    </row>
    <row r="100">
      <c r="A100" s="15" t="inlineStr">
        <is>
          <t>PENGESTRØMSOPGØRELSE t.kr.</t>
        </is>
      </c>
    </row>
    <row r="101">
      <c r="A101" s="16" t="inlineStr">
        <is>
          <t>Pengestrømme fra driftsaktivitet</t>
        </is>
      </c>
      <c r="B101" s="17">
        <f>'pengestrom_raw_66365328'!$B$2</f>
        <v/>
      </c>
      <c r="C101" s="17">
        <f>'pengestrom_raw_66365328'!$C$2</f>
        <v/>
      </c>
      <c r="D101" s="17">
        <f>'pengestrom_raw_66365328'!$D$2</f>
        <v/>
      </c>
      <c r="E101" s="17">
        <f>'pengestrom_raw_66365328'!$E$2</f>
        <v/>
      </c>
      <c r="F101" s="17">
        <f>'pengestrom_raw_66365328'!$F$2</f>
        <v/>
      </c>
    </row>
    <row r="102">
      <c r="A102" s="16" t="inlineStr">
        <is>
          <t>Pengestrømme fra investeringsaktivitet</t>
        </is>
      </c>
      <c r="B102" s="17">
        <f>'pengestrom_raw_66365328'!$B$3</f>
        <v/>
      </c>
      <c r="C102" s="17">
        <f>'pengestrom_raw_66365328'!$C$3</f>
        <v/>
      </c>
      <c r="D102" s="17">
        <f>'pengestrom_raw_66365328'!$D$3</f>
        <v/>
      </c>
      <c r="E102" s="17">
        <f>'pengestrom_raw_66365328'!$E$3</f>
        <v/>
      </c>
      <c r="F102" s="17">
        <f>'pengestrom_raw_66365328'!$F$3</f>
        <v/>
      </c>
    </row>
    <row r="103">
      <c r="A103" s="16" t="inlineStr">
        <is>
          <t>Pengestrømme fra finansieringsaktivitet</t>
        </is>
      </c>
      <c r="B103" s="17">
        <f>'pengestrom_raw_66365328'!$B$4</f>
        <v/>
      </c>
      <c r="C103" s="17">
        <f>'pengestrom_raw_66365328'!$C$4</f>
        <v/>
      </c>
      <c r="D103" s="17">
        <f>'pengestrom_raw_66365328'!$D$4</f>
        <v/>
      </c>
      <c r="E103" s="17">
        <f>'pengestrom_raw_66365328'!$E$4</f>
        <v/>
      </c>
      <c r="F103" s="17">
        <f>'pengestrom_raw_66365328'!$F$4</f>
        <v/>
      </c>
    </row>
    <row r="104">
      <c r="A104" s="16" t="inlineStr">
        <is>
          <t>Årets pengestrøm (rapporteret)</t>
        </is>
      </c>
      <c r="B104" s="17">
        <f>'pengestrom_raw_66365328'!$B$5</f>
        <v/>
      </c>
      <c r="C104" s="17">
        <f>'pengestrom_raw_66365328'!$C$5</f>
        <v/>
      </c>
      <c r="D104" s="17">
        <f>'pengestrom_raw_66365328'!$D$5</f>
        <v/>
      </c>
      <c r="E104" s="17">
        <f>'pengestrom_raw_66365328'!$E$5</f>
        <v/>
      </c>
      <c r="F104" s="17">
        <f>'pengestrom_raw_66365328'!$F$5</f>
        <v/>
      </c>
    </row>
    <row r="105">
      <c r="A105" s="16" t="inlineStr">
        <is>
          <t>Krydstjek: drift + inv. + fin. = årets pengestrøm</t>
        </is>
      </c>
      <c r="B105">
        <f>IF(ABS(('pengestrom_raw_66365328'!$B$2+'pengestrom_raw_66365328'!$B$3+'pengestrom_raw_66365328'!$B$4)-'pengestrom_raw_66365328'!$B$5)&lt;=2,"✓","⚠ "&amp;TEXT(('pengestrom_raw_66365328'!$B$2+'pengestrom_raw_66365328'!$B$3+'pengestrom_raw_66365328'!$B$4)-'pengestrom_raw_66365328'!$B$5,"+#,##0;-#,##0"))</f>
        <v/>
      </c>
      <c r="C105">
        <f>IF(ABS(('pengestrom_raw_66365328'!$C$2+'pengestrom_raw_66365328'!$C$3+'pengestrom_raw_66365328'!$C$4)-'pengestrom_raw_66365328'!$C$5)&lt;=2,"✓","⚠ "&amp;TEXT(('pengestrom_raw_66365328'!$C$2+'pengestrom_raw_66365328'!$C$3+'pengestrom_raw_66365328'!$C$4)-'pengestrom_raw_66365328'!$C$5,"+#,##0;-#,##0"))</f>
        <v/>
      </c>
      <c r="D105">
        <f>IF(ABS(('pengestrom_raw_66365328'!$D$2+'pengestrom_raw_66365328'!$D$3+'pengestrom_raw_66365328'!$D$4)-'pengestrom_raw_66365328'!$D$5)&lt;=2,"✓","⚠ "&amp;TEXT(('pengestrom_raw_66365328'!$D$2+'pengestrom_raw_66365328'!$D$3+'pengestrom_raw_66365328'!$D$4)-'pengestrom_raw_66365328'!$D$5,"+#,##0;-#,##0"))</f>
        <v/>
      </c>
      <c r="E105">
        <f>IF(ABS(('pengestrom_raw_66365328'!$E$2+'pengestrom_raw_66365328'!$E$3+'pengestrom_raw_66365328'!$E$4)-'pengestrom_raw_66365328'!$E$5)&lt;=2,"✓","⚠ "&amp;TEXT(('pengestrom_raw_66365328'!$E$2+'pengestrom_raw_66365328'!$E$3+'pengestrom_raw_66365328'!$E$4)-'pengestrom_raw_66365328'!$E$5,"+#,##0;-#,##0"))</f>
        <v/>
      </c>
      <c r="F105">
        <f>IF(ABS(('pengestrom_raw_66365328'!$F$2+'pengestrom_raw_66365328'!$F$3+'pengestrom_raw_66365328'!$F$4)-'pengestrom_raw_66365328'!$F$5)&lt;=2,"✓","⚠ "&amp;TEXT(('pengestrom_raw_66365328'!$F$2+'pengestrom_raw_66365328'!$F$3+'pengestrom_raw_66365328'!$F$4)-'pengestrom_raw_66365328'!$F$5,"+#,##0;-#,##0"))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LINAK A/S (CVR 66365328)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4021534</v>
      </c>
      <c r="C2" s="17" t="n">
        <v>4843024</v>
      </c>
      <c r="D2" s="17" t="n">
        <v>4639892</v>
      </c>
      <c r="E2" s="17" t="n">
        <v>4122711</v>
      </c>
      <c r="F2" s="17" t="n">
        <v>4196332</v>
      </c>
    </row>
    <row r="3">
      <c r="A3" s="16" t="inlineStr">
        <is>
          <t>Produktionsomkostninger</t>
        </is>
      </c>
      <c r="B3" s="17" t="n">
        <v>2861567</v>
      </c>
      <c r="C3" s="17" t="n">
        <v>3489216</v>
      </c>
      <c r="D3" s="17" t="n">
        <v>3396374</v>
      </c>
      <c r="E3" s="17" t="n">
        <v>3082723</v>
      </c>
      <c r="F3" s="17" t="n">
        <v>3123216</v>
      </c>
    </row>
    <row r="4">
      <c r="A4" s="15" t="inlineStr">
        <is>
          <t>Bruttoresultat</t>
        </is>
      </c>
      <c r="B4" s="17" t="n">
        <v>1159968</v>
      </c>
      <c r="C4" s="17" t="n">
        <v>1353808</v>
      </c>
      <c r="D4" s="17" t="n">
        <v>1243518</v>
      </c>
      <c r="E4" s="17" t="n">
        <v>1039989</v>
      </c>
      <c r="F4" s="17" t="n">
        <v>1073116</v>
      </c>
    </row>
    <row r="5">
      <c r="A5" s="16" t="inlineStr">
        <is>
          <t>Udviklingsomkostninger</t>
        </is>
      </c>
      <c r="B5" s="17" t="n"/>
      <c r="C5" s="17" t="n"/>
      <c r="D5" s="17" t="n"/>
      <c r="E5" s="17" t="n"/>
      <c r="F5" s="17" t="n"/>
    </row>
    <row r="6">
      <c r="A6" s="16" t="inlineStr">
        <is>
          <t>Salgs- og distributionsomkostninger</t>
        </is>
      </c>
      <c r="B6" s="17" t="n">
        <v>357706</v>
      </c>
      <c r="C6" s="17" t="n">
        <v>398404</v>
      </c>
      <c r="D6" s="17" t="n">
        <v>425170</v>
      </c>
      <c r="E6" s="17" t="n">
        <v>379049</v>
      </c>
      <c r="F6" s="17" t="n">
        <v>413124</v>
      </c>
    </row>
    <row r="7">
      <c r="A7" s="16" t="inlineStr">
        <is>
          <t>Administrationsomkostninger</t>
        </is>
      </c>
      <c r="B7" s="17" t="n">
        <v>224974</v>
      </c>
      <c r="C7" s="17" t="n">
        <v>254859</v>
      </c>
      <c r="D7" s="17" t="n">
        <v>263970</v>
      </c>
      <c r="E7" s="17" t="n">
        <v>254046</v>
      </c>
      <c r="F7" s="17" t="n">
        <v>277453</v>
      </c>
    </row>
    <row r="8">
      <c r="A8" s="16" t="inlineStr">
        <is>
          <t>Andre driftsindtægter</t>
        </is>
      </c>
      <c r="B8" s="17" t="n">
        <v>253</v>
      </c>
      <c r="C8" s="17" t="n">
        <v>230</v>
      </c>
      <c r="D8" s="17" t="n">
        <v>3301</v>
      </c>
      <c r="E8" s="17" t="n">
        <v>577</v>
      </c>
      <c r="F8" s="17" t="n">
        <v>2719</v>
      </c>
    </row>
    <row r="9">
      <c r="A9" s="16" t="inlineStr">
        <is>
          <t>Andre driftsomkostninger</t>
        </is>
      </c>
      <c r="B9" s="17" t="n">
        <v>34</v>
      </c>
      <c r="C9" s="17" t="n">
        <v>282</v>
      </c>
      <c r="D9" s="17" t="n">
        <v>13</v>
      </c>
      <c r="E9" s="17" t="n">
        <v>203</v>
      </c>
      <c r="F9" s="17" t="n">
        <v>44</v>
      </c>
    </row>
    <row r="10">
      <c r="A10" s="15" t="inlineStr">
        <is>
          <t>Resultat af primær drift</t>
        </is>
      </c>
      <c r="B10" s="17" t="n">
        <v>577507</v>
      </c>
      <c r="C10" s="17" t="n">
        <v>700493</v>
      </c>
      <c r="D10" s="17" t="n">
        <v>557667</v>
      </c>
      <c r="E10" s="17" t="n">
        <v>407268</v>
      </c>
      <c r="F10" s="17" t="n">
        <v>385214</v>
      </c>
    </row>
    <row r="11">
      <c r="A11" s="16" t="inlineStr">
        <is>
          <t>Indtægter af kapitalandele, dattervirksomheder</t>
        </is>
      </c>
      <c r="B11" s="17" t="n">
        <v>0</v>
      </c>
      <c r="C11" s="17" t="n">
        <v>0</v>
      </c>
      <c r="D11" s="17" t="n">
        <v>0</v>
      </c>
      <c r="E11" s="17" t="n">
        <v>0</v>
      </c>
      <c r="F11" s="17" t="n">
        <v>0</v>
      </c>
    </row>
    <row r="12">
      <c r="A12" s="16" t="inlineStr">
        <is>
          <t>Finansielle indtægter</t>
        </is>
      </c>
      <c r="B12" s="17" t="n">
        <v>9183</v>
      </c>
      <c r="C12" s="17" t="n">
        <v>70714</v>
      </c>
      <c r="D12" s="17" t="n">
        <v>18055</v>
      </c>
      <c r="E12" s="17" t="n">
        <v>26164</v>
      </c>
      <c r="F12" s="17" t="n">
        <v>23937</v>
      </c>
    </row>
    <row r="13">
      <c r="A13" s="16" t="inlineStr">
        <is>
          <t>Finansielle omkostninger</t>
        </is>
      </c>
      <c r="B13" s="17" t="n">
        <v>43048</v>
      </c>
      <c r="C13" s="17" t="n">
        <v>11437</v>
      </c>
      <c r="D13" s="17" t="n">
        <v>56596</v>
      </c>
      <c r="E13" s="17" t="n">
        <v>23894</v>
      </c>
      <c r="F13" s="17" t="n">
        <v>58277</v>
      </c>
    </row>
    <row r="14">
      <c r="A14" s="15" t="inlineStr">
        <is>
          <t>Finansielle poster, netto</t>
        </is>
      </c>
      <c r="B14" s="17" t="n">
        <v>-33866</v>
      </c>
      <c r="C14" s="17" t="n">
        <v>59277</v>
      </c>
      <c r="D14" s="17" t="n">
        <v>-38541</v>
      </c>
      <c r="E14" s="17" t="n"/>
      <c r="F14" s="17" t="n"/>
    </row>
    <row r="15">
      <c r="A15" s="15" t="inlineStr">
        <is>
          <t>Resultat før skat</t>
        </is>
      </c>
      <c r="B15" s="17" t="n">
        <v>543641</v>
      </c>
      <c r="C15" s="17" t="n">
        <v>759770</v>
      </c>
      <c r="D15" s="17" t="n">
        <v>519126</v>
      </c>
      <c r="E15" s="17" t="n">
        <v>409538</v>
      </c>
      <c r="F15" s="17" t="n">
        <v>350874</v>
      </c>
    </row>
    <row r="16">
      <c r="A16" s="16" t="inlineStr">
        <is>
          <t>Skat af årets resultat</t>
        </is>
      </c>
      <c r="B16" s="17" t="n">
        <v>99269</v>
      </c>
      <c r="C16" s="17" t="n">
        <v>169743</v>
      </c>
      <c r="D16" s="17" t="n">
        <v>124429</v>
      </c>
      <c r="E16" s="17" t="n">
        <v>91584</v>
      </c>
      <c r="F16" s="17" t="n">
        <v>78366</v>
      </c>
    </row>
    <row r="17">
      <c r="A17" s="15" t="inlineStr">
        <is>
          <t>Årets resultat</t>
        </is>
      </c>
      <c r="B17" s="17" t="n">
        <v>444372</v>
      </c>
      <c r="C17" s="17" t="n">
        <v>590027</v>
      </c>
      <c r="D17" s="17" t="n">
        <v>394697</v>
      </c>
      <c r="E17" s="17" t="n">
        <v>317954</v>
      </c>
      <c r="F17" s="17" t="n">
        <v>272508</v>
      </c>
    </row>
    <row r="18">
      <c r="A18" s="16" t="inlineStr">
        <is>
          <t>Gns. antal medarbejdere</t>
        </is>
      </c>
      <c r="B18" s="17" t="n">
        <v>2327</v>
      </c>
      <c r="C18" s="17" t="n">
        <v>2510</v>
      </c>
      <c r="D18" s="17" t="n">
        <v>2397</v>
      </c>
      <c r="E18" s="17" t="n">
        <v>2257</v>
      </c>
      <c r="F18" s="17" t="n">
        <v>2345</v>
      </c>
    </row>
    <row r="19">
      <c r="A19" s="16" t="inlineStr">
        <is>
          <t>Investering i materielle anlægsaktiver</t>
        </is>
      </c>
      <c r="B19" s="17" t="n">
        <v>-265046</v>
      </c>
      <c r="C19" s="17" t="n">
        <v>-281432</v>
      </c>
      <c r="D19" s="17" t="n">
        <v>-347927</v>
      </c>
      <c r="E19" s="17" t="n"/>
      <c r="F19" s="1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LINAK A/S (CVR 66365328)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>
        <v>12178</v>
      </c>
      <c r="C2" s="17" t="n">
        <v>13261</v>
      </c>
      <c r="D2" s="17" t="n">
        <v>12028</v>
      </c>
      <c r="E2" s="17" t="n">
        <v>17307</v>
      </c>
      <c r="F2" s="17" t="n">
        <v>23528</v>
      </c>
    </row>
    <row r="3">
      <c r="A3" s="16" t="inlineStr">
        <is>
          <t>Patenter, varemærker mv.</t>
        </is>
      </c>
      <c r="B3" s="17" t="n"/>
      <c r="C3" s="17" t="n"/>
      <c r="D3" s="17" t="n"/>
      <c r="E3" s="17" t="n"/>
      <c r="F3" s="17" t="n"/>
    </row>
    <row r="4">
      <c r="A4" s="16" t="inlineStr">
        <is>
          <t>Goodwill</t>
        </is>
      </c>
      <c r="B4" s="17" t="n"/>
      <c r="C4" s="17" t="n"/>
      <c r="D4" s="17" t="n"/>
      <c r="E4" s="17" t="n"/>
      <c r="F4" s="17" t="n"/>
    </row>
    <row r="5">
      <c r="A5" s="15" t="inlineStr">
        <is>
          <t>Immaterielle anlægsaktiver</t>
        </is>
      </c>
      <c r="B5" s="17" t="n">
        <v>12186</v>
      </c>
      <c r="C5" s="17" t="n">
        <v>13268</v>
      </c>
      <c r="D5" s="17" t="n">
        <v>12035</v>
      </c>
      <c r="E5" s="17" t="n">
        <v>17313</v>
      </c>
      <c r="F5" s="17" t="n">
        <v>23534</v>
      </c>
    </row>
    <row r="6">
      <c r="A6" s="16" t="inlineStr">
        <is>
          <t>Grunde og bygninger</t>
        </is>
      </c>
      <c r="B6" s="17" t="n">
        <v>637874</v>
      </c>
      <c r="C6" s="17" t="n">
        <v>824258</v>
      </c>
      <c r="D6" s="17" t="n">
        <v>941355</v>
      </c>
      <c r="E6" s="17" t="n">
        <v>907554</v>
      </c>
      <c r="F6" s="17" t="n">
        <v>933652</v>
      </c>
    </row>
    <row r="7">
      <c r="A7" s="16" t="inlineStr">
        <is>
          <t>Produktionsanlæg og maskiner</t>
        </is>
      </c>
      <c r="B7" s="17" t="n">
        <v>332765</v>
      </c>
      <c r="C7" s="17" t="n">
        <v>393349</v>
      </c>
      <c r="D7" s="17" t="n">
        <v>414823</v>
      </c>
      <c r="E7" s="17" t="n">
        <v>404173</v>
      </c>
      <c r="F7" s="17" t="n">
        <v>279022</v>
      </c>
    </row>
    <row r="8">
      <c r="A8" s="16" t="inlineStr">
        <is>
          <t>Driftsmateriel og inventar</t>
        </is>
      </c>
      <c r="B8" s="17" t="n">
        <v>77062</v>
      </c>
      <c r="C8" s="17" t="n">
        <v>75184</v>
      </c>
      <c r="D8" s="17" t="n">
        <v>68629</v>
      </c>
      <c r="E8" s="17" t="n">
        <v>67203</v>
      </c>
      <c r="F8" s="17" t="n">
        <v>73412</v>
      </c>
    </row>
    <row r="9">
      <c r="A9" s="16" t="inlineStr">
        <is>
          <t>Indretning af lejede lokaler</t>
        </is>
      </c>
      <c r="B9" s="17" t="n"/>
      <c r="C9" s="17" t="n"/>
      <c r="D9" s="17" t="n"/>
      <c r="E9" s="17" t="n"/>
      <c r="F9" s="17" t="n"/>
    </row>
    <row r="10">
      <c r="A10" s="16" t="inlineStr">
        <is>
          <t>Forudbetaling og anlægsaktiver under opførelse</t>
        </is>
      </c>
      <c r="B10" s="17" t="n">
        <v>123195</v>
      </c>
      <c r="C10" s="17" t="n">
        <v>0</v>
      </c>
      <c r="D10" s="17" t="n"/>
      <c r="E10" s="17" t="n"/>
      <c r="F10" s="17" t="n">
        <v>65917</v>
      </c>
    </row>
    <row r="11">
      <c r="A11" s="15" t="inlineStr">
        <is>
          <t>Materielle anlægsaktiver</t>
        </is>
      </c>
      <c r="B11" s="17" t="n">
        <v>1170896</v>
      </c>
      <c r="C11" s="17" t="n">
        <v>1292791</v>
      </c>
      <c r="D11" s="17" t="n">
        <v>1424807</v>
      </c>
      <c r="E11" s="17" t="n">
        <v>1378930</v>
      </c>
      <c r="F11" s="17" t="n">
        <v>1352003</v>
      </c>
    </row>
    <row r="12">
      <c r="A12" s="16" t="inlineStr">
        <is>
          <t>Kapitalandele, dattervirksomheder</t>
        </is>
      </c>
      <c r="B12" s="17" t="n">
        <v>0</v>
      </c>
      <c r="C12" s="17" t="n">
        <v>0</v>
      </c>
      <c r="D12" s="17" t="n">
        <v>0</v>
      </c>
      <c r="E12" s="17" t="n">
        <v>0</v>
      </c>
      <c r="F12" s="17" t="n">
        <v>0</v>
      </c>
    </row>
    <row r="13">
      <c r="A13" s="16" t="inlineStr">
        <is>
          <t>Deposita</t>
        </is>
      </c>
      <c r="B13" s="17" t="n">
        <v>0</v>
      </c>
      <c r="C13" s="17" t="n">
        <v>21110</v>
      </c>
      <c r="D13" s="17" t="n">
        <v>10993</v>
      </c>
      <c r="E13" s="17" t="n">
        <v>6099</v>
      </c>
      <c r="F13" s="17" t="n">
        <v>0</v>
      </c>
    </row>
    <row r="14">
      <c r="A14" s="15" t="inlineStr">
        <is>
          <t>Finansielle anlægsaktiver</t>
        </is>
      </c>
      <c r="B14" s="17" t="n">
        <v>3109</v>
      </c>
      <c r="C14" s="17" t="n">
        <v>24233</v>
      </c>
      <c r="D14" s="17" t="n">
        <v>14306</v>
      </c>
      <c r="E14" s="17" t="n">
        <v>9978</v>
      </c>
      <c r="F14" s="17" t="n">
        <v>4068</v>
      </c>
    </row>
    <row r="15">
      <c r="A15" s="15" t="inlineStr">
        <is>
          <t>Anlægsaktiver</t>
        </is>
      </c>
      <c r="B15" s="17" t="n">
        <v>1186191</v>
      </c>
      <c r="C15" s="17" t="n">
        <v>1330293</v>
      </c>
      <c r="D15" s="17" t="n">
        <v>1451148</v>
      </c>
      <c r="E15" s="17" t="n">
        <v>1406222</v>
      </c>
      <c r="F15" s="17" t="n">
        <v>1379606</v>
      </c>
    </row>
    <row r="16">
      <c r="A16" s="16" t="inlineStr">
        <is>
          <t>Råvarer og hjælpematerialer</t>
        </is>
      </c>
      <c r="B16" s="17" t="n">
        <v>360893</v>
      </c>
      <c r="C16" s="17" t="n">
        <v>550023</v>
      </c>
      <c r="D16" s="17" t="n">
        <v>477431</v>
      </c>
      <c r="E16" s="17" t="n">
        <v>457707</v>
      </c>
      <c r="F16" s="17" t="n">
        <v>485089</v>
      </c>
    </row>
    <row r="17">
      <c r="A17" s="16" t="inlineStr">
        <is>
          <t>Varer under fremstilling</t>
        </is>
      </c>
      <c r="B17" s="17" t="n">
        <v>15038</v>
      </c>
      <c r="C17" s="17" t="n">
        <v>22333</v>
      </c>
      <c r="D17" s="17" t="n">
        <v>23709</v>
      </c>
      <c r="E17" s="17" t="n">
        <v>24636</v>
      </c>
      <c r="F17" s="17" t="n">
        <v>30259</v>
      </c>
    </row>
    <row r="18">
      <c r="A18" s="16" t="inlineStr">
        <is>
          <t>Færdigvarer og handelsvarer</t>
        </is>
      </c>
      <c r="B18" s="17" t="n">
        <v>380740</v>
      </c>
      <c r="C18" s="17" t="n">
        <v>599233</v>
      </c>
      <c r="D18" s="17" t="n">
        <v>456496</v>
      </c>
      <c r="E18" s="17" t="n">
        <v>401701</v>
      </c>
      <c r="F18" s="17" t="n">
        <v>383177</v>
      </c>
    </row>
    <row r="19">
      <c r="A19" s="15" t="inlineStr">
        <is>
          <t>Varebeholdninger</t>
        </is>
      </c>
      <c r="B19" s="17" t="n">
        <v>756671</v>
      </c>
      <c r="C19" s="17" t="n">
        <v>1171589</v>
      </c>
      <c r="D19" s="17" t="n">
        <v>957636</v>
      </c>
      <c r="E19" s="17" t="n">
        <v>884043</v>
      </c>
      <c r="F19" s="17" t="n">
        <v>898525</v>
      </c>
    </row>
    <row r="20">
      <c r="A20" s="16" t="inlineStr">
        <is>
          <t>Tilgodehavender fra salg og tjenesteydelser</t>
        </is>
      </c>
      <c r="B20" s="17" t="n">
        <v>634825</v>
      </c>
      <c r="C20" s="17" t="n">
        <v>835969</v>
      </c>
      <c r="D20" s="17" t="n">
        <v>604952</v>
      </c>
      <c r="E20" s="17" t="n">
        <v>620425</v>
      </c>
      <c r="F20" s="17" t="n">
        <v>626522</v>
      </c>
    </row>
    <row r="21">
      <c r="A21" s="16" t="inlineStr">
        <is>
          <t>Tilgodehavender hos tilknyttede virksomheder</t>
        </is>
      </c>
      <c r="B21" s="17" t="n">
        <v>0</v>
      </c>
      <c r="C21" s="17" t="n">
        <v>0</v>
      </c>
      <c r="D21" s="17" t="n">
        <v>0</v>
      </c>
      <c r="E21" s="17" t="n">
        <v>0</v>
      </c>
      <c r="F21" s="17" t="n">
        <v>0</v>
      </c>
    </row>
    <row r="22">
      <c r="A22" s="16" t="inlineStr">
        <is>
          <t>Andre tilgodehavender</t>
        </is>
      </c>
      <c r="B22" s="17" t="n">
        <v>26311</v>
      </c>
      <c r="C22" s="17" t="n">
        <v>39873</v>
      </c>
      <c r="D22" s="17" t="n">
        <v>22758</v>
      </c>
      <c r="E22" s="17" t="n">
        <v>31169</v>
      </c>
      <c r="F22" s="17" t="n">
        <v>25863</v>
      </c>
    </row>
    <row r="23">
      <c r="A23" s="16" t="inlineStr">
        <is>
          <t>Periodeafgrænsningsposter (aktiver)</t>
        </is>
      </c>
      <c r="B23" s="17" t="n">
        <v>19497</v>
      </c>
      <c r="C23" s="17" t="n">
        <v>23376</v>
      </c>
      <c r="D23" s="17" t="n">
        <v>24344</v>
      </c>
      <c r="E23" s="17" t="n">
        <v>19446</v>
      </c>
      <c r="F23" s="17" t="n">
        <v>21304</v>
      </c>
    </row>
    <row r="24">
      <c r="A24" s="16" t="inlineStr">
        <is>
          <t>Udskudt skatteaktiv</t>
        </is>
      </c>
      <c r="B24" s="17" t="n">
        <v>17933</v>
      </c>
      <c r="C24" s="17" t="n">
        <v>22775</v>
      </c>
      <c r="D24" s="17" t="n">
        <v>22951</v>
      </c>
      <c r="E24" s="17" t="n">
        <v>33323</v>
      </c>
      <c r="F24" s="17" t="n">
        <v>42117</v>
      </c>
    </row>
    <row r="25">
      <c r="A25" s="16" t="inlineStr">
        <is>
          <t>Tilgodehavende skat hos tilknyttede virksomheder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Kortfristede skattetilgodehavender</t>
        </is>
      </c>
      <c r="B26" s="17" t="n"/>
      <c r="C26" s="17" t="n"/>
      <c r="D26" s="17" t="n"/>
      <c r="E26" s="17" t="n"/>
      <c r="F26" s="17" t="n"/>
    </row>
    <row r="27">
      <c r="A27" s="15" t="inlineStr">
        <is>
          <t>Tilgodehavender</t>
        </is>
      </c>
      <c r="B27" s="17" t="n">
        <v>698567</v>
      </c>
      <c r="C27" s="17" t="n">
        <v>921994</v>
      </c>
      <c r="D27" s="17" t="n">
        <v>675004</v>
      </c>
      <c r="E27" s="17" t="n">
        <v>704363</v>
      </c>
      <c r="F27" s="17" t="n">
        <v>715806</v>
      </c>
    </row>
    <row r="28">
      <c r="A28" s="16" t="inlineStr">
        <is>
          <t>Værdipapirer</t>
        </is>
      </c>
      <c r="B28" s="17" t="n"/>
      <c r="C28" s="17" t="n"/>
      <c r="D28" s="17" t="n"/>
      <c r="E28" s="17" t="n"/>
      <c r="F28" s="17" t="n"/>
    </row>
    <row r="29">
      <c r="A29" s="16" t="inlineStr">
        <is>
          <t>Likvide beholdninger</t>
        </is>
      </c>
      <c r="B29" s="17" t="n">
        <v>894782</v>
      </c>
      <c r="C29" s="17" t="n">
        <v>510885</v>
      </c>
      <c r="D29" s="17" t="n">
        <v>626249</v>
      </c>
      <c r="E29" s="17" t="n">
        <v>569435</v>
      </c>
      <c r="F29" s="17" t="n">
        <v>710480</v>
      </c>
    </row>
    <row r="30">
      <c r="A30" s="15" t="inlineStr">
        <is>
          <t>Omsætningsaktiver</t>
        </is>
      </c>
      <c r="B30" s="17" t="n">
        <v>2350019</v>
      </c>
      <c r="C30" s="17" t="n">
        <v>2604467</v>
      </c>
      <c r="D30" s="17" t="n">
        <v>2258889</v>
      </c>
      <c r="E30" s="17" t="n">
        <v>2157842</v>
      </c>
      <c r="F30" s="17" t="n">
        <v>2324811</v>
      </c>
    </row>
    <row r="31">
      <c r="A31" s="15" t="inlineStr">
        <is>
          <t>Aktiver</t>
        </is>
      </c>
      <c r="B31" s="17" t="n">
        <v>3536211</v>
      </c>
      <c r="C31" s="17" t="n">
        <v>3934760</v>
      </c>
      <c r="D31" s="17" t="n">
        <v>3710037</v>
      </c>
      <c r="E31" s="17" t="n">
        <v>3564064</v>
      </c>
      <c r="F31" s="17" t="n">
        <v>3704416</v>
      </c>
    </row>
    <row r="32">
      <c r="A32" s="16" t="inlineStr">
        <is>
          <t>Selskabskapital</t>
        </is>
      </c>
      <c r="B32" s="17" t="n">
        <v>100000</v>
      </c>
      <c r="C32" s="17" t="n">
        <v>100000</v>
      </c>
      <c r="D32" s="17" t="n">
        <v>100000</v>
      </c>
      <c r="E32" s="17" t="n">
        <v>100000</v>
      </c>
      <c r="F32" s="17" t="n">
        <v>100000</v>
      </c>
    </row>
    <row r="33">
      <c r="A33" s="16" t="inlineStr">
        <is>
          <t>Reserve for nettoopskrivning (indre værdis metode)</t>
        </is>
      </c>
      <c r="B33" s="17" t="n">
        <v>0</v>
      </c>
      <c r="C33" s="17" t="n">
        <v>0</v>
      </c>
      <c r="D33" s="17" t="n">
        <v>0</v>
      </c>
      <c r="E33" s="17" t="n">
        <v>0</v>
      </c>
      <c r="F33" s="17" t="n">
        <v>0</v>
      </c>
    </row>
    <row r="34">
      <c r="A34" s="16" t="inlineStr">
        <is>
          <t>Reserve for udviklingsomkostninger</t>
        </is>
      </c>
      <c r="B34" s="17" t="n"/>
      <c r="C34" s="17" t="n"/>
      <c r="D34" s="17" t="n"/>
      <c r="E34" s="17" t="n"/>
      <c r="F34" s="17" t="n"/>
    </row>
    <row r="35">
      <c r="A35" s="16" t="inlineStr">
        <is>
          <t>Reserve for sikringstransaktioner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Andre reserver</t>
        </is>
      </c>
      <c r="B36" s="17" t="n"/>
      <c r="C36" s="17" t="n"/>
      <c r="D36" s="17" t="n"/>
      <c r="E36" s="17" t="n"/>
      <c r="F36" s="17" t="n"/>
    </row>
    <row r="37">
      <c r="A37" s="16" t="inlineStr">
        <is>
          <t>Overført resultat</t>
        </is>
      </c>
      <c r="B37" s="17" t="n">
        <v>2075426</v>
      </c>
      <c r="C37" s="17" t="n">
        <v>2188894</v>
      </c>
      <c r="D37" s="17" t="n">
        <v>2083493</v>
      </c>
      <c r="E37" s="17" t="n">
        <v>2302811</v>
      </c>
      <c r="F37" s="17" t="n">
        <v>2499315</v>
      </c>
    </row>
    <row r="38">
      <c r="A38" s="15" t="inlineStr">
        <is>
          <t>Egenkapital i alt</t>
        </is>
      </c>
      <c r="B38" s="17" t="n">
        <v>2675426</v>
      </c>
      <c r="C38" s="17" t="n">
        <v>2812785</v>
      </c>
      <c r="D38" s="17" t="n">
        <v>2661148</v>
      </c>
      <c r="E38" s="17" t="n">
        <v>2482954</v>
      </c>
      <c r="F38" s="17" t="n">
        <v>2612947</v>
      </c>
    </row>
    <row r="39">
      <c r="A39" s="16" t="inlineStr">
        <is>
          <t>Hensættelse til udskudt skat</t>
        </is>
      </c>
      <c r="B39" s="17" t="n">
        <v>37266</v>
      </c>
      <c r="C39" s="17" t="n">
        <v>32163</v>
      </c>
      <c r="D39" s="17" t="n">
        <v>44888</v>
      </c>
      <c r="E39" s="17" t="n">
        <v>42050</v>
      </c>
      <c r="F39" s="17" t="n">
        <v>47907</v>
      </c>
    </row>
    <row r="40">
      <c r="A40" s="15" t="inlineStr">
        <is>
          <t>Hensatte forpligtelser</t>
        </is>
      </c>
      <c r="B40" s="17" t="n">
        <v>88627</v>
      </c>
      <c r="C40" s="17" t="n">
        <v>98570</v>
      </c>
      <c r="D40" s="17" t="n">
        <v>96539</v>
      </c>
      <c r="E40" s="17" t="n">
        <v>100515</v>
      </c>
      <c r="F40" s="17" t="n">
        <v>113087</v>
      </c>
    </row>
    <row r="41">
      <c r="A41" s="16" t="inlineStr">
        <is>
          <t>Ansvarlig lånekapital (langfristet)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Langfristede lån</t>
        </is>
      </c>
      <c r="B42" s="17" t="n"/>
      <c r="C42" s="17" t="n"/>
      <c r="D42" s="17" t="n"/>
      <c r="E42" s="17" t="n"/>
      <c r="F42" s="17" t="n"/>
    </row>
    <row r="43">
      <c r="A43" s="16" t="inlineStr">
        <is>
          <t>Leasingforpligtelser (langfristet)</t>
        </is>
      </c>
      <c r="B43" s="17" t="n"/>
      <c r="C43" s="17" t="n"/>
      <c r="D43" s="17" t="n"/>
      <c r="E43" s="17" t="n"/>
      <c r="F43" s="17" t="n"/>
    </row>
    <row r="44">
      <c r="A44" s="16" t="inlineStr">
        <is>
          <t>Anden gæld (langfristet)</t>
        </is>
      </c>
      <c r="B44" s="17" t="n">
        <v>146</v>
      </c>
      <c r="C44" s="17" t="n">
        <v>0</v>
      </c>
      <c r="D44" s="17" t="n"/>
      <c r="E44" s="17" t="n"/>
      <c r="F44" s="17" t="n"/>
    </row>
    <row r="45">
      <c r="A45" s="15" t="inlineStr">
        <is>
          <t>Langfristede gældsforpligtelser</t>
        </is>
      </c>
      <c r="B45" s="17" t="n">
        <v>146</v>
      </c>
      <c r="C45" s="17" t="n">
        <v>0</v>
      </c>
      <c r="D45" s="17" t="n">
        <v>0</v>
      </c>
      <c r="E45" s="17" t="n"/>
      <c r="F45" s="17" t="n"/>
    </row>
    <row r="46">
      <c r="A46" s="16" t="inlineStr">
        <is>
          <t>Ansvarlig lånekapital (kortfristet)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Kortfristet del af langfristede gældsforpligtelser</t>
        </is>
      </c>
      <c r="B47" s="17" t="n"/>
      <c r="C47" s="17" t="n"/>
      <c r="D47" s="17" t="n"/>
      <c r="E47" s="17" t="n"/>
      <c r="F47" s="17" t="n"/>
    </row>
    <row r="48">
      <c r="A48" s="16" t="inlineStr">
        <is>
          <t>Kreditinstitutter</t>
        </is>
      </c>
      <c r="B48" s="17" t="n"/>
      <c r="C48" s="17" t="n"/>
      <c r="D48" s="17" t="n"/>
      <c r="E48" s="17" t="n"/>
      <c r="F48" s="17" t="n"/>
    </row>
    <row r="49">
      <c r="A49" s="16" t="inlineStr">
        <is>
          <t>Leasingforpligtelser (kortfristet)</t>
        </is>
      </c>
      <c r="B49" s="17" t="n"/>
      <c r="C49" s="17" t="n"/>
      <c r="D49" s="17" t="n"/>
      <c r="E49" s="17" t="n"/>
      <c r="F49" s="17" t="n"/>
    </row>
    <row r="50">
      <c r="A50" s="16" t="inlineStr">
        <is>
          <t>Leverandører af varer og tjenesteydelser</t>
        </is>
      </c>
      <c r="B50" s="17" t="n">
        <v>250003</v>
      </c>
      <c r="C50" s="17" t="n">
        <v>329143</v>
      </c>
      <c r="D50" s="17" t="n">
        <v>215205</v>
      </c>
      <c r="E50" s="17" t="n">
        <v>233930</v>
      </c>
      <c r="F50" s="17" t="n">
        <v>201166</v>
      </c>
    </row>
    <row r="51">
      <c r="A51" s="16" t="inlineStr">
        <is>
          <t>Gæld til tilknyttede virksomheder</t>
        </is>
      </c>
      <c r="B51" s="17" t="n">
        <v>0</v>
      </c>
      <c r="C51" s="17" t="n">
        <v>255572</v>
      </c>
      <c r="D51" s="17" t="n">
        <v>438527</v>
      </c>
      <c r="E51" s="17" t="n">
        <v>464450</v>
      </c>
      <c r="F51" s="17" t="n">
        <v>467414</v>
      </c>
    </row>
    <row r="52">
      <c r="A52" s="16" t="inlineStr">
        <is>
          <t>Gæld til selskabsdeltagere og ledelse</t>
        </is>
      </c>
      <c r="B52" s="17" t="n"/>
      <c r="C52" s="17" t="n"/>
      <c r="D52" s="17" t="n"/>
      <c r="E52" s="17" t="n"/>
      <c r="F52" s="17" t="n"/>
    </row>
    <row r="53">
      <c r="A53" s="16" t="inlineStr">
        <is>
          <t>Selskabsskat</t>
        </is>
      </c>
      <c r="B53" s="17" t="n">
        <v>89749</v>
      </c>
      <c r="C53" s="17" t="n">
        <v>120745</v>
      </c>
      <c r="D53" s="17" t="n"/>
      <c r="E53" s="17" t="n"/>
      <c r="F53" s="17" t="n"/>
    </row>
    <row r="54">
      <c r="A54" s="16" t="inlineStr">
        <is>
          <t>Gæld til tilknyttede virksomheder vedr. selskabsskat</t>
        </is>
      </c>
      <c r="B54" s="17" t="n"/>
      <c r="C54" s="17" t="n"/>
      <c r="D54" s="17" t="n">
        <v>75626</v>
      </c>
      <c r="E54" s="17" t="n">
        <v>55893</v>
      </c>
      <c r="F54" s="17" t="n">
        <v>39523</v>
      </c>
    </row>
    <row r="55">
      <c r="A55" s="16" t="inlineStr">
        <is>
          <t>Anden gæld (kortfristet)</t>
        </is>
      </c>
      <c r="B55" s="17" t="n">
        <v>286928</v>
      </c>
      <c r="C55" s="17" t="n">
        <v>317946</v>
      </c>
      <c r="D55" s="17" t="n">
        <v>222992</v>
      </c>
      <c r="E55" s="17" t="n">
        <v>226322</v>
      </c>
      <c r="F55" s="17" t="n">
        <v>270279</v>
      </c>
    </row>
    <row r="56">
      <c r="A56" s="16" t="inlineStr">
        <is>
          <t>Periodeafgrænsningsposter (passiver)</t>
        </is>
      </c>
      <c r="B56" s="17" t="n"/>
      <c r="C56" s="17" t="n"/>
      <c r="D56" s="17" t="n"/>
      <c r="E56" s="17" t="n"/>
      <c r="F56" s="17" t="n"/>
    </row>
    <row r="57">
      <c r="A57" s="15" t="inlineStr">
        <is>
          <t>Kortfristede gældsforpligtelser</t>
        </is>
      </c>
      <c r="B57" s="17" t="n">
        <v>772011</v>
      </c>
      <c r="C57" s="17" t="n">
        <v>1023405</v>
      </c>
      <c r="D57" s="17" t="n">
        <v>952350</v>
      </c>
      <c r="E57" s="17" t="n">
        <v>980595</v>
      </c>
      <c r="F57" s="17" t="n">
        <v>978382</v>
      </c>
    </row>
    <row r="58">
      <c r="A58" s="15" t="inlineStr">
        <is>
          <t>Gældsforpligtelser</t>
        </is>
      </c>
      <c r="B58" s="17" t="n">
        <v>772157</v>
      </c>
      <c r="C58" s="17" t="n">
        <v>1023405</v>
      </c>
      <c r="D58" s="17" t="n">
        <v>952350</v>
      </c>
      <c r="E58" s="17" t="n">
        <v>980595</v>
      </c>
      <c r="F58" s="17" t="n">
        <v>978382</v>
      </c>
    </row>
    <row r="59">
      <c r="A59" s="15" t="inlineStr">
        <is>
          <t>Passiver</t>
        </is>
      </c>
      <c r="B59" s="17" t="n">
        <v>3536211</v>
      </c>
      <c r="C59" s="17" t="n">
        <v>3934760</v>
      </c>
      <c r="D59" s="17" t="n">
        <v>3710037</v>
      </c>
      <c r="E59" s="17" t="n">
        <v>3564064</v>
      </c>
      <c r="F59" s="17" t="n">
        <v>3704416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LINAK A/S (CVR 66365328)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735689</v>
      </c>
      <c r="C2" s="17" t="n">
        <v>233018</v>
      </c>
      <c r="D2" s="17" t="n">
        <v>988316</v>
      </c>
      <c r="E2" s="17" t="n">
        <v>594368</v>
      </c>
      <c r="F2" s="17" t="n">
        <v>390430</v>
      </c>
    </row>
    <row r="3">
      <c r="A3" s="16" t="inlineStr">
        <is>
          <t>Pengestrømme fra investeringsaktivitet</t>
        </is>
      </c>
      <c r="B3" s="17" t="n">
        <v>-275873</v>
      </c>
      <c r="C3" s="17" t="n">
        <v>-289981</v>
      </c>
      <c r="D3" s="17" t="n">
        <v>-353452</v>
      </c>
      <c r="E3" s="17" t="n">
        <v>-153866</v>
      </c>
      <c r="F3" s="17" t="n">
        <v>-106840</v>
      </c>
    </row>
    <row r="4">
      <c r="A4" s="16" t="inlineStr">
        <is>
          <t>Pengestrømme fra finansieringsaktivitet</t>
        </is>
      </c>
      <c r="B4" s="17" t="n">
        <v>-643755</v>
      </c>
      <c r="C4" s="17" t="n">
        <v>-350146</v>
      </c>
      <c r="D4" s="17" t="n">
        <v>-500000</v>
      </c>
      <c r="E4" s="17" t="n">
        <v>-500000</v>
      </c>
      <c r="F4" s="17" t="n">
        <v>-100000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LINAK A/S (CVR 66365328) — Regnskabs- og nøgletal (CVR: 66365328) — funktionsopdelt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'res_raw_66365328'!$F$2</f>
        <v/>
      </c>
      <c r="C5" s="24">
        <f>'res_raw_66365328'!$E$2</f>
        <v/>
      </c>
      <c r="D5" s="24">
        <f>'res_raw_66365328'!$D$2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-'res_raw_66365328'!$F$3</f>
        <v/>
      </c>
      <c r="C6" s="24">
        <f>-'res_raw_66365328'!$E$3</f>
        <v/>
      </c>
      <c r="D6" s="24">
        <f>-'res_raw_66365328'!$D$3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IF(ABS((SUM(B5:B6))-'res_raw_66365328'!$F$4)&lt;=2,SUM(B5:B6),'res_raw_66365328'!$F$4)</f>
        <v/>
      </c>
      <c r="C7" s="27">
        <f>IF(ABS((SUM(C5:C6))-'res_raw_66365328'!$E$4)&lt;=2,SUM(C5:C6),'res_raw_66365328'!$E$4)</f>
        <v/>
      </c>
      <c r="D7" s="27">
        <f>IF(ABS((SUM(D5:D6))-'res_raw_66365328'!$D$4)&lt;=2,SUM(D5:D6),'res_raw_66365328'!$D$4)</f>
        <v/>
      </c>
      <c r="F7" s="28" t="inlineStr">
        <is>
          <t>Beregnet: Nettoomsætning − Produktionsomkostninger. Matcher fsa:GrossResult. Er komponenterne ikke indberettet, vises rapporteret fsa:GrossResult direkte.</t>
        </is>
      </c>
    </row>
    <row r="8">
      <c r="A8" s="23" t="inlineStr">
        <is>
          <t>Udviklingsomkostninger</t>
        </is>
      </c>
      <c r="B8" s="24">
        <f>-'res_raw_66365328'!$F$5</f>
        <v/>
      </c>
      <c r="C8" s="24">
        <f>-'res_raw_66365328'!$E$5</f>
        <v/>
      </c>
      <c r="D8" s="24">
        <f>-'res_raw_66365328'!$D$5</f>
        <v/>
      </c>
      <c r="F8" s="25" t="inlineStr">
        <is>
          <t>ifrs-full:ResearchAndDevelopmentExpense (vises negativt). Udviklingsomkostninger ført i resultatet (v15_21; B&amp;O m.fl.).</t>
        </is>
      </c>
    </row>
    <row r="9">
      <c r="A9" s="23" t="inlineStr">
        <is>
          <t>Salgs- og distributionsomk.</t>
        </is>
      </c>
      <c r="B9" s="24">
        <f>-'res_raw_66365328'!$F$6</f>
        <v/>
      </c>
      <c r="C9" s="24">
        <f>-'res_raw_66365328'!$E$6</f>
        <v/>
      </c>
      <c r="D9" s="24">
        <f>-'res_raw_66365328'!$D$6</f>
        <v/>
      </c>
      <c r="F9" s="25" t="inlineStr">
        <is>
          <t>fsa:DistributionCosts (vises negativt). Marketing, salg, distribution.</t>
        </is>
      </c>
    </row>
    <row r="10">
      <c r="A10" s="23" t="inlineStr">
        <is>
          <t>Administrationsomkostninger mv.</t>
        </is>
      </c>
      <c r="B10" s="24">
        <f>-'res_raw_66365328'!$F$7</f>
        <v/>
      </c>
      <c r="C10" s="24">
        <f>-'res_raw_66365328'!$E$7</f>
        <v/>
      </c>
      <c r="D10" s="24">
        <f>-'res_raw_66365328'!$D$7</f>
        <v/>
      </c>
      <c r="F10" s="25" t="inlineStr">
        <is>
          <t>fsa:AdministrativeExpenses (vises negativt). Generel administration.</t>
        </is>
      </c>
    </row>
    <row r="11">
      <c r="A11" s="23" t="inlineStr">
        <is>
          <t>Andre driftsindtægter</t>
        </is>
      </c>
      <c r="B11" s="24">
        <f>'res_raw_66365328'!$F$8</f>
        <v/>
      </c>
      <c r="C11" s="24">
        <f>'res_raw_66365328'!$E$8</f>
        <v/>
      </c>
      <c r="D11" s="24">
        <f>'res_raw_66365328'!$D$8</f>
        <v/>
      </c>
      <c r="F11" s="25" t="inlineStr">
        <is>
          <t>fsa:OtherOperatingIncome. Sekundære driftsindtægter (huslejeindtægter, off. tilskud, avancer mv.).</t>
        </is>
      </c>
    </row>
    <row r="12">
      <c r="A12" s="26" t="inlineStr">
        <is>
          <t>Andre driftsomkostninger</t>
        </is>
      </c>
      <c r="B12" s="27">
        <f>-'res_raw_66365328'!$F$9</f>
        <v/>
      </c>
      <c r="C12" s="27">
        <f>-'res_raw_66365328'!$E$9</f>
        <v/>
      </c>
      <c r="D12" s="27">
        <f>-'res_raw_66365328'!$D$9</f>
        <v/>
      </c>
      <c r="F12" s="28" t="inlineStr">
        <is>
          <t>fsa:OtherOperatingExpenses (vises negativt). Sekundære driftsomkostninger.</t>
        </is>
      </c>
    </row>
    <row r="13">
      <c r="A13" s="29" t="inlineStr">
        <is>
          <t>Resultat af primær drift</t>
        </is>
      </c>
      <c r="B13" s="30">
        <f>IF(ABS((SUM(B7:B12))-'res_raw_66365328'!$F$10)&lt;=2,SUM(B7:B12),'res_raw_66365328'!$F$10)</f>
        <v/>
      </c>
      <c r="C13" s="30">
        <f>IF(ABS((SUM(C7:C12))-'res_raw_66365328'!$E$10)&lt;=2,SUM(C7:C12),'res_raw_66365328'!$E$10)</f>
        <v/>
      </c>
      <c r="D13" s="30">
        <f>IF(ABS((SUM(D7:D12))-'res_raw_66365328'!$D$10)&lt;=2,SUM(D7:D12),'res_raw_66365328'!$D$10)</f>
        <v/>
      </c>
      <c r="F13" s="25" t="inlineStr">
        <is>
          <t>Beregnet: Bruttoresultat − Udviklingsomk. − Salgs/dist. − Administration + Andre driftsindt. − Andre driftsomk. EBIT.</t>
        </is>
      </c>
    </row>
    <row r="14">
      <c r="A14" s="23" t="inlineStr">
        <is>
          <t>Finansielle indtægter mv.</t>
        </is>
      </c>
      <c r="B14" s="24">
        <f>N('res_raw_66365328'!$F$11)+N('res_raw_66365328'!$F$12)</f>
        <v/>
      </c>
      <c r="C14" s="24">
        <f>N('res_raw_66365328'!$E$11)+N('res_raw_66365328'!$E$12)</f>
        <v/>
      </c>
      <c r="D14" s="24">
        <f>N('res_raw_66365328'!$D$11)+N('res_raw_66365328'!$D$12)</f>
        <v/>
      </c>
      <c r="F14" s="25" t="inlineStr">
        <is>
          <t>fsa:IncomeFromSubsidiaries + fsa:OtherFinanceIncome.</t>
        </is>
      </c>
    </row>
    <row r="15">
      <c r="A15" s="26" t="inlineStr">
        <is>
          <t>Finansielle omkostninger mv.</t>
        </is>
      </c>
      <c r="B15" s="27">
        <f>-'res_raw_66365328'!$F$13</f>
        <v/>
      </c>
      <c r="C15" s="27">
        <f>-'res_raw_66365328'!$E$13</f>
        <v/>
      </c>
      <c r="D15" s="27">
        <f>-'res_raw_66365328'!$D$13</f>
        <v/>
      </c>
      <c r="F15" s="28" t="inlineStr">
        <is>
          <t>fsa:OtherFinanceExpenses (vises negativt). Renteomkostninger, kurstab.</t>
        </is>
      </c>
    </row>
    <row r="16">
      <c r="A16" s="29" t="inlineStr">
        <is>
          <t>Resultat før skat</t>
        </is>
      </c>
      <c r="B16" s="30">
        <f>IF(ABS((SUM(B13:B15))-'res_raw_66365328'!$F$15)&lt;=2,SUM(B13:B15),'res_raw_66365328'!$F$15)</f>
        <v/>
      </c>
      <c r="C16" s="30">
        <f>IF(ABS((SUM(C13:C15))-'res_raw_66365328'!$E$15)&lt;=2,SUM(C13:C15),'res_raw_66365328'!$E$15)</f>
        <v/>
      </c>
      <c r="D16" s="30">
        <f>IF(ABS((SUM(D13:D15))-'res_raw_66365328'!$D$15)&lt;=2,SUM(D13:D15),'res_raw_66365328'!$D$15)</f>
        <v/>
      </c>
      <c r="F16" s="25" t="inlineStr">
        <is>
          <t>Beregnet: EBIT + Fin. indtægter + Fin. omk. EBT.</t>
        </is>
      </c>
    </row>
    <row r="17">
      <c r="A17" s="31" t="n"/>
      <c r="B17" s="31" t="n"/>
      <c r="C17" s="31" t="n"/>
      <c r="D17" s="31" t="n"/>
      <c r="F17" s="31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'balance_raw_66365328'!$F$15</f>
        <v/>
      </c>
      <c r="C19" s="24">
        <f>'balance_raw_66365328'!$E$15</f>
        <v/>
      </c>
      <c r="D19" s="24">
        <f>'balance_raw_66365328'!$D$15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'balance_raw_66365328'!$F$30</f>
        <v/>
      </c>
      <c r="C20" s="24">
        <f>'balance_raw_66365328'!$E$30</f>
        <v/>
      </c>
      <c r="D20" s="24">
        <f>'balance_raw_66365328'!$D$30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31" t="n"/>
      <c r="B22" s="31" t="n"/>
      <c r="C22" s="31" t="n"/>
      <c r="D22" s="31" t="n"/>
      <c r="F22" s="31" t="n"/>
    </row>
    <row r="23">
      <c r="A23" s="23" t="inlineStr">
        <is>
          <t>Egenkapital</t>
        </is>
      </c>
      <c r="B23" s="24">
        <f>'balance_raw_66365328'!$F$38</f>
        <v/>
      </c>
      <c r="C23" s="24">
        <f>'balance_raw_66365328'!$E$38</f>
        <v/>
      </c>
      <c r="D23" s="24">
        <f>'balance_raw_66365328'!$D$38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'balance_raw_66365328'!$F$59-'balance_raw_66365328'!$F$38</f>
        <v/>
      </c>
      <c r="C24" s="24">
        <f>'balance_raw_66365328'!$E$59-'balance_raw_66365328'!$E$38</f>
        <v/>
      </c>
      <c r="D24" s="24">
        <f>'balance_raw_66365328'!$D$59-'balance_raw_66365328'!$D$38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31" t="n"/>
      <c r="B26" s="31" t="n"/>
      <c r="C26" s="31" t="n"/>
      <c r="D26" s="31" t="n"/>
      <c r="F26" s="31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'balance_raw_66365328'!$F$19</f>
        <v/>
      </c>
      <c r="C28" s="24">
        <f>'balance_raw_66365328'!$E$19</f>
        <v/>
      </c>
      <c r="D28" s="24">
        <f>'balance_raw_66365328'!$D$19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'balance_raw_66365328'!$F$20</f>
        <v/>
      </c>
      <c r="C29" s="24">
        <f>'balance_raw_66365328'!$E$20</f>
        <v/>
      </c>
      <c r="D29" s="24">
        <f>'balance_raw_66365328'!$D$20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'balance_raw_66365328'!$F$57</f>
        <v/>
      </c>
      <c r="C30" s="24">
        <f>'balance_raw_66365328'!$E$57</f>
        <v/>
      </c>
      <c r="D30" s="24">
        <f>'balance_raw_66365328'!$D$57</f>
        <v/>
      </c>
      <c r="F30" s="25" t="inlineStr">
        <is>
          <t>fsa:ShorttermLiabilitiesOtherThanProvisions. Gæld der forfalder inden for 1 år.</t>
        </is>
      </c>
    </row>
    <row r="31">
      <c r="A31" s="31" t="n"/>
      <c r="B31" s="31" t="n"/>
      <c r="C31" s="31" t="n"/>
      <c r="D31" s="31" t="n"/>
      <c r="F31" s="31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2">
        <f>IFERROR((B13+B14)/B21*100,"")</f>
        <v/>
      </c>
      <c r="C33" s="32">
        <f>IFERROR((C13+C14)/C21*100,"")</f>
        <v/>
      </c>
      <c r="D33" s="32">
        <f>IFERROR((D13+D14)/D21*100,"")</f>
        <v/>
      </c>
      <c r="F33" s="31" t="n"/>
    </row>
    <row r="34">
      <c r="A34" s="23" t="inlineStr">
        <is>
          <t>Overskudsgrad, %</t>
        </is>
      </c>
      <c r="B34" s="32">
        <f>IFERROR((B13+B14)/B5*100,"")</f>
        <v/>
      </c>
      <c r="C34" s="32">
        <f>IFERROR((C13+C14)/C5*100,"")</f>
        <v/>
      </c>
      <c r="D34" s="32">
        <f>IFERROR((D13+D14)/D5*100,"")</f>
        <v/>
      </c>
      <c r="F34" s="31" t="n"/>
    </row>
    <row r="35">
      <c r="A35" s="23" t="inlineStr">
        <is>
          <t>Aktivernes omsætningshastighed, gange</t>
        </is>
      </c>
      <c r="B35" s="32">
        <f>IFERROR(B5/B21,"")</f>
        <v/>
      </c>
      <c r="C35" s="32">
        <f>IFERROR(C5/C21,"")</f>
        <v/>
      </c>
      <c r="D35" s="32">
        <f>IFERROR(D5/D21,"")</f>
        <v/>
      </c>
      <c r="F35" s="31" t="n"/>
    </row>
    <row r="36">
      <c r="A36" s="23" t="inlineStr">
        <is>
          <t>Gældsrente, %</t>
        </is>
      </c>
      <c r="B36" s="32">
        <f>IFERROR(-B15*100/B24,"")</f>
        <v/>
      </c>
      <c r="C36" s="32">
        <f>IFERROR(-C15*100/C24,"")</f>
        <v/>
      </c>
      <c r="D36" s="32">
        <f>IFERROR(-D15*100/D24,"")</f>
        <v/>
      </c>
      <c r="F36" s="31" t="n"/>
    </row>
    <row r="37">
      <c r="A37" s="23" t="inlineStr">
        <is>
          <t>Egenkapitalens forrentning, %</t>
        </is>
      </c>
      <c r="B37" s="32">
        <f>IFERROR(B16/B23*100,"")</f>
        <v/>
      </c>
      <c r="C37" s="32">
        <f>IFERROR(C16/C23*100,"")</f>
        <v/>
      </c>
      <c r="D37" s="32">
        <f>IFERROR(D16/D23*100,"")</f>
        <v/>
      </c>
      <c r="F37" s="31" t="n"/>
    </row>
    <row r="38">
      <c r="A38" s="23" t="inlineStr">
        <is>
          <t>Gearing, gange</t>
        </is>
      </c>
      <c r="B38" s="32">
        <f>IFERROR(B24/B23,"")</f>
        <v/>
      </c>
      <c r="C38" s="32">
        <f>IFERROR(C24/C23,"")</f>
        <v/>
      </c>
      <c r="D38" s="32">
        <f>IFERROR(D24/D23,"")</f>
        <v/>
      </c>
      <c r="F38" s="31" t="n"/>
    </row>
    <row r="39">
      <c r="A39" s="31" t="n"/>
      <c r="B39" s="31" t="n"/>
      <c r="C39" s="31" t="n"/>
      <c r="D39" s="31" t="n"/>
      <c r="F39" s="31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3">
        <f>IFERROR(B5/$D5*100,"")</f>
        <v/>
      </c>
      <c r="C41" s="33">
        <f>IFERROR(C5/$D5*100,"")</f>
        <v/>
      </c>
      <c r="D41" s="33">
        <f>IFERROR(D5/$D5*100,"")</f>
        <v/>
      </c>
      <c r="F41" s="31" t="n"/>
    </row>
    <row r="42">
      <c r="A42" s="23" t="inlineStr">
        <is>
          <t>Produktionsomkostninger</t>
        </is>
      </c>
      <c r="B42" s="33">
        <f>IFERROR(B6/$D6*100,"")</f>
        <v/>
      </c>
      <c r="C42" s="33">
        <f>IFERROR(C6/$D6*100,"")</f>
        <v/>
      </c>
      <c r="D42" s="33">
        <f>IFERROR(D6/$D6*100,"")</f>
        <v/>
      </c>
      <c r="F42" s="31" t="n"/>
    </row>
    <row r="43">
      <c r="A43" s="23" t="inlineStr">
        <is>
          <t>Udviklingsomkostninger</t>
        </is>
      </c>
      <c r="B43" s="33">
        <f>IFERROR(B8/$D8*100,"")</f>
        <v/>
      </c>
      <c r="C43" s="33">
        <f>IFERROR(C8/$D8*100,"")</f>
        <v/>
      </c>
      <c r="D43" s="33">
        <f>IFERROR(D8/$D8*100,"")</f>
        <v/>
      </c>
      <c r="F43" s="31" t="n"/>
    </row>
    <row r="44">
      <c r="A44" s="23" t="inlineStr">
        <is>
          <t>Salgs- og distributionsomk.</t>
        </is>
      </c>
      <c r="B44" s="33">
        <f>IFERROR(B9/$D9*100,"")</f>
        <v/>
      </c>
      <c r="C44" s="33">
        <f>IFERROR(C9/$D9*100,"")</f>
        <v/>
      </c>
      <c r="D44" s="33">
        <f>IFERROR(D9/$D9*100,"")</f>
        <v/>
      </c>
      <c r="F44" s="31" t="n"/>
    </row>
    <row r="45">
      <c r="A45" s="23" t="inlineStr">
        <is>
          <t>Administrationsomk.</t>
        </is>
      </c>
      <c r="B45" s="33">
        <f>IFERROR(B10/$D10*100,"")</f>
        <v/>
      </c>
      <c r="C45" s="33">
        <f>IFERROR(C10/$D10*100,"")</f>
        <v/>
      </c>
      <c r="D45" s="33">
        <f>IFERROR(D10/$D10*100,"")</f>
        <v/>
      </c>
      <c r="F45" s="31" t="n"/>
    </row>
    <row r="46">
      <c r="A46" s="23" t="inlineStr">
        <is>
          <t>Andre driftsomkostninger</t>
        </is>
      </c>
      <c r="B46" s="33">
        <f>IFERROR(B12/$D12*100,"")</f>
        <v/>
      </c>
      <c r="C46" s="33">
        <f>IFERROR(C12/$D12*100,"")</f>
        <v/>
      </c>
      <c r="D46" s="33">
        <f>IFERROR(D12/$D12*100,"")</f>
        <v/>
      </c>
      <c r="F46" s="31" t="n"/>
    </row>
    <row r="47">
      <c r="A47" s="31" t="n"/>
      <c r="B47" s="31" t="n"/>
      <c r="C47" s="31" t="n"/>
      <c r="D47" s="31" t="n"/>
      <c r="F47" s="31" t="n"/>
    </row>
    <row r="48">
      <c r="A48" s="22" t="inlineStr">
        <is>
          <t>Indekstal for kapitaltilpasningsevne (2023=100)</t>
        </is>
      </c>
      <c r="B48" s="22" t="n"/>
      <c r="C48" s="22" t="n"/>
      <c r="D48" s="22" t="n"/>
      <c r="F48" s="22" t="n"/>
    </row>
    <row r="49">
      <c r="A49" s="23" t="inlineStr">
        <is>
          <t>Nettoomsætning</t>
        </is>
      </c>
      <c r="B49" s="33">
        <f>IFERROR(B5*100/$D5,"")</f>
        <v/>
      </c>
      <c r="C49" s="33">
        <f>IFERROR(C5*100/$D5,"")</f>
        <v/>
      </c>
      <c r="D49" s="33">
        <f>IFERROR(D5*100/$D5,"")</f>
        <v/>
      </c>
      <c r="F49" s="31" t="n"/>
    </row>
    <row r="50">
      <c r="A50" s="23" t="inlineStr">
        <is>
          <t>Anlægsaktiver</t>
        </is>
      </c>
      <c r="B50" s="33">
        <f>IFERROR(B19*100/$D19,"")</f>
        <v/>
      </c>
      <c r="C50" s="33">
        <f>IFERROR(C19*100/$D19,"")</f>
        <v/>
      </c>
      <c r="D50" s="33">
        <f>IFERROR(D19*100/$D19,"")</f>
        <v/>
      </c>
      <c r="F50" s="31" t="n"/>
    </row>
    <row r="51">
      <c r="A51" s="23" t="inlineStr">
        <is>
          <t>Varebeholdninger</t>
        </is>
      </c>
      <c r="B51" s="33">
        <f>IFERROR(B28*100/$D28,"")</f>
        <v/>
      </c>
      <c r="C51" s="33">
        <f>IFERROR(C28*100/$D28,"")</f>
        <v/>
      </c>
      <c r="D51" s="33">
        <f>IFERROR(D28*100/$D28,"")</f>
        <v/>
      </c>
      <c r="F51" s="31" t="n"/>
    </row>
    <row r="52">
      <c r="A52" s="23" t="inlineStr">
        <is>
          <t>Tilgodehavender fra salg</t>
        </is>
      </c>
      <c r="B52" s="33">
        <f>IFERROR(B29*100/$D29,"")</f>
        <v/>
      </c>
      <c r="C52" s="33">
        <f>IFERROR(C29*100/$D29,"")</f>
        <v/>
      </c>
      <c r="D52" s="33">
        <f>IFERROR(D29*100/$D29,"")</f>
        <v/>
      </c>
      <c r="F52" s="31" t="n"/>
    </row>
    <row r="53">
      <c r="A53" s="31" t="n"/>
      <c r="B53" s="31" t="n"/>
      <c r="C53" s="31" t="n"/>
      <c r="D53" s="31" t="n"/>
      <c r="F53" s="31" t="n"/>
    </row>
    <row r="54">
      <c r="A54" s="22" t="inlineStr">
        <is>
          <t>Soliditet og likviditet</t>
        </is>
      </c>
      <c r="B54" s="22" t="n"/>
      <c r="C54" s="22" t="n"/>
      <c r="D54" s="22" t="n"/>
      <c r="F54" s="22" t="n"/>
    </row>
    <row r="55">
      <c r="A55" s="23" t="inlineStr">
        <is>
          <t>Soliditetsgrad, %</t>
        </is>
      </c>
      <c r="B55" s="32">
        <f>IFERROR(B23*100/B21,"")</f>
        <v/>
      </c>
      <c r="C55" s="32">
        <f>IFERROR(C23*100/C21,"")</f>
        <v/>
      </c>
      <c r="D55" s="32">
        <f>IFERROR(D23*100/D21,"")</f>
        <v/>
      </c>
      <c r="F55" s="31" t="n"/>
    </row>
    <row r="56">
      <c r="A56" s="23" t="inlineStr">
        <is>
          <t>Gældsandel, %</t>
        </is>
      </c>
      <c r="B56" s="32">
        <f>IFERROR(B24*100/B21,"")</f>
        <v/>
      </c>
      <c r="C56" s="32">
        <f>IFERROR(C24*100/C21,"")</f>
        <v/>
      </c>
      <c r="D56" s="32">
        <f>IFERROR(D24*100/D21,"")</f>
        <v/>
      </c>
      <c r="F56" s="31" t="n"/>
    </row>
    <row r="57">
      <c r="A57" s="23" t="inlineStr">
        <is>
          <t>Likviditetsgrad, %</t>
        </is>
      </c>
      <c r="B57" s="32">
        <f>IFERROR(B20*100/B30,"")</f>
        <v/>
      </c>
      <c r="C57" s="32">
        <f>IFERROR(C20*100/C30,"")</f>
        <v/>
      </c>
      <c r="D57" s="32">
        <f>IFERROR(D20*100/D30,"")</f>
        <v/>
      </c>
      <c r="F57" s="31" t="n"/>
    </row>
    <row r="58">
      <c r="A58" s="31" t="n"/>
      <c r="B58" s="31" t="n"/>
      <c r="C58" s="31" t="n"/>
      <c r="D58" s="31" t="n"/>
      <c r="F58" s="31" t="n"/>
    </row>
    <row r="59">
      <c r="A59" s="34" t="inlineStr">
        <is>
          <t>Kilde: Bearbejdet uddrag af årsrapporter for 2023-2025. Alle dataceller er live formler der peger på res_raw / balance_raw.</t>
        </is>
      </c>
      <c r="B59" s="31" t="n"/>
      <c r="C59" s="31" t="n"/>
      <c r="D59" s="31" t="n"/>
      <c r="F59" s="31" t="n"/>
    </row>
    <row r="60">
      <c r="A60" s="31" t="n"/>
      <c r="B60" s="31" t="n"/>
      <c r="C60" s="31" t="n"/>
      <c r="D60" s="31" t="n"/>
      <c r="F60" s="31" t="n"/>
    </row>
    <row r="61">
      <c r="A61" s="22" t="inlineStr">
        <is>
          <t>Krydstjek mod rådata (tolerance: 1 t.kr.)</t>
        </is>
      </c>
      <c r="B61" s="22" t="n"/>
      <c r="C61" s="22" t="n"/>
      <c r="D61" s="22" t="n"/>
      <c r="F61" s="22" t="n"/>
    </row>
    <row r="62">
      <c r="A62" s="23" t="inlineStr">
        <is>
          <t>Aktiver i alt = fsa:Assets</t>
        </is>
      </c>
      <c r="B62" s="31">
        <f>IF('balance_raw_66365328'!$F$31="","—",IF(ABS(B21-'balance_raw_66365328'!$F$31)&lt;=1,"✓ OK","❌ "&amp;TEXT(B21-'balance_raw_66365328'!$F$31,"+#,##0;-#,##0")&amp;" t.kr."))</f>
        <v/>
      </c>
      <c r="C62" s="31">
        <f>IF('balance_raw_66365328'!$E$31="","—",IF(ABS(C21-'balance_raw_66365328'!$E$31)&lt;=1,"✓ OK","❌ "&amp;TEXT(C21-'balance_raw_66365328'!$E$31,"+#,##0;-#,##0")&amp;" t.kr."))</f>
        <v/>
      </c>
      <c r="D62" s="31">
        <f>IF('balance_raw_66365328'!$D$31="","—",IF(ABS(D21-'balance_raw_66365328'!$D$31)&lt;=1,"✓ OK","❌ "&amp;TEXT(D21-'balance_raw_66365328'!$D$31,"+#,##0;-#,##0")&amp;" t.kr."))</f>
        <v/>
      </c>
      <c r="F62" s="25" t="inlineStr">
        <is>
          <t>Verificerer at sum(Anlæg+Omsætning) matcher Assets-totalen.</t>
        </is>
      </c>
    </row>
    <row r="63">
      <c r="A63" s="23" t="inlineStr">
        <is>
          <t>Passiver i alt = fsa:LiabilitiesAndEquity</t>
        </is>
      </c>
      <c r="B63" s="31">
        <f>IF('balance_raw_66365328'!$F$59="","—",IF(ABS(B25-'balance_raw_66365328'!$F$59)&lt;=1,"✓ OK","❌ "&amp;TEXT(B25-'balance_raw_66365328'!$F$59,"+#,##0;-#,##0")&amp;" t.kr."))</f>
        <v/>
      </c>
      <c r="C63" s="31">
        <f>IF('balance_raw_66365328'!$E$59="","—",IF(ABS(C25-'balance_raw_66365328'!$E$59)&lt;=1,"✓ OK","❌ "&amp;TEXT(C25-'balance_raw_66365328'!$E$59,"+#,##0;-#,##0")&amp;" t.kr."))</f>
        <v/>
      </c>
      <c r="D63" s="31">
        <f>IF('balance_raw_66365328'!$D$59="","—",IF(ABS(D25-'balance_raw_66365328'!$D$59)&lt;=1,"✓ OK","❌ "&amp;TEXT(D25-'balance_raw_66365328'!$D$59,"+#,##0;-#,##0")&amp;" t.kr."))</f>
        <v/>
      </c>
      <c r="F63" s="25" t="inlineStr">
        <is>
          <t>Verificerer at sum(EK+Forpligtelser) matcher Passiver-totalen.</t>
        </is>
      </c>
    </row>
    <row r="64">
      <c r="A64" s="23" t="inlineStr">
        <is>
          <t>Aktiver i alt = Passiver i alt</t>
        </is>
      </c>
      <c r="B64" s="31">
        <f>IF(ABS(B21-B25)&lt;=1,"✓ OK","❌ "&amp;TEXT(B21-B25,"+#,##0;-#,##0")&amp;" t.kr.")</f>
        <v/>
      </c>
      <c r="C64" s="31">
        <f>IF(ABS(C21-C25)&lt;=1,"✓ OK","❌ "&amp;TEXT(C21-C25,"+#,##0;-#,##0")&amp;" t.kr.")</f>
        <v/>
      </c>
      <c r="D64" s="31">
        <f>IF(ABS(D21-D25)&lt;=1,"✓ OK","❌ "&amp;TEXT(D21-D25,"+#,##0;-#,##0")&amp;" t.kr.")</f>
        <v/>
      </c>
      <c r="F64" s="25" t="inlineStr">
        <is>
          <t>Balance-identitet på arket selv. Skal altid være 0 differance.</t>
        </is>
      </c>
    </row>
    <row r="65">
      <c r="A65" s="23" t="inlineStr">
        <is>
          <t>Bruttoresultat (beregnet) = fsa:GrossResult</t>
        </is>
      </c>
      <c r="B65" s="31">
        <f>IF('res_raw_66365328'!$F$4="","—",IF(ABS(B7-'res_raw_66365328'!$F$4)&lt;=1,"✓ OK","❌ "&amp;TEXT(B7-'res_raw_66365328'!$F$4,"+#,##0;-#,##0")&amp;" t.kr."))</f>
        <v/>
      </c>
      <c r="C65" s="31">
        <f>IF('res_raw_66365328'!$E$4="","—",IF(ABS(C7-'res_raw_66365328'!$E$4)&lt;=1,"✓ OK","❌ "&amp;TEXT(C7-'res_raw_66365328'!$E$4,"+#,##0;-#,##0")&amp;" t.kr."))</f>
        <v/>
      </c>
      <c r="D65" s="31">
        <f>IF('res_raw_66365328'!$D$4="","—",IF(ABS(D7-'res_raw_66365328'!$D$4)&lt;=1,"✓ OK","❌ "&amp;TEXT(D7-'res_raw_66365328'!$D$4,"+#,##0;-#,##0")&amp;" t.kr."))</f>
        <v/>
      </c>
      <c r="F65" s="25" t="inlineStr">
        <is>
          <t>Hvis Nettoomsætning eller omkostninger mangler, vil sumberegnet bruttoresultat afvige.</t>
        </is>
      </c>
    </row>
    <row r="66">
      <c r="A66" s="23" t="inlineStr">
        <is>
          <t>EBIT (beregnet) = fsa:ProfitLossFromOrdinaryOperatingActivities</t>
        </is>
      </c>
      <c r="B66" s="31">
        <f>IF('res_raw_66365328'!$F$10="","—",IF(ABS(B13-'res_raw_66365328'!$F$10)&lt;=1,"✓ OK","❌ "&amp;TEXT(B13-'res_raw_66365328'!$F$10,"+#,##0;-#,##0")&amp;" t.kr."))</f>
        <v/>
      </c>
      <c r="C66" s="31">
        <f>IF('res_raw_66365328'!$E$10="","—",IF(ABS(C13-'res_raw_66365328'!$E$10)&lt;=1,"✓ OK","❌ "&amp;TEXT(C13-'res_raw_66365328'!$E$10,"+#,##0;-#,##0")&amp;" t.kr."))</f>
        <v/>
      </c>
      <c r="D66" s="31">
        <f>IF('res_raw_66365328'!$D$10="","—",IF(ABS(D13-'res_raw_66365328'!$D$10)&lt;=1,"✓ OK","❌ "&amp;TEXT(D13-'res_raw_66365328'!$D$10,"+#,##0;-#,##0")&amp;" t.kr."))</f>
        <v/>
      </c>
      <c r="F66" s="25" t="inlineStr">
        <is>
          <t>Verificerer at sumberegnet EBIT matcher det rapporterede.</t>
        </is>
      </c>
    </row>
    <row r="67">
      <c r="A67" s="23" t="inlineStr">
        <is>
          <t>EBT (beregnet) = fsa:ProfitLossFromOrdinaryActivitiesBeforeTax</t>
        </is>
      </c>
      <c r="B67" s="31">
        <f>IF('res_raw_66365328'!$F$15="","—",IF(ABS(B16-'res_raw_66365328'!$F$15)&lt;=1,"✓ OK","❌ "&amp;TEXT(B16-'res_raw_66365328'!$F$15,"+#,##0;-#,##0")&amp;" t.kr."))</f>
        <v/>
      </c>
      <c r="C67" s="31">
        <f>IF('res_raw_66365328'!$E$15="","—",IF(ABS(C16-'res_raw_66365328'!$E$15)&lt;=1,"✓ OK","❌ "&amp;TEXT(C16-'res_raw_66365328'!$E$15,"+#,##0;-#,##0")&amp;" t.kr."))</f>
        <v/>
      </c>
      <c r="D67" s="31">
        <f>IF('res_raw_66365328'!$D$15="","—",IF(ABS(D16-'res_raw_66365328'!$D$15)&lt;=1,"✓ OK","❌ "&amp;TEXT(D16-'res_raw_66365328'!$D$15,"+#,##0;-#,##0")&amp;" t.kr."))</f>
        <v/>
      </c>
      <c r="F67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5" t="inlineStr">
        <is>
          <t>LINAK A/S (CVR 66365328)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6" t="inlineStr">
        <is>
          <t>Øvrige (ukendt)</t>
        </is>
      </c>
      <c r="B3" s="36" t="inlineStr">
        <is>
          <t>fsa:CashAndCashEquivalentsFromAcquisitionOfCompaniesAndActivitiesCostCashflow</t>
        </is>
      </c>
      <c r="C3" s="36" t="inlineStr">
        <is>
          <t>fsa:CashAndCashEquivalentsFromAcquisitionOfCompaniesAndActivitiesCostCashflow</t>
        </is>
      </c>
      <c r="D3" s="37" t="n"/>
      <c r="E3" s="37" t="n"/>
      <c r="F3" s="37" t="n"/>
      <c r="G3" s="37" t="n"/>
      <c r="H3" s="37" t="n">
        <v>6520</v>
      </c>
      <c r="I3" s="38" t="inlineStr">
        <is>
          <t>Ingen forklaring tilgængelig.</t>
        </is>
      </c>
    </row>
    <row r="4" ht="30" customHeight="1">
      <c r="A4" s="39" t="inlineStr">
        <is>
          <t>Øvrige (ukendt)</t>
        </is>
      </c>
      <c r="B4" s="39" t="inlineStr">
        <is>
          <t>fsa:Dividend</t>
        </is>
      </c>
      <c r="C4" s="39" t="inlineStr">
        <is>
          <t>fsa:Dividend</t>
        </is>
      </c>
      <c r="D4" s="40" t="n">
        <v>300000</v>
      </c>
      <c r="E4" s="40" t="n"/>
      <c r="F4" s="40" t="n"/>
      <c r="G4" s="40" t="n"/>
      <c r="H4" s="40" t="n"/>
      <c r="I4" s="41" t="inlineStr">
        <is>
          <t>Ingen forklaring tilgængelig.</t>
        </is>
      </c>
    </row>
    <row r="5" ht="30" customHeight="1">
      <c r="A5" s="36" t="inlineStr">
        <is>
          <t>Øvrige (ukendt)</t>
        </is>
      </c>
      <c r="B5" s="36" t="inlineStr">
        <is>
          <t>fsa:ProvisionsForInvestmentsInGroupEnterprises</t>
        </is>
      </c>
      <c r="C5" s="36" t="inlineStr">
        <is>
          <t>fsa:ProvisionsForInvestmentsInGroupEnterprises</t>
        </is>
      </c>
      <c r="D5" s="37" t="n"/>
      <c r="E5" s="37" t="n"/>
      <c r="F5" s="37" t="n">
        <v>44642</v>
      </c>
      <c r="G5" s="37" t="n">
        <v>50468</v>
      </c>
      <c r="H5" s="37" t="n">
        <v>56482</v>
      </c>
      <c r="I5" s="38" t="inlineStr">
        <is>
          <t>Ingen forklaring tilgængelig.</t>
        </is>
      </c>
    </row>
    <row r="6" ht="30" customHeight="1">
      <c r="A6" s="39" t="inlineStr">
        <is>
          <t>Øvrige (ukendt)</t>
        </is>
      </c>
      <c r="B6" s="39" t="inlineStr">
        <is>
          <t>fsa:PurchaseOfMinorityShares</t>
        </is>
      </c>
      <c r="C6" s="39" t="inlineStr">
        <is>
          <t>fsa:PurchaseOfMinorityShares</t>
        </is>
      </c>
      <c r="D6" s="40" t="n">
        <v>-9691</v>
      </c>
      <c r="E6" s="40" t="n"/>
      <c r="F6" s="40" t="n"/>
      <c r="G6" s="40" t="n"/>
      <c r="H6" s="40" t="n"/>
      <c r="I6" s="41" t="inlineStr">
        <is>
          <t>Ingen forklaring tilgængelig.</t>
        </is>
      </c>
    </row>
    <row r="7" ht="30" customHeight="1">
      <c r="A7" s="36" t="inlineStr">
        <is>
          <t>Øvrige (ukendt)</t>
        </is>
      </c>
      <c r="B7" s="36" t="inlineStr">
        <is>
          <t>fsa:RaisingOfLongtermDebt</t>
        </is>
      </c>
      <c r="C7" s="36" t="inlineStr">
        <is>
          <t>fsa:RaisingOfLongtermDebt</t>
        </is>
      </c>
      <c r="D7" s="37" t="n"/>
      <c r="E7" s="37" t="n"/>
      <c r="F7" s="37" t="n">
        <v>0</v>
      </c>
      <c r="G7" s="37" t="n">
        <v>0</v>
      </c>
      <c r="H7" s="37" t="n">
        <v>0</v>
      </c>
      <c r="I7" s="38" t="inlineStr">
        <is>
          <t>Ingen forklaring tilgængelig.</t>
        </is>
      </c>
    </row>
    <row r="8" ht="30" customHeight="1">
      <c r="A8" s="39" t="inlineStr">
        <is>
          <t>Øvrige (ukendt)</t>
        </is>
      </c>
      <c r="B8" s="39" t="inlineStr">
        <is>
          <t>fsa:ReserveForCurrentValueAdjustmentsOfCurrencyGains</t>
        </is>
      </c>
      <c r="C8" s="39" t="inlineStr">
        <is>
          <t>fsa:ReserveForCurrentValueAdjustmentsOfCurrencyGains</t>
        </is>
      </c>
      <c r="D8" s="40" t="n"/>
      <c r="E8" s="40" t="n">
        <v>23891</v>
      </c>
      <c r="F8" s="40" t="n">
        <v>-22345</v>
      </c>
      <c r="G8" s="40" t="n">
        <v>-19857</v>
      </c>
      <c r="H8" s="40" t="n">
        <v>-86368</v>
      </c>
      <c r="I8" s="41" t="inlineStr">
        <is>
          <t>Ingen forklaring tilgængelig.</t>
        </is>
      </c>
    </row>
    <row r="9" ht="30" customHeight="1">
      <c r="A9" s="36" t="inlineStr">
        <is>
          <t>Øvrige (ukendt)</t>
        </is>
      </c>
      <c r="B9" s="36" t="inlineStr">
        <is>
          <t>fsa:ShorttermPayablesToAssociates</t>
        </is>
      </c>
      <c r="C9" s="36" t="inlineStr">
        <is>
          <t>fsa:ShorttermPayablesToAssociates</t>
        </is>
      </c>
      <c r="D9" s="37" t="n">
        <v>145330</v>
      </c>
      <c r="E9" s="37" t="n"/>
      <c r="F9" s="37" t="n"/>
      <c r="G9" s="37" t="n"/>
      <c r="H9" s="37" t="n"/>
      <c r="I9" s="38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2026-09-29T14:47:42Z</dcterms:created>
  <dcterms:modified xmlns:dcterms="http://purl.org/dc/terms/" xmlns:xsi="http://www.w3.org/2001/XMLSchema-instance" xsi:type="dcterms:W3CDTF">2026-09-29T14:47:42Z</dcterms:modified>
</cp:coreProperties>
</file>