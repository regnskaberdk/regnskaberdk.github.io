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9453630" sheetId="1" state="visible" r:id="rId1"/>
    <sheet xmlns:r="http://schemas.openxmlformats.org/officeDocument/2006/relationships" name="res_raw_39453630" sheetId="2" state="visible" r:id="rId2"/>
    <sheet xmlns:r="http://schemas.openxmlformats.org/officeDocument/2006/relationships" name="balance_raw_39453630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International Entertainment ApS (CVR 39453630) — Regnskabsanalyse – Resultatopgørelse &amp; Balance (t.kr.) · Klasse B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'res_raw_39453630'!$B$2</f>
        <v/>
      </c>
      <c r="C4" s="5">
        <f>'res_raw_39453630'!$C$2</f>
        <v/>
      </c>
      <c r="D4" s="5">
        <f>'res_raw_39453630'!$D$2</f>
        <v/>
      </c>
      <c r="E4" s="5">
        <f>'res_raw_39453630'!$E$2</f>
        <v/>
      </c>
      <c r="F4" s="5">
        <f>'res_raw_39453630'!$F$2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'res_raw_39453630'!$B$3</f>
        <v/>
      </c>
      <c r="C5" s="8">
        <f>'res_raw_39453630'!$C$3</f>
        <v/>
      </c>
      <c r="D5" s="8">
        <f>'res_raw_39453630'!$D$3</f>
        <v/>
      </c>
      <c r="E5" s="8">
        <f>'res_raw_39453630'!$E$3</f>
        <v/>
      </c>
      <c r="F5" s="8">
        <f>'res_raw_39453630'!$F$3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'res_raw_39453630'!$B$4</f>
        <v/>
      </c>
      <c r="C6" s="5">
        <f>'res_raw_39453630'!$C$4</f>
        <v/>
      </c>
      <c r="D6" s="5">
        <f>'res_raw_39453630'!$D$4</f>
        <v/>
      </c>
      <c r="E6" s="5">
        <f>'res_raw_39453630'!$E$4</f>
        <v/>
      </c>
      <c r="F6" s="5">
        <f>'res_raw_39453630'!$F$4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'res_raw_39453630'!$B$5</f>
        <v/>
      </c>
      <c r="C7" s="8">
        <f>'res_raw_39453630'!$C$5</f>
        <v/>
      </c>
      <c r="D7" s="8">
        <f>'res_raw_39453630'!$D$5</f>
        <v/>
      </c>
      <c r="E7" s="8">
        <f>'res_raw_39453630'!$E$5</f>
        <v/>
      </c>
      <c r="F7" s="8">
        <f>'res_raw_39453630'!$F$5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'res_raw_39453630'!$B$6</f>
        <v/>
      </c>
      <c r="C8" s="11">
        <f>'res_raw_39453630'!$C$6</f>
        <v/>
      </c>
      <c r="D8" s="11">
        <f>'res_raw_39453630'!$D$6</f>
        <v/>
      </c>
      <c r="E8" s="11">
        <f>'res_raw_39453630'!$E$6</f>
        <v/>
      </c>
      <c r="F8" s="11">
        <f>'res_raw_39453630'!$F$6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'res_raw_39453630'!$B$7</f>
        <v/>
      </c>
      <c r="C9" s="8">
        <f>'res_raw_39453630'!$C$7</f>
        <v/>
      </c>
      <c r="D9" s="8">
        <f>'res_raw_39453630'!$D$7</f>
        <v/>
      </c>
      <c r="E9" s="8">
        <f>'res_raw_39453630'!$E$7</f>
        <v/>
      </c>
      <c r="F9" s="8">
        <f>'res_raw_39453630'!$F$7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'res_raw_39453630'!$B$9</f>
        <v/>
      </c>
      <c r="C11" s="8">
        <f>'res_raw_39453630'!$C$9</f>
        <v/>
      </c>
      <c r="D11" s="8">
        <f>'res_raw_39453630'!$D$9</f>
        <v/>
      </c>
      <c r="E11" s="8">
        <f>'res_raw_39453630'!$E$9</f>
        <v/>
      </c>
      <c r="F11" s="8">
        <f>'res_raw_39453630'!$F$9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'res_raw_39453630'!$B$10</f>
        <v/>
      </c>
      <c r="C12" s="5">
        <f>'res_raw_39453630'!$C$10</f>
        <v/>
      </c>
      <c r="D12" s="5">
        <f>'res_raw_39453630'!$D$10</f>
        <v/>
      </c>
      <c r="E12" s="5">
        <f>'res_raw_39453630'!$E$10</f>
        <v/>
      </c>
      <c r="F12" s="5">
        <f>'res_raw_39453630'!$F$10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'res_raw_39453630'!$B$11</f>
        <v/>
      </c>
      <c r="C13" s="11">
        <f>'res_raw_39453630'!$C$11</f>
        <v/>
      </c>
      <c r="D13" s="11">
        <f>'res_raw_39453630'!$D$11</f>
        <v/>
      </c>
      <c r="E13" s="11">
        <f>'res_raw_39453630'!$E$11</f>
        <v/>
      </c>
      <c r="F13" s="11">
        <f>'res_raw_39453630'!$F$11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'res_raw_39453630'!$B$12</f>
        <v/>
      </c>
      <c r="C14" s="5">
        <f>'res_raw_39453630'!$C$12</f>
        <v/>
      </c>
      <c r="D14" s="5">
        <f>'res_raw_39453630'!$D$12</f>
        <v/>
      </c>
      <c r="E14" s="5">
        <f>'res_raw_39453630'!$E$12</f>
        <v/>
      </c>
      <c r="F14" s="5">
        <f>'res_raw_39453630'!$F$12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'res_raw_39453630'!$B$13</f>
        <v/>
      </c>
      <c r="C15" s="8">
        <f>'res_raw_39453630'!$C$13</f>
        <v/>
      </c>
      <c r="D15" s="8">
        <f>'res_raw_39453630'!$D$13</f>
        <v/>
      </c>
      <c r="E15" s="8">
        <f>'res_raw_39453630'!$E$13</f>
        <v/>
      </c>
      <c r="F15" s="8">
        <f>'res_raw_39453630'!$F$13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'res_raw_39453630'!$B$14</f>
        <v/>
      </c>
      <c r="C16" s="5">
        <f>'res_raw_39453630'!$C$14</f>
        <v/>
      </c>
      <c r="D16" s="5">
        <f>'res_raw_39453630'!$D$14</f>
        <v/>
      </c>
      <c r="E16" s="5">
        <f>'res_raw_39453630'!$E$14</f>
        <v/>
      </c>
      <c r="F16" s="5">
        <f>'res_raw_39453630'!$F$14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'res_raw_39453630'!$B$15</f>
        <v/>
      </c>
      <c r="C17" s="11">
        <f>'res_raw_39453630'!$C$15</f>
        <v/>
      </c>
      <c r="D17" s="11">
        <f>'res_raw_39453630'!$D$15</f>
        <v/>
      </c>
      <c r="E17" s="11">
        <f>'res_raw_39453630'!$E$15</f>
        <v/>
      </c>
      <c r="F17" s="11">
        <f>'res_raw_39453630'!$F$15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'res_raw_39453630'!$B$16</f>
        <v/>
      </c>
      <c r="C18" s="11">
        <f>'res_raw_39453630'!$C$16</f>
        <v/>
      </c>
      <c r="D18" s="11">
        <f>'res_raw_39453630'!$D$16</f>
        <v/>
      </c>
      <c r="E18" s="11">
        <f>'res_raw_39453630'!$E$16</f>
        <v/>
      </c>
      <c r="F18" s="11">
        <f>'res_raw_39453630'!$F$16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'res_raw_39453630'!$B$17</f>
        <v/>
      </c>
      <c r="C19" s="8">
        <f>'res_raw_39453630'!$C$17</f>
        <v/>
      </c>
      <c r="D19" s="8">
        <f>'res_raw_39453630'!$D$17</f>
        <v/>
      </c>
      <c r="E19" s="8">
        <f>'res_raw_39453630'!$E$17</f>
        <v/>
      </c>
      <c r="F19" s="8">
        <f>'res_raw_39453630'!$F$17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'res_raw_39453630'!$B$18</f>
        <v/>
      </c>
      <c r="C20" s="11">
        <f>'res_raw_39453630'!$C$18</f>
        <v/>
      </c>
      <c r="D20" s="11">
        <f>'res_raw_39453630'!$D$18</f>
        <v/>
      </c>
      <c r="E20" s="11">
        <f>'res_raw_39453630'!$E$18</f>
        <v/>
      </c>
      <c r="F20" s="11">
        <f>'res_raw_39453630'!$F$18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Kapitalandele, dattervirksomheder</t>
        </is>
      </c>
      <c r="B23" s="8">
        <f>'balance_raw_39453630'!$B$2</f>
        <v/>
      </c>
      <c r="C23" s="8">
        <f>'balance_raw_39453630'!$C$2</f>
        <v/>
      </c>
      <c r="D23" s="8">
        <f>'balance_raw_39453630'!$D$2</f>
        <v/>
      </c>
      <c r="E23" s="8">
        <f>'balance_raw_39453630'!$E$2</f>
        <v/>
      </c>
      <c r="F23" s="8">
        <f>'balance_raw_39453630'!$F$2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Deposita</t>
        </is>
      </c>
      <c r="B24" s="5">
        <f>'balance_raw_39453630'!$B$3</f>
        <v/>
      </c>
      <c r="C24" s="5">
        <f>'balance_raw_39453630'!$C$3</f>
        <v/>
      </c>
      <c r="D24" s="5">
        <f>'balance_raw_39453630'!$D$3</f>
        <v/>
      </c>
      <c r="E24" s="5">
        <f>'balance_raw_39453630'!$E$3</f>
        <v/>
      </c>
      <c r="F24" s="5">
        <f>'balance_raw_39453630'!$F$3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10" t="inlineStr">
        <is>
          <t>Finansielle anlægsaktiver</t>
        </is>
      </c>
      <c r="B25" s="11">
        <f>'balance_raw_39453630'!$B$4</f>
        <v/>
      </c>
      <c r="C25" s="11">
        <f>'balance_raw_39453630'!$C$4</f>
        <v/>
      </c>
      <c r="D25" s="11">
        <f>'balance_raw_39453630'!$D$4</f>
        <v/>
      </c>
      <c r="E25" s="11">
        <f>'balance_raw_39453630'!$E$4</f>
        <v/>
      </c>
      <c r="F25" s="11">
        <f>'balance_raw_39453630'!$F$4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10" t="inlineStr">
        <is>
          <t>Anlægsaktiver</t>
        </is>
      </c>
      <c r="B26" s="11">
        <f>'balance_raw_39453630'!$B$5</f>
        <v/>
      </c>
      <c r="C26" s="11">
        <f>'balance_raw_39453630'!$C$5</f>
        <v/>
      </c>
      <c r="D26" s="11">
        <f>'balance_raw_39453630'!$D$5</f>
        <v/>
      </c>
      <c r="E26" s="11">
        <f>'balance_raw_39453630'!$E$5</f>
        <v/>
      </c>
      <c r="F26" s="11">
        <f>'balance_raw_39453630'!$F$5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Råvarer og hjælpematerialer</t>
        </is>
      </c>
      <c r="B27" s="8">
        <f>'balance_raw_39453630'!$B$6</f>
        <v/>
      </c>
      <c r="C27" s="8">
        <f>'balance_raw_39453630'!$C$6</f>
        <v/>
      </c>
      <c r="D27" s="8">
        <f>'balance_raw_39453630'!$D$6</f>
        <v/>
      </c>
      <c r="E27" s="8">
        <f>'balance_raw_39453630'!$E$6</f>
        <v/>
      </c>
      <c r="F27" s="8">
        <f>'balance_raw_39453630'!$F$6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Varer under fremstilling</t>
        </is>
      </c>
      <c r="B28" s="5">
        <f>'balance_raw_39453630'!$B$7</f>
        <v/>
      </c>
      <c r="C28" s="5">
        <f>'balance_raw_39453630'!$C$7</f>
        <v/>
      </c>
      <c r="D28" s="5">
        <f>'balance_raw_39453630'!$D$7</f>
        <v/>
      </c>
      <c r="E28" s="5">
        <f>'balance_raw_39453630'!$E$7</f>
        <v/>
      </c>
      <c r="F28" s="5">
        <f>'balance_raw_39453630'!$F$7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Færdigvarer og handelsvarer</t>
        </is>
      </c>
      <c r="B29" s="8">
        <f>'balance_raw_39453630'!$B$8</f>
        <v/>
      </c>
      <c r="C29" s="8">
        <f>'balance_raw_39453630'!$C$8</f>
        <v/>
      </c>
      <c r="D29" s="8">
        <f>'balance_raw_39453630'!$D$8</f>
        <v/>
      </c>
      <c r="E29" s="8">
        <f>'balance_raw_39453630'!$E$8</f>
        <v/>
      </c>
      <c r="F29" s="8">
        <f>'balance_raw_39453630'!$F$8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10" t="inlineStr">
        <is>
          <t>Varebeholdninger</t>
        </is>
      </c>
      <c r="B30" s="11">
        <f>'balance_raw_39453630'!$B$9</f>
        <v/>
      </c>
      <c r="C30" s="11">
        <f>'balance_raw_39453630'!$C$9</f>
        <v/>
      </c>
      <c r="D30" s="11">
        <f>'balance_raw_39453630'!$D$9</f>
        <v/>
      </c>
      <c r="E30" s="11">
        <f>'balance_raw_39453630'!$E$9</f>
        <v/>
      </c>
      <c r="F30" s="11">
        <f>'balance_raw_39453630'!$F$9</f>
        <v/>
      </c>
      <c r="G30" t="inlineStr"/>
      <c r="H30" s="12">
        <f>IFERROR(B30/$B$30*100,"")</f>
        <v/>
      </c>
      <c r="I30" s="12">
        <f>IFERROR(C30/$B$30*100,"")</f>
        <v/>
      </c>
      <c r="J30" s="12">
        <f>IFERROR(D30/$B$30*100,"")</f>
        <v/>
      </c>
      <c r="K30" s="12">
        <f>IFERROR(E30/$B$30*100,"")</f>
        <v/>
      </c>
      <c r="L30" s="12">
        <f>IFERROR(F30/$B$30*100,"")</f>
        <v/>
      </c>
    </row>
    <row r="31" ht="16" customHeight="1">
      <c r="A31" s="7" t="inlineStr">
        <is>
          <t>Tilgodehavender fra salg og tjenesteydelser</t>
        </is>
      </c>
      <c r="B31" s="8">
        <f>'balance_raw_39453630'!$B$10</f>
        <v/>
      </c>
      <c r="C31" s="8">
        <f>'balance_raw_39453630'!$C$10</f>
        <v/>
      </c>
      <c r="D31" s="8">
        <f>'balance_raw_39453630'!$D$10</f>
        <v/>
      </c>
      <c r="E31" s="8">
        <f>'balance_raw_39453630'!$E$10</f>
        <v/>
      </c>
      <c r="F31" s="8">
        <f>'balance_raw_39453630'!$F$10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Tilgodehavender hos tilknyttede virksomheder</t>
        </is>
      </c>
      <c r="B32" s="5">
        <f>'balance_raw_39453630'!$B$11</f>
        <v/>
      </c>
      <c r="C32" s="5">
        <f>'balance_raw_39453630'!$C$11</f>
        <v/>
      </c>
      <c r="D32" s="5">
        <f>'balance_raw_39453630'!$D$11</f>
        <v/>
      </c>
      <c r="E32" s="5">
        <f>'balance_raw_39453630'!$E$11</f>
        <v/>
      </c>
      <c r="F32" s="5">
        <f>'balance_raw_39453630'!$F$11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Andre tilgodehavender</t>
        </is>
      </c>
      <c r="B33" s="8">
        <f>'balance_raw_39453630'!$B$12</f>
        <v/>
      </c>
      <c r="C33" s="8">
        <f>'balance_raw_39453630'!$C$12</f>
        <v/>
      </c>
      <c r="D33" s="8">
        <f>'balance_raw_39453630'!$D$12</f>
        <v/>
      </c>
      <c r="E33" s="8">
        <f>'balance_raw_39453630'!$E$12</f>
        <v/>
      </c>
      <c r="F33" s="8">
        <f>'balance_raw_39453630'!$F$12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Periodeafgrænsningsposter (aktiver)</t>
        </is>
      </c>
      <c r="B34" s="5">
        <f>'balance_raw_39453630'!$B$13</f>
        <v/>
      </c>
      <c r="C34" s="5">
        <f>'balance_raw_39453630'!$C$13</f>
        <v/>
      </c>
      <c r="D34" s="5">
        <f>'balance_raw_39453630'!$D$13</f>
        <v/>
      </c>
      <c r="E34" s="5">
        <f>'balance_raw_39453630'!$E$13</f>
        <v/>
      </c>
      <c r="F34" s="5">
        <f>'balance_raw_39453630'!$F$13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Udskudt skatteaktiv</t>
        </is>
      </c>
      <c r="B35" s="8">
        <f>'balance_raw_39453630'!$B$14</f>
        <v/>
      </c>
      <c r="C35" s="8">
        <f>'balance_raw_39453630'!$C$14</f>
        <v/>
      </c>
      <c r="D35" s="8">
        <f>'balance_raw_39453630'!$D$14</f>
        <v/>
      </c>
      <c r="E35" s="8">
        <f>'balance_raw_39453630'!$E$14</f>
        <v/>
      </c>
      <c r="F35" s="8">
        <f>'balance_raw_39453630'!$F$14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 skat hos tilknyttede virksomheder</t>
        </is>
      </c>
      <c r="B36" s="5">
        <f>'balance_raw_39453630'!$B$15</f>
        <v/>
      </c>
      <c r="C36" s="5">
        <f>'balance_raw_39453630'!$C$15</f>
        <v/>
      </c>
      <c r="D36" s="5">
        <f>'balance_raw_39453630'!$D$15</f>
        <v/>
      </c>
      <c r="E36" s="5">
        <f>'balance_raw_39453630'!$E$15</f>
        <v/>
      </c>
      <c r="F36" s="5">
        <f>'balance_raw_39453630'!$F$15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Kortfristede skattetilgodehavender</t>
        </is>
      </c>
      <c r="B37" s="8">
        <f>'balance_raw_39453630'!$B$16</f>
        <v/>
      </c>
      <c r="C37" s="8">
        <f>'balance_raw_39453630'!$C$16</f>
        <v/>
      </c>
      <c r="D37" s="8">
        <f>'balance_raw_39453630'!$D$16</f>
        <v/>
      </c>
      <c r="E37" s="8">
        <f>'balance_raw_39453630'!$E$16</f>
        <v/>
      </c>
      <c r="F37" s="8">
        <f>'balance_raw_39453630'!$F$16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10" t="inlineStr">
        <is>
          <t>Tilgodehavender</t>
        </is>
      </c>
      <c r="B38" s="11">
        <f>'balance_raw_39453630'!$B$17</f>
        <v/>
      </c>
      <c r="C38" s="11">
        <f>'balance_raw_39453630'!$C$17</f>
        <v/>
      </c>
      <c r="D38" s="11">
        <f>'balance_raw_39453630'!$D$17</f>
        <v/>
      </c>
      <c r="E38" s="11">
        <f>'balance_raw_39453630'!$E$17</f>
        <v/>
      </c>
      <c r="F38" s="11">
        <f>'balance_raw_39453630'!$F$17</f>
        <v/>
      </c>
      <c r="G38" t="inlineStr"/>
      <c r="H38" s="12">
        <f>IFERROR(B38/$B$38*100,"")</f>
        <v/>
      </c>
      <c r="I38" s="12">
        <f>IFERROR(C38/$B$38*100,"")</f>
        <v/>
      </c>
      <c r="J38" s="12">
        <f>IFERROR(D38/$B$38*100,"")</f>
        <v/>
      </c>
      <c r="K38" s="12">
        <f>IFERROR(E38/$B$38*100,"")</f>
        <v/>
      </c>
      <c r="L38" s="12">
        <f>IFERROR(F38/$B$38*100,"")</f>
        <v/>
      </c>
    </row>
    <row r="39" ht="16" customHeight="1">
      <c r="A39" s="7" t="inlineStr">
        <is>
          <t>Værdipapirer</t>
        </is>
      </c>
      <c r="B39" s="8">
        <f>'balance_raw_39453630'!$B$18</f>
        <v/>
      </c>
      <c r="C39" s="8">
        <f>'balance_raw_39453630'!$C$18</f>
        <v/>
      </c>
      <c r="D39" s="8">
        <f>'balance_raw_39453630'!$D$18</f>
        <v/>
      </c>
      <c r="E39" s="8">
        <f>'balance_raw_39453630'!$E$18</f>
        <v/>
      </c>
      <c r="F39" s="8">
        <f>'balance_raw_39453630'!$F$18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Likvide beholdninger</t>
        </is>
      </c>
      <c r="B40" s="5">
        <f>'balance_raw_39453630'!$B$19</f>
        <v/>
      </c>
      <c r="C40" s="5">
        <f>'balance_raw_39453630'!$C$19</f>
        <v/>
      </c>
      <c r="D40" s="5">
        <f>'balance_raw_39453630'!$D$19</f>
        <v/>
      </c>
      <c r="E40" s="5">
        <f>'balance_raw_39453630'!$E$19</f>
        <v/>
      </c>
      <c r="F40" s="5">
        <f>'balance_raw_39453630'!$F$19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Omsætningsaktiver</t>
        </is>
      </c>
      <c r="B41" s="11">
        <f>'balance_raw_39453630'!$B$20</f>
        <v/>
      </c>
      <c r="C41" s="11">
        <f>'balance_raw_39453630'!$C$20</f>
        <v/>
      </c>
      <c r="D41" s="11">
        <f>'balance_raw_39453630'!$D$20</f>
        <v/>
      </c>
      <c r="E41" s="11">
        <f>'balance_raw_39453630'!$E$20</f>
        <v/>
      </c>
      <c r="F41" s="11">
        <f>'balance_raw_39453630'!$F$20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10" t="inlineStr">
        <is>
          <t>Aktiver</t>
        </is>
      </c>
      <c r="B42" s="11">
        <f>'balance_raw_39453630'!$B$21</f>
        <v/>
      </c>
      <c r="C42" s="11">
        <f>'balance_raw_39453630'!$C$21</f>
        <v/>
      </c>
      <c r="D42" s="11">
        <f>'balance_raw_39453630'!$D$21</f>
        <v/>
      </c>
      <c r="E42" s="11">
        <f>'balance_raw_39453630'!$E$21</f>
        <v/>
      </c>
      <c r="F42" s="11">
        <f>'balance_raw_39453630'!$F$21</f>
        <v/>
      </c>
      <c r="G42" t="inlineStr"/>
      <c r="H42" s="12">
        <f>IFERROR(B42/$B$42*100,"")</f>
        <v/>
      </c>
      <c r="I42" s="12">
        <f>IFERROR(C42/$B$42*100,"")</f>
        <v/>
      </c>
      <c r="J42" s="12">
        <f>IFERROR(D42/$B$42*100,"")</f>
        <v/>
      </c>
      <c r="K42" s="12">
        <f>IFERROR(E42/$B$42*100,"")</f>
        <v/>
      </c>
      <c r="L42" s="12">
        <f>IFERROR(F42/$B$42*100,"")</f>
        <v/>
      </c>
    </row>
    <row r="44" ht="22" customHeight="1">
      <c r="A44" s="3" t="inlineStr">
        <is>
          <t>PASSIVER t.kr.</t>
        </is>
      </c>
      <c r="B44" s="3" t="n">
        <v>2021</v>
      </c>
      <c r="C44" s="3" t="n">
        <v>2022</v>
      </c>
      <c r="D44" s="3" t="n">
        <v>2023</v>
      </c>
      <c r="E44" s="3" t="n">
        <v>2024</v>
      </c>
      <c r="F44" s="3" t="n">
        <v>2025</v>
      </c>
      <c r="G44" t="inlineStr"/>
      <c r="H44" s="3" t="n">
        <v>2021</v>
      </c>
      <c r="I44" s="3" t="n">
        <v>2022</v>
      </c>
      <c r="J44" s="3" t="n">
        <v>2023</v>
      </c>
      <c r="K44" s="3" t="n">
        <v>2024</v>
      </c>
      <c r="L44" s="3" t="n">
        <v>2025</v>
      </c>
    </row>
    <row r="45" ht="16" customHeight="1">
      <c r="A45" s="7" t="inlineStr">
        <is>
          <t>Selskabskapital</t>
        </is>
      </c>
      <c r="B45" s="8">
        <f>'balance_raw_39453630'!$B$22</f>
        <v/>
      </c>
      <c r="C45" s="8">
        <f>'balance_raw_39453630'!$C$22</f>
        <v/>
      </c>
      <c r="D45" s="8">
        <f>'balance_raw_39453630'!$D$22</f>
        <v/>
      </c>
      <c r="E45" s="8">
        <f>'balance_raw_39453630'!$E$22</f>
        <v/>
      </c>
      <c r="F45" s="8">
        <f>'balance_raw_39453630'!$F$22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Reserve for nettoopskrivning (indre værdis metode)</t>
        </is>
      </c>
      <c r="B46" s="5">
        <f>'balance_raw_39453630'!$B$23</f>
        <v/>
      </c>
      <c r="C46" s="5">
        <f>'balance_raw_39453630'!$C$23</f>
        <v/>
      </c>
      <c r="D46" s="5">
        <f>'balance_raw_39453630'!$D$23</f>
        <v/>
      </c>
      <c r="E46" s="5">
        <f>'balance_raw_39453630'!$E$23</f>
        <v/>
      </c>
      <c r="F46" s="5">
        <f>'balance_raw_39453630'!$F$23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Reserve for udviklingsomkostninger</t>
        </is>
      </c>
      <c r="B47" s="8">
        <f>'balance_raw_39453630'!$B$24</f>
        <v/>
      </c>
      <c r="C47" s="8">
        <f>'balance_raw_39453630'!$C$24</f>
        <v/>
      </c>
      <c r="D47" s="8">
        <f>'balance_raw_39453630'!$D$24</f>
        <v/>
      </c>
      <c r="E47" s="8">
        <f>'balance_raw_39453630'!$E$24</f>
        <v/>
      </c>
      <c r="F47" s="8">
        <f>'balance_raw_39453630'!$F$24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Reserve for sikringstransaktioner</t>
        </is>
      </c>
      <c r="B48" s="5">
        <f>'balance_raw_39453630'!$B$25</f>
        <v/>
      </c>
      <c r="C48" s="5">
        <f>'balance_raw_39453630'!$C$25</f>
        <v/>
      </c>
      <c r="D48" s="5">
        <f>'balance_raw_39453630'!$D$25</f>
        <v/>
      </c>
      <c r="E48" s="5">
        <f>'balance_raw_39453630'!$E$25</f>
        <v/>
      </c>
      <c r="F48" s="5">
        <f>'balance_raw_39453630'!$F$25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Andre reserver</t>
        </is>
      </c>
      <c r="B49" s="8">
        <f>'balance_raw_39453630'!$B$26</f>
        <v/>
      </c>
      <c r="C49" s="8">
        <f>'balance_raw_39453630'!$C$26</f>
        <v/>
      </c>
      <c r="D49" s="8">
        <f>'balance_raw_39453630'!$D$26</f>
        <v/>
      </c>
      <c r="E49" s="8">
        <f>'balance_raw_39453630'!$E$26</f>
        <v/>
      </c>
      <c r="F49" s="8">
        <f>'balance_raw_39453630'!$F$26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Overført resultat</t>
        </is>
      </c>
      <c r="B50" s="5">
        <f>'balance_raw_39453630'!$B$27</f>
        <v/>
      </c>
      <c r="C50" s="5">
        <f>'balance_raw_39453630'!$C$27</f>
        <v/>
      </c>
      <c r="D50" s="5">
        <f>'balance_raw_39453630'!$D$27</f>
        <v/>
      </c>
      <c r="E50" s="5">
        <f>'balance_raw_39453630'!$E$27</f>
        <v/>
      </c>
      <c r="F50" s="5">
        <f>'balance_raw_39453630'!$F$27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Egenkapital i alt</t>
        </is>
      </c>
      <c r="B51" s="11">
        <f>'balance_raw_39453630'!$B$28</f>
        <v/>
      </c>
      <c r="C51" s="11">
        <f>'balance_raw_39453630'!$C$28</f>
        <v/>
      </c>
      <c r="D51" s="11">
        <f>'balance_raw_39453630'!$D$28</f>
        <v/>
      </c>
      <c r="E51" s="11">
        <f>'balance_raw_39453630'!$E$28</f>
        <v/>
      </c>
      <c r="F51" s="11">
        <f>'balance_raw_39453630'!$F$28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Ansvarlig lånekapital (kortfristet)</t>
        </is>
      </c>
      <c r="B52" s="5">
        <f>'balance_raw_39453630'!$B$29</f>
        <v/>
      </c>
      <c r="C52" s="5">
        <f>'balance_raw_39453630'!$C$29</f>
        <v/>
      </c>
      <c r="D52" s="5">
        <f>'balance_raw_39453630'!$D$29</f>
        <v/>
      </c>
      <c r="E52" s="5">
        <f>'balance_raw_39453630'!$E$29</f>
        <v/>
      </c>
      <c r="F52" s="5">
        <f>'balance_raw_39453630'!$F$29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Kortfristet del af langfristede gældsforpligtelser</t>
        </is>
      </c>
      <c r="B53" s="8">
        <f>'balance_raw_39453630'!$B$30</f>
        <v/>
      </c>
      <c r="C53" s="8">
        <f>'balance_raw_39453630'!$C$30</f>
        <v/>
      </c>
      <c r="D53" s="8">
        <f>'balance_raw_39453630'!$D$30</f>
        <v/>
      </c>
      <c r="E53" s="8">
        <f>'balance_raw_39453630'!$E$30</f>
        <v/>
      </c>
      <c r="F53" s="8">
        <f>'balance_raw_39453630'!$F$30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Kreditinstitutter</t>
        </is>
      </c>
      <c r="B54" s="5">
        <f>'balance_raw_39453630'!$B$31</f>
        <v/>
      </c>
      <c r="C54" s="5">
        <f>'balance_raw_39453630'!$C$31</f>
        <v/>
      </c>
      <c r="D54" s="5">
        <f>'balance_raw_39453630'!$D$31</f>
        <v/>
      </c>
      <c r="E54" s="5">
        <f>'balance_raw_39453630'!$E$31</f>
        <v/>
      </c>
      <c r="F54" s="5">
        <f>'balance_raw_39453630'!$F$31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Leasingforpligtelser (kortfristet)</t>
        </is>
      </c>
      <c r="B55" s="8">
        <f>'balance_raw_39453630'!$B$32</f>
        <v/>
      </c>
      <c r="C55" s="8">
        <f>'balance_raw_39453630'!$C$32</f>
        <v/>
      </c>
      <c r="D55" s="8">
        <f>'balance_raw_39453630'!$D$32</f>
        <v/>
      </c>
      <c r="E55" s="8">
        <f>'balance_raw_39453630'!$E$32</f>
        <v/>
      </c>
      <c r="F55" s="8">
        <f>'balance_raw_39453630'!$F$32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Leverandører af varer og tjenesteydelser</t>
        </is>
      </c>
      <c r="B56" s="5">
        <f>'balance_raw_39453630'!$B$33</f>
        <v/>
      </c>
      <c r="C56" s="5">
        <f>'balance_raw_39453630'!$C$33</f>
        <v/>
      </c>
      <c r="D56" s="5">
        <f>'balance_raw_39453630'!$D$33</f>
        <v/>
      </c>
      <c r="E56" s="5">
        <f>'balance_raw_39453630'!$E$33</f>
        <v/>
      </c>
      <c r="F56" s="5">
        <f>'balance_raw_39453630'!$F$33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Gæld til tilknyttede virksomheder</t>
        </is>
      </c>
      <c r="B57" s="8">
        <f>'balance_raw_39453630'!$B$34</f>
        <v/>
      </c>
      <c r="C57" s="8">
        <f>'balance_raw_39453630'!$C$34</f>
        <v/>
      </c>
      <c r="D57" s="8">
        <f>'balance_raw_39453630'!$D$34</f>
        <v/>
      </c>
      <c r="E57" s="8">
        <f>'balance_raw_39453630'!$E$34</f>
        <v/>
      </c>
      <c r="F57" s="8">
        <f>'balance_raw_39453630'!$F$34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Gæld til selskabsdeltagere og ledelse</t>
        </is>
      </c>
      <c r="B58" s="5">
        <f>'balance_raw_39453630'!$B$35</f>
        <v/>
      </c>
      <c r="C58" s="5">
        <f>'balance_raw_39453630'!$C$35</f>
        <v/>
      </c>
      <c r="D58" s="5">
        <f>'balance_raw_39453630'!$D$35</f>
        <v/>
      </c>
      <c r="E58" s="5">
        <f>'balance_raw_39453630'!$E$35</f>
        <v/>
      </c>
      <c r="F58" s="5">
        <f>'balance_raw_39453630'!$F$35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Selskabsskat</t>
        </is>
      </c>
      <c r="B59" s="8">
        <f>'balance_raw_39453630'!$B$36</f>
        <v/>
      </c>
      <c r="C59" s="8">
        <f>'balance_raw_39453630'!$C$36</f>
        <v/>
      </c>
      <c r="D59" s="8">
        <f>'balance_raw_39453630'!$D$36</f>
        <v/>
      </c>
      <c r="E59" s="8">
        <f>'balance_raw_39453630'!$E$36</f>
        <v/>
      </c>
      <c r="F59" s="8">
        <f>'balance_raw_39453630'!$F$36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Gæld til tilknyttede virksomheder vedr. selskabsskat</t>
        </is>
      </c>
      <c r="B60" s="5">
        <f>'balance_raw_39453630'!$B$37</f>
        <v/>
      </c>
      <c r="C60" s="5">
        <f>'balance_raw_39453630'!$C$37</f>
        <v/>
      </c>
      <c r="D60" s="5">
        <f>'balance_raw_39453630'!$D$37</f>
        <v/>
      </c>
      <c r="E60" s="5">
        <f>'balance_raw_39453630'!$E$37</f>
        <v/>
      </c>
      <c r="F60" s="5">
        <f>'balance_raw_39453630'!$F$37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Anden gæld (kortfristet)</t>
        </is>
      </c>
      <c r="B61" s="8">
        <f>'balance_raw_39453630'!$B$38</f>
        <v/>
      </c>
      <c r="C61" s="8">
        <f>'balance_raw_39453630'!$C$38</f>
        <v/>
      </c>
      <c r="D61" s="8">
        <f>'balance_raw_39453630'!$D$38</f>
        <v/>
      </c>
      <c r="E61" s="8">
        <f>'balance_raw_39453630'!$E$38</f>
        <v/>
      </c>
      <c r="F61" s="8">
        <f>'balance_raw_39453630'!$F$38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Periodeafgrænsningsposter (passiver)</t>
        </is>
      </c>
      <c r="B62" s="5">
        <f>'balance_raw_39453630'!$B$39</f>
        <v/>
      </c>
      <c r="C62" s="5">
        <f>'balance_raw_39453630'!$C$39</f>
        <v/>
      </c>
      <c r="D62" s="5">
        <f>'balance_raw_39453630'!$D$39</f>
        <v/>
      </c>
      <c r="E62" s="5">
        <f>'balance_raw_39453630'!$E$39</f>
        <v/>
      </c>
      <c r="F62" s="5">
        <f>'balance_raw_39453630'!$F$39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Kortfristede gældsforpligtelser</t>
        </is>
      </c>
      <c r="B63" s="11">
        <f>'balance_raw_39453630'!$B$40</f>
        <v/>
      </c>
      <c r="C63" s="11">
        <f>'balance_raw_39453630'!$C$40</f>
        <v/>
      </c>
      <c r="D63" s="11">
        <f>'balance_raw_39453630'!$D$40</f>
        <v/>
      </c>
      <c r="E63" s="11">
        <f>'balance_raw_39453630'!$E$40</f>
        <v/>
      </c>
      <c r="F63" s="11">
        <f>'balance_raw_39453630'!$F$40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10" t="inlineStr">
        <is>
          <t>Gældsforpligtelser</t>
        </is>
      </c>
      <c r="B64" s="11">
        <f>'balance_raw_39453630'!$B$41</f>
        <v/>
      </c>
      <c r="C64" s="11">
        <f>'balance_raw_39453630'!$C$41</f>
        <v/>
      </c>
      <c r="D64" s="11">
        <f>'balance_raw_39453630'!$D$41</f>
        <v/>
      </c>
      <c r="E64" s="11">
        <f>'balance_raw_39453630'!$E$41</f>
        <v/>
      </c>
      <c r="F64" s="11">
        <f>'balance_raw_39453630'!$F$41</f>
        <v/>
      </c>
      <c r="G64" t="inlineStr"/>
      <c r="H64" s="12">
        <f>IFERROR(B64/$B$64*100,"")</f>
        <v/>
      </c>
      <c r="I64" s="12">
        <f>IFERROR(C64/$B$64*100,"")</f>
        <v/>
      </c>
      <c r="J64" s="12">
        <f>IFERROR(D64/$B$64*100,"")</f>
        <v/>
      </c>
      <c r="K64" s="12">
        <f>IFERROR(E64/$B$64*100,"")</f>
        <v/>
      </c>
      <c r="L64" s="12">
        <f>IFERROR(F64/$B$64*100,"")</f>
        <v/>
      </c>
    </row>
    <row r="65" ht="16" customHeight="1">
      <c r="A65" s="10" t="inlineStr">
        <is>
          <t>Passiver</t>
        </is>
      </c>
      <c r="B65" s="11">
        <f>'balance_raw_39453630'!$B$42</f>
        <v/>
      </c>
      <c r="C65" s="11">
        <f>'balance_raw_39453630'!$C$42</f>
        <v/>
      </c>
      <c r="D65" s="11">
        <f>'balance_raw_39453630'!$D$42</f>
        <v/>
      </c>
      <c r="E65" s="11">
        <f>'balance_raw_39453630'!$E$42</f>
        <v/>
      </c>
      <c r="F65" s="11">
        <f>'balance_raw_39453630'!$F$42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7" ht="22" customHeight="1">
      <c r="A67" s="3" t="inlineStr">
        <is>
          <t>NØGLEOPLYSNINGER</t>
        </is>
      </c>
      <c r="B67" s="3" t="n">
        <v>2021</v>
      </c>
      <c r="C67" s="3" t="n">
        <v>2022</v>
      </c>
      <c r="D67" s="3" t="n">
        <v>2023</v>
      </c>
      <c r="E67" s="3" t="n">
        <v>2024</v>
      </c>
      <c r="F67" s="3" t="n">
        <v>2025</v>
      </c>
    </row>
    <row r="68" ht="16" customHeight="1">
      <c r="A68" s="4" t="inlineStr">
        <is>
          <t>Gns. antal medarbejdere</t>
        </is>
      </c>
      <c r="B68" s="5">
        <f>'res_raw_39453630'!$B$19</f>
        <v/>
      </c>
      <c r="C68" s="5">
        <f>'res_raw_39453630'!$C$19</f>
        <v/>
      </c>
      <c r="D68" s="5">
        <f>'res_raw_39453630'!$D$19</f>
        <v/>
      </c>
      <c r="E68" s="5">
        <f>'res_raw_39453630'!$E$19</f>
        <v/>
      </c>
      <c r="F68" s="5">
        <f>'res_raw_39453630'!$F$19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Investering i materielle anlægsaktiver</t>
        </is>
      </c>
      <c r="B69" s="8">
        <f>'res_raw_39453630'!$B$20</f>
        <v/>
      </c>
      <c r="C69" s="8">
        <f>'res_raw_39453630'!$C$20</f>
        <v/>
      </c>
      <c r="D69" s="8">
        <f>'res_raw_39453630'!$D$20</f>
        <v/>
      </c>
      <c r="E69" s="8">
        <f>'res_raw_39453630'!$E$20</f>
        <v/>
      </c>
      <c r="F69" s="8">
        <f>'res_raw_39453630'!$F$20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1" ht="22" customHeight="1">
      <c r="A71" s="3" t="inlineStr">
        <is>
          <t>NØGLETAL</t>
        </is>
      </c>
      <c r="B71" s="3" t="n">
        <v>2021</v>
      </c>
      <c r="C71" s="3" t="n">
        <v>2022</v>
      </c>
      <c r="D71" s="3" t="n">
        <v>2023</v>
      </c>
      <c r="E71" s="3" t="n">
        <v>2024</v>
      </c>
      <c r="F71" s="3" t="n">
        <v>2025</v>
      </c>
    </row>
    <row r="72" ht="16" customHeight="1">
      <c r="A72" s="4" t="inlineStr">
        <is>
          <t>Afkastningsgrad, %</t>
        </is>
      </c>
      <c r="B72" s="13">
        <f>IFERROR(($B$13+$B$15+$B$14)/$B$42*100,"")</f>
        <v/>
      </c>
      <c r="C72" s="13">
        <f>IFERROR(($C$13+$C$15+$C$14)/$C$42*100,"")</f>
        <v/>
      </c>
      <c r="D72" s="13">
        <f>IFERROR(($D$13+$D$15+$D$14)/$D$42*100,"")</f>
        <v/>
      </c>
      <c r="E72" s="13">
        <f>IFERROR(($E$13+$E$15+$E$14)/$E$42*100,"")</f>
        <v/>
      </c>
      <c r="F72" s="13">
        <f>IFERROR(($F$13+$F$15+$F$14)/$F$42*100,"")</f>
        <v/>
      </c>
    </row>
    <row r="73" ht="16" customHeight="1">
      <c r="A73" s="7" t="inlineStr">
        <is>
          <t>Overskudsgrad (af bruttofortjeneste), %</t>
        </is>
      </c>
      <c r="B73" s="14">
        <f>IFERROR(($B$13+$B$15+$B$14)/$B$8*100,"")</f>
        <v/>
      </c>
      <c r="C73" s="14">
        <f>IFERROR(($C$13+$C$15+$C$14)/$C$8*100,"")</f>
        <v/>
      </c>
      <c r="D73" s="14">
        <f>IFERROR(($D$13+$D$15+$D$14)/$D$8*100,"")</f>
        <v/>
      </c>
      <c r="E73" s="14">
        <f>IFERROR(($E$13+$E$15+$E$14)/$E$8*100,"")</f>
        <v/>
      </c>
      <c r="F73" s="14">
        <f>IFERROR(($F$13+$F$15+$F$14)/$F$8*100,"")</f>
        <v/>
      </c>
    </row>
    <row r="74" ht="16" customHeight="1">
      <c r="A74" s="4" t="inlineStr">
        <is>
          <t>Aktivernes omsætningshastighed (af bruttofortjeneste), gange</t>
        </is>
      </c>
      <c r="B74" s="13">
        <f>IFERROR($B$8/$B$42,"")</f>
        <v/>
      </c>
      <c r="C74" s="13">
        <f>IFERROR($C$8/$C$42,"")</f>
        <v/>
      </c>
      <c r="D74" s="13">
        <f>IFERROR($D$8/$D$42,"")</f>
        <v/>
      </c>
      <c r="E74" s="13">
        <f>IFERROR($E$8/$E$42,"")</f>
        <v/>
      </c>
      <c r="F74" s="13">
        <f>IFERROR($F$8/$F$42,"")</f>
        <v/>
      </c>
    </row>
    <row r="75" ht="16" customHeight="1">
      <c r="A75" s="7" t="inlineStr">
        <is>
          <t>Egenkapitalens forrentning, %</t>
        </is>
      </c>
      <c r="B75" s="14">
        <f>IFERROR($B$18/$B$51*100,"")</f>
        <v/>
      </c>
      <c r="C75" s="14">
        <f>IFERROR($C$18/$C$51*100,"")</f>
        <v/>
      </c>
      <c r="D75" s="14">
        <f>IFERROR($D$18/$D$51*100,"")</f>
        <v/>
      </c>
      <c r="E75" s="14">
        <f>IFERROR($E$18/$E$51*100,"")</f>
        <v/>
      </c>
      <c r="F75" s="14">
        <f>IFERROR($F$18/$F$51*100,"")</f>
        <v/>
      </c>
    </row>
    <row r="76" ht="16" customHeight="1">
      <c r="A76" s="4" t="inlineStr">
        <is>
          <t>Gældsrente, %</t>
        </is>
      </c>
      <c r="B76" s="13">
        <f>IFERROR($B$16/($B$65-$B$51)*100,"")</f>
        <v/>
      </c>
      <c r="C76" s="13">
        <f>IFERROR($C$16/($C$65-$C$51)*100,"")</f>
        <v/>
      </c>
      <c r="D76" s="13">
        <f>IFERROR($D$16/($D$65-$D$51)*100,"")</f>
        <v/>
      </c>
      <c r="E76" s="13">
        <f>IFERROR($E$16/($E$65-$E$51)*100,"")</f>
        <v/>
      </c>
      <c r="F76" s="13">
        <f>IFERROR($F$16/($F$65-$F$51)*100,"")</f>
        <v/>
      </c>
    </row>
    <row r="77" ht="16" customHeight="1">
      <c r="A77" s="7" t="inlineStr">
        <is>
          <t>Soliditetsgrad, %</t>
        </is>
      </c>
      <c r="B77" s="14">
        <f>IFERROR($B$51/$B$42*100,"")</f>
        <v/>
      </c>
      <c r="C77" s="14">
        <f>IFERROR($C$51/$C$42*100,"")</f>
        <v/>
      </c>
      <c r="D77" s="14">
        <f>IFERROR($D$51/$D$42*100,"")</f>
        <v/>
      </c>
      <c r="E77" s="14">
        <f>IFERROR($E$51/$E$42*100,"")</f>
        <v/>
      </c>
      <c r="F77" s="14">
        <f>IFERROR($F$51/$F$42*100,"")</f>
        <v/>
      </c>
    </row>
    <row r="78" ht="16" customHeight="1">
      <c r="A78" s="4" t="inlineStr">
        <is>
          <t>Gearing</t>
        </is>
      </c>
      <c r="B78" s="13">
        <f>IFERROR(($B$65-$B$51)/$B$51,"")</f>
        <v/>
      </c>
      <c r="C78" s="13">
        <f>IFERROR(($C$65-$C$51)/$C$51,"")</f>
        <v/>
      </c>
      <c r="D78" s="13">
        <f>IFERROR(($D$65-$D$51)/$D$51,"")</f>
        <v/>
      </c>
      <c r="E78" s="13">
        <f>IFERROR(($E$65-$E$51)/$E$51,"")</f>
        <v/>
      </c>
      <c r="F78" s="13">
        <f>IFERROR(($F$65-$F$51)/$F$51,"")</f>
        <v/>
      </c>
    </row>
    <row r="79" ht="16" customHeight="1">
      <c r="A79" s="7" t="inlineStr">
        <is>
          <t>Likviditetsgrad, %</t>
        </is>
      </c>
      <c r="B79" s="14">
        <f>IFERROR($B$41/$B$63*100,"")</f>
        <v/>
      </c>
      <c r="C79" s="14">
        <f>IFERROR($C$41/$C$63*100,"")</f>
        <v/>
      </c>
      <c r="D79" s="14">
        <f>IFERROR($D$41/$D$63*100,"")</f>
        <v/>
      </c>
      <c r="E79" s="14">
        <f>IFERROR($E$41/$E$63*100,"")</f>
        <v/>
      </c>
      <c r="F79" s="14">
        <f>IFERROR($F$41/$F$63*100,"")</f>
        <v/>
      </c>
    </row>
    <row r="80" ht="16" customHeight="1">
      <c r="A80" s="4" t="inlineStr">
        <is>
          <t>Rentemarginal, %</t>
        </is>
      </c>
      <c r="B80" s="13">
        <f>IFERROR(B72-B76,"")</f>
        <v/>
      </c>
      <c r="C80" s="13">
        <f>IFERROR(C72-C76,"")</f>
        <v/>
      </c>
      <c r="D80" s="13">
        <f>IFERROR(D72-D76,"")</f>
        <v/>
      </c>
      <c r="E80" s="13">
        <f>IFERROR(E72-E76,"")</f>
        <v/>
      </c>
      <c r="F80" s="13">
        <f>IFERROR(F72-F76,"")</f>
        <v/>
      </c>
    </row>
    <row r="81" ht="16" customHeight="1">
      <c r="A81" s="7" t="inlineStr">
        <is>
          <t>Gældsandel, %</t>
        </is>
      </c>
      <c r="B81" s="14">
        <f>IFERROR(($B$65-$B$51)/$B$42*100,"")</f>
        <v/>
      </c>
      <c r="C81" s="14">
        <f>IFERROR(($C$65-$C$51)/$C$42*100,"")</f>
        <v/>
      </c>
      <c r="D81" s="14">
        <f>IFERROR(($D$65-$D$51)/$D$42*100,"")</f>
        <v/>
      </c>
      <c r="E81" s="14">
        <f>IFERROR(($E$65-$E$51)/$E$42*100,"")</f>
        <v/>
      </c>
      <c r="F81" s="14">
        <f>IFERROR(($F$65-$F$51)/$F$42*100,"")</f>
        <v/>
      </c>
    </row>
    <row r="82" ht="16" customHeight="1">
      <c r="A82" s="4" t="inlineStr">
        <is>
          <t>Kapitalbindingsgrad, %</t>
        </is>
      </c>
      <c r="B82" s="13">
        <f>IFERROR($B$26/($B$51+0)*100,"")</f>
        <v/>
      </c>
      <c r="C82" s="13">
        <f>IFERROR($C$26/($C$51+0)*100,"")</f>
        <v/>
      </c>
      <c r="D82" s="13">
        <f>IFERROR($D$26/($D$51+0)*100,"")</f>
        <v/>
      </c>
      <c r="E82" s="13">
        <f>IFERROR($E$26/($E$51+0)*100,"")</f>
        <v/>
      </c>
      <c r="F82" s="13">
        <f>IFERROR($F$26/($F$51+0)*100,"")</f>
        <v/>
      </c>
    </row>
    <row r="84">
      <c r="A84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International Entertainment ApS (CVR 39453630)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7264</v>
      </c>
      <c r="C6" s="16" t="n">
        <v>8948</v>
      </c>
      <c r="D6" s="16" t="n">
        <v>6289</v>
      </c>
      <c r="E6" s="16" t="n">
        <v>12297</v>
      </c>
      <c r="F6" s="16" t="n">
        <v>13314</v>
      </c>
    </row>
    <row r="7">
      <c r="A7" s="15" t="inlineStr">
        <is>
          <t>Personaleomkostninger</t>
        </is>
      </c>
      <c r="B7" s="16" t="n">
        <v>6232</v>
      </c>
      <c r="C7" s="16" t="n">
        <v>8103</v>
      </c>
      <c r="D7" s="16" t="n">
        <v>10716</v>
      </c>
      <c r="E7" s="16" t="n">
        <v>13722</v>
      </c>
      <c r="F7" s="16" t="n">
        <v>15059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Andre driftsomkostninger</t>
        </is>
      </c>
      <c r="B10" s="16" t="n"/>
      <c r="C10" s="16" t="n">
        <v>823</v>
      </c>
      <c r="D10" s="16" t="n">
        <v>0</v>
      </c>
      <c r="E10" s="16" t="n"/>
      <c r="F10" s="16" t="n"/>
    </row>
    <row r="11">
      <c r="A11" s="17" t="inlineStr">
        <is>
          <t>Resultat af primær drift</t>
        </is>
      </c>
      <c r="B11" s="16" t="n">
        <v>1032</v>
      </c>
      <c r="C11" s="16" t="n">
        <v>22</v>
      </c>
      <c r="D11" s="16" t="n">
        <v>-4426</v>
      </c>
      <c r="E11" s="16" t="n"/>
      <c r="F11" s="16" t="n"/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/>
      <c r="C13" s="16" t="n">
        <v>74</v>
      </c>
      <c r="D13" s="16" t="n">
        <v>67</v>
      </c>
      <c r="E13" s="16" t="n">
        <v>63</v>
      </c>
      <c r="F13" s="16" t="n">
        <v>53</v>
      </c>
    </row>
    <row r="14">
      <c r="A14" s="15" t="inlineStr">
        <is>
          <t>Finansielle omkostninger</t>
        </is>
      </c>
      <c r="B14" s="16" t="n">
        <v>35</v>
      </c>
      <c r="C14" s="16" t="n">
        <v>66</v>
      </c>
      <c r="D14" s="16" t="n">
        <v>222</v>
      </c>
      <c r="E14" s="16" t="n">
        <v>432</v>
      </c>
      <c r="F14" s="16" t="n">
        <v>449</v>
      </c>
    </row>
    <row r="15">
      <c r="A15" s="17" t="inlineStr">
        <is>
          <t>Finansielle poster, netto</t>
        </is>
      </c>
      <c r="B15" s="16" t="n">
        <v>-35</v>
      </c>
      <c r="C15" s="16" t="n">
        <v>8</v>
      </c>
      <c r="D15" s="16" t="n">
        <v>-155</v>
      </c>
      <c r="E15" s="16" t="n">
        <v>-369</v>
      </c>
      <c r="F15" s="16" t="n">
        <v>-396</v>
      </c>
    </row>
    <row r="16">
      <c r="A16" s="17" t="inlineStr">
        <is>
          <t>Resultat før skat</t>
        </is>
      </c>
      <c r="B16" s="16" t="n">
        <v>997</v>
      </c>
      <c r="C16" s="16" t="n">
        <v>30</v>
      </c>
      <c r="D16" s="16" t="n">
        <v>-4581</v>
      </c>
      <c r="E16" s="16" t="n"/>
      <c r="F16" s="16" t="n"/>
    </row>
    <row r="17">
      <c r="A17" s="15" t="inlineStr">
        <is>
          <t>Skat af årets resultat</t>
        </is>
      </c>
      <c r="B17" s="16" t="n"/>
      <c r="C17" s="16" t="n"/>
      <c r="D17" s="16" t="n"/>
      <c r="E17" s="16" t="n"/>
      <c r="F17" s="16" t="n"/>
    </row>
    <row r="18">
      <c r="A18" s="17" t="inlineStr">
        <is>
          <t>Årets resultat</t>
        </is>
      </c>
      <c r="B18" s="16" t="n">
        <v>997</v>
      </c>
      <c r="C18" s="16" t="n">
        <v>30</v>
      </c>
      <c r="D18" s="16" t="n">
        <v>-4581</v>
      </c>
      <c r="E18" s="16" t="n">
        <v>-1794</v>
      </c>
      <c r="F18" s="16" t="n">
        <v>-2141</v>
      </c>
    </row>
    <row r="19">
      <c r="A19" s="15" t="inlineStr">
        <is>
          <t>Gns. antal medarbejdere</t>
        </is>
      </c>
      <c r="B19" s="16" t="n">
        <v>20</v>
      </c>
      <c r="C19" s="16" t="n">
        <v>30</v>
      </c>
      <c r="D19" s="16" t="n">
        <v>32</v>
      </c>
      <c r="E19" s="16" t="n">
        <v>39</v>
      </c>
      <c r="F19" s="16" t="n">
        <v>34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International Entertainment ApS (CVR 39453630)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Kapitalandele, dattervirksomheder</t>
        </is>
      </c>
      <c r="B2" s="16" t="n"/>
      <c r="C2" s="16" t="n"/>
      <c r="D2" s="16" t="n"/>
      <c r="E2" s="16" t="n"/>
      <c r="F2" s="16" t="n"/>
    </row>
    <row r="3">
      <c r="A3" s="15" t="inlineStr">
        <is>
          <t>Deposita</t>
        </is>
      </c>
      <c r="B3" s="16" t="n"/>
      <c r="C3" s="16" t="n">
        <v>0</v>
      </c>
      <c r="D3" s="16" t="n">
        <v>10</v>
      </c>
      <c r="E3" s="16" t="n">
        <v>0</v>
      </c>
      <c r="F3" s="16" t="n">
        <v>8</v>
      </c>
    </row>
    <row r="4">
      <c r="A4" s="17" t="inlineStr">
        <is>
          <t>Finansielle anlægsaktiver</t>
        </is>
      </c>
      <c r="B4" s="16" t="n"/>
      <c r="C4" s="16" t="n">
        <v>0</v>
      </c>
      <c r="D4" s="16" t="n">
        <v>10</v>
      </c>
      <c r="E4" s="16" t="n">
        <v>0</v>
      </c>
      <c r="F4" s="16" t="n">
        <v>8</v>
      </c>
    </row>
    <row r="5">
      <c r="A5" s="17" t="inlineStr">
        <is>
          <t>Anlægsaktiver</t>
        </is>
      </c>
      <c r="B5" s="16" t="n">
        <v>0</v>
      </c>
      <c r="C5" s="16" t="n">
        <v>0</v>
      </c>
      <c r="D5" s="16" t="n">
        <v>10</v>
      </c>
      <c r="E5" s="16" t="n">
        <v>0</v>
      </c>
      <c r="F5" s="16" t="n">
        <v>8</v>
      </c>
    </row>
    <row r="6">
      <c r="A6" s="15" t="inlineStr">
        <is>
          <t>Råvarer og hjælpematerialer</t>
        </is>
      </c>
      <c r="B6" s="16" t="n"/>
      <c r="C6" s="16" t="n"/>
      <c r="D6" s="16" t="n"/>
      <c r="E6" s="16" t="n"/>
      <c r="F6" s="16" t="n"/>
    </row>
    <row r="7">
      <c r="A7" s="15" t="inlineStr">
        <is>
          <t>Varer under fremstilling</t>
        </is>
      </c>
      <c r="B7" s="16" t="n"/>
      <c r="C7" s="16" t="n"/>
      <c r="D7" s="16" t="n"/>
      <c r="E7" s="16" t="n"/>
      <c r="F7" s="16" t="n"/>
    </row>
    <row r="8">
      <c r="A8" s="15" t="inlineStr">
        <is>
          <t>Færdigvarer og handelsvarer</t>
        </is>
      </c>
      <c r="B8" s="16" t="n"/>
      <c r="C8" s="16" t="n"/>
      <c r="D8" s="16" t="n"/>
      <c r="E8" s="16" t="n">
        <v>27</v>
      </c>
      <c r="F8" s="16" t="n">
        <v>1620</v>
      </c>
    </row>
    <row r="9">
      <c r="A9" s="17" t="inlineStr">
        <is>
          <t>Varebeholdninger</t>
        </is>
      </c>
      <c r="B9" s="16" t="n"/>
      <c r="C9" s="16" t="n"/>
      <c r="D9" s="16" t="n"/>
      <c r="E9" s="16" t="n">
        <v>27</v>
      </c>
      <c r="F9" s="16" t="n">
        <v>1620</v>
      </c>
    </row>
    <row r="10">
      <c r="A10" s="15" t="inlineStr">
        <is>
          <t>Tilgodehavender fra salg og tjenesteydelser</t>
        </is>
      </c>
      <c r="B10" s="16" t="n">
        <v>119</v>
      </c>
      <c r="C10" s="16" t="n">
        <v>72</v>
      </c>
      <c r="D10" s="16" t="n">
        <v>282</v>
      </c>
      <c r="E10" s="16" t="n">
        <v>182</v>
      </c>
      <c r="F10" s="16" t="n">
        <v>627</v>
      </c>
    </row>
    <row r="11">
      <c r="A11" s="15" t="inlineStr">
        <is>
          <t>Tilgodehavender hos tilknyttede virksomheder</t>
        </is>
      </c>
      <c r="B11" s="16" t="n">
        <v>844</v>
      </c>
      <c r="C11" s="16" t="n">
        <v>3415</v>
      </c>
      <c r="D11" s="16" t="n">
        <v>2527</v>
      </c>
      <c r="E11" s="16" t="n">
        <v>3497</v>
      </c>
      <c r="F11" s="16" t="n">
        <v>253</v>
      </c>
    </row>
    <row r="12">
      <c r="A12" s="15" t="inlineStr">
        <is>
          <t>Andre tilgodehavender</t>
        </is>
      </c>
      <c r="B12" s="16" t="n">
        <v>1272</v>
      </c>
      <c r="C12" s="16" t="n">
        <v>24</v>
      </c>
      <c r="D12" s="16" t="n">
        <v>55</v>
      </c>
      <c r="E12" s="16" t="n">
        <v>46</v>
      </c>
      <c r="F12" s="16" t="n">
        <v>15</v>
      </c>
    </row>
    <row r="13">
      <c r="A13" s="15" t="inlineStr">
        <is>
          <t>Periodeafgrænsningsposter (aktiver)</t>
        </is>
      </c>
      <c r="B13" s="16" t="n">
        <v>47</v>
      </c>
      <c r="C13" s="16" t="n">
        <v>1042</v>
      </c>
      <c r="D13" s="16" t="n">
        <v>392</v>
      </c>
      <c r="E13" s="16" t="n">
        <v>67</v>
      </c>
      <c r="F13" s="16" t="n">
        <v>88</v>
      </c>
    </row>
    <row r="14">
      <c r="A14" s="15" t="inlineStr">
        <is>
          <t>Udskudt skatteaktiv</t>
        </is>
      </c>
      <c r="B14" s="16" t="n"/>
      <c r="C14" s="16" t="n"/>
      <c r="D14" s="16" t="n"/>
      <c r="E14" s="16" t="n"/>
      <c r="F14" s="16" t="n"/>
    </row>
    <row r="15">
      <c r="A15" s="15" t="inlineStr">
        <is>
          <t>Tilgodehavende skat hos tilknyttede virksomheder</t>
        </is>
      </c>
      <c r="B15" s="16" t="n"/>
      <c r="C15" s="16" t="n"/>
      <c r="D15" s="16" t="n"/>
      <c r="E15" s="16" t="n"/>
      <c r="F15" s="16" t="n"/>
    </row>
    <row r="16">
      <c r="A16" s="15" t="inlineStr">
        <is>
          <t>Kortfristede skattetilgodehavender</t>
        </is>
      </c>
      <c r="B16" s="16" t="n"/>
      <c r="C16" s="16" t="n"/>
      <c r="D16" s="16" t="n"/>
      <c r="E16" s="16" t="n"/>
      <c r="F16" s="16" t="n"/>
    </row>
    <row r="17">
      <c r="A17" s="17" t="inlineStr">
        <is>
          <t>Tilgodehavender</t>
        </is>
      </c>
      <c r="B17" s="16" t="n">
        <v>2282</v>
      </c>
      <c r="C17" s="16" t="n">
        <v>4553</v>
      </c>
      <c r="D17" s="16" t="n">
        <v>3256</v>
      </c>
      <c r="E17" s="16" t="n">
        <v>3792</v>
      </c>
      <c r="F17" s="16" t="n">
        <v>984</v>
      </c>
    </row>
    <row r="18">
      <c r="A18" s="15" t="inlineStr">
        <is>
          <t>Værdipapirer</t>
        </is>
      </c>
      <c r="B18" s="16" t="n"/>
      <c r="C18" s="16" t="n"/>
      <c r="D18" s="16" t="n"/>
      <c r="E18" s="16" t="n"/>
      <c r="F18" s="16" t="n"/>
    </row>
    <row r="19">
      <c r="A19" s="15" t="inlineStr">
        <is>
          <t>Likvide beholdninger</t>
        </is>
      </c>
      <c r="B19" s="16" t="n">
        <v>9</v>
      </c>
      <c r="C19" s="16" t="n">
        <v>43</v>
      </c>
      <c r="D19" s="16" t="n">
        <v>65</v>
      </c>
      <c r="E19" s="16" t="n">
        <v>43</v>
      </c>
      <c r="F19" s="16" t="n">
        <v>96</v>
      </c>
    </row>
    <row r="20">
      <c r="A20" s="17" t="inlineStr">
        <is>
          <t>Omsætningsaktiver</t>
        </is>
      </c>
      <c r="B20" s="16" t="n">
        <v>2291</v>
      </c>
      <c r="C20" s="16" t="n">
        <v>4596</v>
      </c>
      <c r="D20" s="16" t="n">
        <v>3322</v>
      </c>
      <c r="E20" s="16" t="n">
        <v>3862</v>
      </c>
      <c r="F20" s="16" t="n">
        <v>2701</v>
      </c>
    </row>
    <row r="21">
      <c r="A21" s="17" t="inlineStr">
        <is>
          <t>Aktiver</t>
        </is>
      </c>
      <c r="B21" s="16" t="n">
        <v>2291</v>
      </c>
      <c r="C21" s="16" t="n">
        <v>4596</v>
      </c>
      <c r="D21" s="16" t="n">
        <v>3332</v>
      </c>
      <c r="E21" s="16" t="n">
        <v>3862</v>
      </c>
      <c r="F21" s="16" t="n">
        <v>2709</v>
      </c>
    </row>
    <row r="22">
      <c r="A22" s="15" t="inlineStr">
        <is>
          <t>Selskabskapital</t>
        </is>
      </c>
      <c r="B22" s="16" t="n">
        <v>50</v>
      </c>
      <c r="C22" s="16" t="n">
        <v>50</v>
      </c>
      <c r="D22" s="16" t="n">
        <v>50</v>
      </c>
      <c r="E22" s="16" t="n">
        <v>50</v>
      </c>
      <c r="F22" s="16" t="n">
        <v>50</v>
      </c>
    </row>
    <row r="23">
      <c r="A23" s="15" t="inlineStr">
        <is>
          <t>Reserve for nettoopskrivning (indre værdis metode)</t>
        </is>
      </c>
      <c r="B23" s="16" t="n"/>
      <c r="C23" s="16" t="n"/>
      <c r="D23" s="16" t="n"/>
      <c r="E23" s="16" t="n"/>
      <c r="F23" s="16" t="n"/>
    </row>
    <row r="24">
      <c r="A24" s="15" t="inlineStr">
        <is>
          <t>Reserve for udviklingsomkostninger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Reserve for sikringstransaktioner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Andre reserver</t>
        </is>
      </c>
      <c r="B26" s="16" t="n"/>
      <c r="C26" s="16" t="n"/>
      <c r="D26" s="16" t="n"/>
      <c r="E26" s="16" t="n"/>
      <c r="F26" s="16" t="n"/>
    </row>
    <row r="27">
      <c r="A27" s="15" t="inlineStr">
        <is>
          <t>Overført resultat</t>
        </is>
      </c>
      <c r="B27" s="16" t="n">
        <v>-1406</v>
      </c>
      <c r="C27" s="16" t="n">
        <v>-1376</v>
      </c>
      <c r="D27" s="16" t="n">
        <v>-5958</v>
      </c>
      <c r="E27" s="16" t="n">
        <v>-7751</v>
      </c>
      <c r="F27" s="16" t="n">
        <v>-9892</v>
      </c>
    </row>
    <row r="28">
      <c r="A28" s="17" t="inlineStr">
        <is>
          <t>Egenkapital i alt</t>
        </is>
      </c>
      <c r="B28" s="16" t="n">
        <v>-1356</v>
      </c>
      <c r="C28" s="16" t="n">
        <v>-1326</v>
      </c>
      <c r="D28" s="16" t="n">
        <v>-5908</v>
      </c>
      <c r="E28" s="16" t="n">
        <v>-7701</v>
      </c>
      <c r="F28" s="16" t="n">
        <v>-9842</v>
      </c>
    </row>
    <row r="29">
      <c r="A29" s="15" t="inlineStr">
        <is>
          <t>Ansvarlig lånekapital (kortfristet)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Kortfristet del af langfristede gældsforpligtelser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Kreditinstitutter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Leasingforpligtelser (kortfristet)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Leverandører af varer og tjenesteydelser</t>
        </is>
      </c>
      <c r="B33" s="16" t="n">
        <v>296</v>
      </c>
      <c r="C33" s="16" t="n">
        <v>1155</v>
      </c>
      <c r="D33" s="16" t="n">
        <v>2862</v>
      </c>
      <c r="E33" s="16" t="n">
        <v>2437</v>
      </c>
      <c r="F33" s="16" t="n">
        <v>3398</v>
      </c>
    </row>
    <row r="34">
      <c r="A34" s="15" t="inlineStr">
        <is>
          <t>Gæld til tilknyttede virksomheder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Gæld til selskabsdeltagere og ledelse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Selskabsskat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Gæld til tilknyttede virksomheder vedr. selskabsskat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Anden gæld (kortfristet)</t>
        </is>
      </c>
      <c r="B38" s="16" t="n">
        <v>3351</v>
      </c>
      <c r="C38" s="16" t="n">
        <v>4767</v>
      </c>
      <c r="D38" s="16" t="n">
        <v>6377</v>
      </c>
      <c r="E38" s="16" t="n">
        <v>9126</v>
      </c>
      <c r="F38" s="16" t="n">
        <v>9154</v>
      </c>
    </row>
    <row r="39">
      <c r="A39" s="15" t="inlineStr">
        <is>
          <t>Periodeafgrænsningsposter (passiver)</t>
        </is>
      </c>
      <c r="B39" s="16" t="n">
        <v>0</v>
      </c>
      <c r="C39" s="16" t="n"/>
      <c r="D39" s="16" t="n"/>
      <c r="E39" s="16" t="n"/>
      <c r="F39" s="16" t="n"/>
    </row>
    <row r="40">
      <c r="A40" s="17" t="inlineStr">
        <is>
          <t>Kortfristede gældsforpligtelser</t>
        </is>
      </c>
      <c r="B40" s="16" t="n">
        <v>3647</v>
      </c>
      <c r="C40" s="16" t="n">
        <v>5922</v>
      </c>
      <c r="D40" s="16" t="n">
        <v>9239</v>
      </c>
      <c r="E40" s="16" t="n">
        <v>11564</v>
      </c>
      <c r="F40" s="16" t="n">
        <v>12552</v>
      </c>
    </row>
    <row r="41">
      <c r="A41" s="17" t="inlineStr">
        <is>
          <t>Gældsforpligtelser</t>
        </is>
      </c>
      <c r="B41" s="16" t="n">
        <v>3647</v>
      </c>
      <c r="C41" s="16" t="n">
        <v>5922</v>
      </c>
      <c r="D41" s="16" t="n">
        <v>9239</v>
      </c>
      <c r="E41" s="16" t="n">
        <v>11564</v>
      </c>
      <c r="F41" s="16" t="n">
        <v>12552</v>
      </c>
    </row>
    <row r="42">
      <c r="A42" s="17" t="inlineStr">
        <is>
          <t>Passiver</t>
        </is>
      </c>
      <c r="B42" s="16" t="n">
        <v>2291</v>
      </c>
      <c r="C42" s="16" t="n">
        <v>4596</v>
      </c>
      <c r="D42" s="16" t="n">
        <v>3332</v>
      </c>
      <c r="E42" s="16" t="n">
        <v>3862</v>
      </c>
      <c r="F42" s="16" t="n">
        <v>2709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International Entertainment ApS (CVR 39453630) — Regnskabs- og nøgletal (CVR: 39453630)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'res_raw_39453630'!$F$2</f>
        <v/>
      </c>
      <c r="C5" s="24">
        <f>'res_raw_39453630'!$E$2</f>
        <v/>
      </c>
      <c r="D5" s="24">
        <f>'res_raw_39453630'!$D$2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'res_raw_39453630'!$F$3</f>
        <v/>
      </c>
      <c r="C6" s="24">
        <f>'res_raw_39453630'!$E$3</f>
        <v/>
      </c>
      <c r="D6" s="24">
        <f>'res_raw_39453630'!$D$3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-'res_raw_39453630'!$F$4</f>
        <v/>
      </c>
      <c r="C7" s="24">
        <f>-'res_raw_39453630'!$E$4</f>
        <v/>
      </c>
      <c r="D7" s="24">
        <f>-'res_raw_39453630'!$D$4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-'res_raw_39453630'!$F$5</f>
        <v/>
      </c>
      <c r="C8" s="24">
        <f>-'res_raw_39453630'!$E$5</f>
        <v/>
      </c>
      <c r="D8" s="24">
        <f>-'res_raw_39453630'!$D$5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IF(ABS((SUM(B5:B8))-'res_raw_39453630'!$F$6)&lt;=2,SUM(B5:B8),'res_raw_39453630'!$F$6)</f>
        <v/>
      </c>
      <c r="C9" s="27">
        <f>IF(ABS((SUM(C5:C8))-'res_raw_39453630'!$E$6)&lt;=2,SUM(C5:C8),'res_raw_39453630'!$E$6)</f>
        <v/>
      </c>
      <c r="D9" s="27">
        <f>IF(ABS((SUM(D5:D8))-'res_raw_39453630'!$D$6)&lt;=2,SUM(D5:D8),'res_raw_39453630'!$D$6)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-'res_raw_39453630'!$F$7</f>
        <v/>
      </c>
      <c r="C10" s="24">
        <f>-'res_raw_39453630'!$E$7</f>
        <v/>
      </c>
      <c r="D10" s="24">
        <f>-'res_raw_39453630'!$D$7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-'res_raw_39453630'!$F$9</f>
        <v/>
      </c>
      <c r="C11" s="24">
        <f>-'res_raw_39453630'!$E$9</f>
        <v/>
      </c>
      <c r="D11" s="24">
        <f>-'res_raw_39453630'!$D$9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-'res_raw_39453630'!$F$10</f>
        <v/>
      </c>
      <c r="C12" s="24">
        <f>-'res_raw_39453630'!$E$10</f>
        <v/>
      </c>
      <c r="D12" s="24">
        <f>-'res_raw_39453630'!$D$10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IF(ABS((SUM(B9:B12))-'res_raw_39453630'!$F$11)&lt;=2,SUM(B9:B12),'res_raw_39453630'!$F$11)</f>
        <v/>
      </c>
      <c r="C13" s="27">
        <f>IF(ABS((SUM(C9:C12))-'res_raw_39453630'!$E$11)&lt;=2,SUM(C9:C12),'res_raw_39453630'!$E$11)</f>
        <v/>
      </c>
      <c r="D13" s="27">
        <f>IF(ABS((SUM(D9:D12))-'res_raw_39453630'!$D$11)&lt;=2,SUM(D9:D12),'res_raw_39453630'!$D$11)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N('res_raw_39453630'!$F$12)+N('res_raw_39453630'!$F$13)</f>
        <v/>
      </c>
      <c r="C14" s="24">
        <f>N('res_raw_39453630'!$E$12)+N('res_raw_39453630'!$E$13)</f>
        <v/>
      </c>
      <c r="D14" s="24">
        <f>N('res_raw_39453630'!$D$12)+N('res_raw_39453630'!$D$13)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-'res_raw_39453630'!$F$14</f>
        <v/>
      </c>
      <c r="C15" s="24">
        <f>-'res_raw_39453630'!$E$14</f>
        <v/>
      </c>
      <c r="D15" s="24">
        <f>-'res_raw_39453630'!$D$14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IF(ABS((SUM(B13:B15))-'res_raw_39453630'!$F$16)&lt;=2,SUM(B13:B15),'res_raw_39453630'!$F$16)</f>
        <v/>
      </c>
      <c r="C16" s="27">
        <f>IF(ABS((SUM(C13:C15))-'res_raw_39453630'!$E$16)&lt;=2,SUM(C13:C15),'res_raw_39453630'!$E$16)</f>
        <v/>
      </c>
      <c r="D16" s="27">
        <f>IF(ABS((SUM(D13:D15))-'res_raw_39453630'!$D$16)&lt;=2,SUM(D13:D15),'res_raw_39453630'!$D$16)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'balance_raw_39453630'!$F$5</f>
        <v/>
      </c>
      <c r="C19" s="24">
        <f>'balance_raw_39453630'!$E$5</f>
        <v/>
      </c>
      <c r="D19" s="24">
        <f>'balance_raw_39453630'!$D$5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'balance_raw_39453630'!$F$20</f>
        <v/>
      </c>
      <c r="C20" s="24">
        <f>'balance_raw_39453630'!$E$20</f>
        <v/>
      </c>
      <c r="D20" s="24">
        <f>'balance_raw_39453630'!$D$20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'balance_raw_39453630'!$F$28</f>
        <v/>
      </c>
      <c r="C23" s="24">
        <f>'balance_raw_39453630'!$E$28</f>
        <v/>
      </c>
      <c r="D23" s="24">
        <f>'balance_raw_39453630'!$D$28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'balance_raw_39453630'!$F$42-'balance_raw_39453630'!$F$28</f>
        <v/>
      </c>
      <c r="C24" s="24">
        <f>'balance_raw_39453630'!$E$42-'balance_raw_39453630'!$E$28</f>
        <v/>
      </c>
      <c r="D24" s="24">
        <f>'balance_raw_39453630'!$D$42-'balance_raw_39453630'!$D$28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'balance_raw_39453630'!$F$9</f>
        <v/>
      </c>
      <c r="C28" s="24">
        <f>'balance_raw_39453630'!$E$9</f>
        <v/>
      </c>
      <c r="D28" s="24">
        <f>'balance_raw_39453630'!$D$9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'balance_raw_39453630'!$F$10</f>
        <v/>
      </c>
      <c r="C29" s="24">
        <f>'balance_raw_39453630'!$E$10</f>
        <v/>
      </c>
      <c r="D29" s="24">
        <f>'balance_raw_39453630'!$D$10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'balance_raw_39453630'!$F$40</f>
        <v/>
      </c>
      <c r="C30" s="24">
        <f>'balance_raw_39453630'!$E$40</f>
        <v/>
      </c>
      <c r="D30" s="24">
        <f>'balance_raw_39453630'!$D$40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IF('balance_raw_39453630'!$F$21="","—",IF(ABS(B21-'balance_raw_39453630'!$F$21)&lt;=1,"✓ OK","❌ "&amp;TEXT(B21-'balance_raw_39453630'!$F$21,"+#,##0;-#,##0")&amp;" t.kr."))</f>
        <v/>
      </c>
      <c r="C61" s="29">
        <f>IF('balance_raw_39453630'!$E$21="","—",IF(ABS(C21-'balance_raw_39453630'!$E$21)&lt;=1,"✓ OK","❌ "&amp;TEXT(C21-'balance_raw_39453630'!$E$21,"+#,##0;-#,##0")&amp;" t.kr."))</f>
        <v/>
      </c>
      <c r="D61" s="29">
        <f>IF('balance_raw_39453630'!$D$21="","—",IF(ABS(D21-'balance_raw_39453630'!$D$21)&lt;=1,"✓ OK","❌ "&amp;TEXT(D21-'balance_raw_39453630'!$D$21,"+#,##0;-#,##0")&amp;"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IF('balance_raw_39453630'!$F$42="","—",IF(ABS(B25-'balance_raw_39453630'!$F$42)&lt;=1,"✓ OK","❌ "&amp;TEXT(B25-'balance_raw_39453630'!$F$42,"+#,##0;-#,##0")&amp;" t.kr."))</f>
        <v/>
      </c>
      <c r="C62" s="29">
        <f>IF('balance_raw_39453630'!$E$42="","—",IF(ABS(C25-'balance_raw_39453630'!$E$42)&lt;=1,"✓ OK","❌ "&amp;TEXT(C25-'balance_raw_39453630'!$E$42,"+#,##0;-#,##0")&amp;" t.kr."))</f>
        <v/>
      </c>
      <c r="D62" s="29">
        <f>IF('balance_raw_39453630'!$D$42="","—",IF(ABS(D25-'balance_raw_39453630'!$D$42)&lt;=1,"✓ OK","❌ "&amp;TEXT(D25-'balance_raw_39453630'!$D$42,"+#,##0;-#,##0")&amp;"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IF('res_raw_39453630'!$F$6="","—",IF(ABS(B9-'res_raw_39453630'!$F$6)&lt;=1,"✓ OK","❌ "&amp;TEXT(B9-'res_raw_39453630'!$F$6,"+#,##0;-#,##0")&amp;" t.kr."))</f>
        <v/>
      </c>
      <c r="C64" s="29">
        <f>IF('res_raw_39453630'!$E$6="","—",IF(ABS(C9-'res_raw_39453630'!$E$6)&lt;=1,"✓ OK","❌ "&amp;TEXT(C9-'res_raw_39453630'!$E$6,"+#,##0;-#,##0")&amp;" t.kr."))</f>
        <v/>
      </c>
      <c r="D64" s="29">
        <f>IF('res_raw_39453630'!$D$6="","—",IF(ABS(D9-'res_raw_39453630'!$D$6)&lt;=1,"✓ OK","❌ "&amp;TEXT(D9-'res_raw_39453630'!$D$6,"+#,##0;-#,##0")&amp;"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IF('res_raw_39453630'!$F$11="","—",IF(ABS(B13-'res_raw_39453630'!$F$11)&lt;=1,"✓ OK","❌ "&amp;TEXT(B13-'res_raw_39453630'!$F$11,"+#,##0;-#,##0")&amp;" t.kr."))</f>
        <v/>
      </c>
      <c r="C65" s="29">
        <f>IF('res_raw_39453630'!$E$11="","—",IF(ABS(C13-'res_raw_39453630'!$E$11)&lt;=1,"✓ OK","❌ "&amp;TEXT(C13-'res_raw_39453630'!$E$11,"+#,##0;-#,##0")&amp;" t.kr."))</f>
        <v/>
      </c>
      <c r="D65" s="29">
        <f>IF('res_raw_39453630'!$D$11="","—",IF(ABS(D13-'res_raw_39453630'!$D$11)&lt;=1,"✓ OK","❌ "&amp;TEXT(D13-'res_raw_39453630'!$D$11,"+#,##0;-#,##0")&amp;"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IF('res_raw_39453630'!$F$16="","—",IF(ABS(B16-'res_raw_39453630'!$F$16)&lt;=1,"✓ OK","❌ "&amp;TEXT(B16-'res_raw_39453630'!$F$16,"+#,##0;-#,##0")&amp;" t.kr."))</f>
        <v/>
      </c>
      <c r="C66" s="29">
        <f>IF('res_raw_39453630'!$E$16="","—",IF(ABS(C16-'res_raw_39453630'!$E$16)&lt;=1,"✓ OK","❌ "&amp;TEXT(C16-'res_raw_39453630'!$E$16,"+#,##0;-#,##0")&amp;" t.kr."))</f>
        <v/>
      </c>
      <c r="D66" s="29">
        <f>IF('res_raw_39453630'!$D$16="","—",IF(ABS(D16-'res_raw_39453630'!$D$16)&lt;=1,"✓ OK","❌ "&amp;TEXT(D16-'res_raw_39453630'!$D$16,"+#,##0;-#,##0")&amp;"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2026-10-02T21:13:27Z</dcterms:created>
  <dcterms:modified xmlns:dcterms="http://purl.org/dc/terms/" xmlns:xsi="http://www.w3.org/2001/XMLSchema-instance" xsi:type="dcterms:W3CDTF">2026-10-02T21:13:28Z</dcterms:modified>
</cp:coreProperties>
</file>