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428911" sheetId="1" state="visible" r:id="rId1"/>
    <sheet xmlns:r="http://schemas.openxmlformats.org/officeDocument/2006/relationships" name="res_raw_39428911" sheetId="2" state="visible" r:id="rId2"/>
    <sheet xmlns:r="http://schemas.openxmlformats.org/officeDocument/2006/relationships" name="balance_raw_394289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Caprock ApS (CVR 39428911) — Regnskabsanalyse – Resultatopgørelse &amp; Balance (t.kr.) · Klasse B · Udvidet gennemgang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'res_raw_39428911'!$B$2</f>
        <v/>
      </c>
      <c r="C4" s="5">
        <f>'res_raw_39428911'!$C$2</f>
        <v/>
      </c>
      <c r="D4" s="5">
        <f>'res_raw_39428911'!$D$2</f>
        <v/>
      </c>
      <c r="E4" s="5">
        <f>'res_raw_39428911'!$E$2</f>
        <v/>
      </c>
      <c r="F4" s="5">
        <f>'res_raw_39428911'!$F$2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'res_raw_39428911'!$B$3</f>
        <v/>
      </c>
      <c r="C5" s="8">
        <f>'res_raw_39428911'!$C$3</f>
        <v/>
      </c>
      <c r="D5" s="8">
        <f>'res_raw_39428911'!$D$3</f>
        <v/>
      </c>
      <c r="E5" s="8">
        <f>'res_raw_39428911'!$E$3</f>
        <v/>
      </c>
      <c r="F5" s="8">
        <f>'res_raw_39428911'!$F$3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'res_raw_39428911'!$B$4</f>
        <v/>
      </c>
      <c r="C6" s="5">
        <f>'res_raw_39428911'!$C$4</f>
        <v/>
      </c>
      <c r="D6" s="5">
        <f>'res_raw_39428911'!$D$4</f>
        <v/>
      </c>
      <c r="E6" s="5">
        <f>'res_raw_39428911'!$E$4</f>
        <v/>
      </c>
      <c r="F6" s="5">
        <f>'res_raw_39428911'!$F$4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'res_raw_39428911'!$B$5</f>
        <v/>
      </c>
      <c r="C7" s="8">
        <f>'res_raw_39428911'!$C$5</f>
        <v/>
      </c>
      <c r="D7" s="8">
        <f>'res_raw_39428911'!$D$5</f>
        <v/>
      </c>
      <c r="E7" s="8">
        <f>'res_raw_39428911'!$E$5</f>
        <v/>
      </c>
      <c r="F7" s="8">
        <f>'res_raw_39428911'!$F$5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'res_raw_39428911'!$B$6</f>
        <v/>
      </c>
      <c r="C8" s="11">
        <f>'res_raw_39428911'!$C$6</f>
        <v/>
      </c>
      <c r="D8" s="11">
        <f>'res_raw_39428911'!$D$6</f>
        <v/>
      </c>
      <c r="E8" s="11">
        <f>'res_raw_39428911'!$E$6</f>
        <v/>
      </c>
      <c r="F8" s="11">
        <f>'res_raw_39428911'!$F$6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'res_raw_39428911'!$B$7</f>
        <v/>
      </c>
      <c r="C9" s="8">
        <f>'res_raw_39428911'!$C$7</f>
        <v/>
      </c>
      <c r="D9" s="8">
        <f>'res_raw_39428911'!$D$7</f>
        <v/>
      </c>
      <c r="E9" s="8">
        <f>'res_raw_39428911'!$E$7</f>
        <v/>
      </c>
      <c r="F9" s="8">
        <f>'res_raw_39428911'!$F$7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'res_raw_39428911'!$B$9</f>
        <v/>
      </c>
      <c r="C11" s="8">
        <f>'res_raw_39428911'!$C$9</f>
        <v/>
      </c>
      <c r="D11" s="8">
        <f>'res_raw_39428911'!$D$9</f>
        <v/>
      </c>
      <c r="E11" s="8">
        <f>'res_raw_39428911'!$E$9</f>
        <v/>
      </c>
      <c r="F11" s="8">
        <f>'res_raw_39428911'!$F$9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'res_raw_39428911'!$B$10</f>
        <v/>
      </c>
      <c r="C12" s="5">
        <f>'res_raw_39428911'!$C$10</f>
        <v/>
      </c>
      <c r="D12" s="5">
        <f>'res_raw_39428911'!$D$10</f>
        <v/>
      </c>
      <c r="E12" s="5">
        <f>'res_raw_39428911'!$E$10</f>
        <v/>
      </c>
      <c r="F12" s="5">
        <f>'res_raw_39428911'!$F$10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'res_raw_39428911'!$B$11</f>
        <v/>
      </c>
      <c r="C13" s="11">
        <f>'res_raw_39428911'!$C$11</f>
        <v/>
      </c>
      <c r="D13" s="11">
        <f>'res_raw_39428911'!$D$11</f>
        <v/>
      </c>
      <c r="E13" s="11">
        <f>'res_raw_39428911'!$E$11</f>
        <v/>
      </c>
      <c r="F13" s="11">
        <f>'res_raw_39428911'!$F$11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'res_raw_39428911'!$B$12</f>
        <v/>
      </c>
      <c r="C14" s="5">
        <f>'res_raw_39428911'!$C$12</f>
        <v/>
      </c>
      <c r="D14" s="5">
        <f>'res_raw_39428911'!$D$12</f>
        <v/>
      </c>
      <c r="E14" s="5">
        <f>'res_raw_39428911'!$E$12</f>
        <v/>
      </c>
      <c r="F14" s="5">
        <f>'res_raw_39428911'!$F$12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'res_raw_39428911'!$B$13</f>
        <v/>
      </c>
      <c r="C15" s="8">
        <f>'res_raw_39428911'!$C$13</f>
        <v/>
      </c>
      <c r="D15" s="8">
        <f>'res_raw_39428911'!$D$13</f>
        <v/>
      </c>
      <c r="E15" s="8">
        <f>'res_raw_39428911'!$E$13</f>
        <v/>
      </c>
      <c r="F15" s="8">
        <f>'res_raw_39428911'!$F$13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'res_raw_39428911'!$B$14</f>
        <v/>
      </c>
      <c r="C16" s="5">
        <f>'res_raw_39428911'!$C$14</f>
        <v/>
      </c>
      <c r="D16" s="5">
        <f>'res_raw_39428911'!$D$14</f>
        <v/>
      </c>
      <c r="E16" s="5">
        <f>'res_raw_39428911'!$E$14</f>
        <v/>
      </c>
      <c r="F16" s="5">
        <f>'res_raw_39428911'!$F$14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'res_raw_39428911'!$B$15</f>
        <v/>
      </c>
      <c r="C17" s="11">
        <f>'res_raw_39428911'!$C$15</f>
        <v/>
      </c>
      <c r="D17" s="11">
        <f>'res_raw_39428911'!$D$15</f>
        <v/>
      </c>
      <c r="E17" s="11">
        <f>'res_raw_39428911'!$E$15</f>
        <v/>
      </c>
      <c r="F17" s="11">
        <f>'res_raw_39428911'!$F$15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'res_raw_39428911'!$B$16</f>
        <v/>
      </c>
      <c r="C18" s="11">
        <f>'res_raw_39428911'!$C$16</f>
        <v/>
      </c>
      <c r="D18" s="11">
        <f>'res_raw_39428911'!$D$16</f>
        <v/>
      </c>
      <c r="E18" s="11">
        <f>'res_raw_39428911'!$E$16</f>
        <v/>
      </c>
      <c r="F18" s="11">
        <f>'res_raw_39428911'!$F$16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'res_raw_39428911'!$B$17</f>
        <v/>
      </c>
      <c r="C19" s="8">
        <f>'res_raw_39428911'!$C$17</f>
        <v/>
      </c>
      <c r="D19" s="8">
        <f>'res_raw_39428911'!$D$17</f>
        <v/>
      </c>
      <c r="E19" s="8">
        <f>'res_raw_39428911'!$E$17</f>
        <v/>
      </c>
      <c r="F19" s="8">
        <f>'res_raw_39428911'!$F$17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'res_raw_39428911'!$B$18</f>
        <v/>
      </c>
      <c r="C20" s="11">
        <f>'res_raw_39428911'!$C$18</f>
        <v/>
      </c>
      <c r="D20" s="11">
        <f>'res_raw_39428911'!$D$18</f>
        <v/>
      </c>
      <c r="E20" s="11">
        <f>'res_raw_39428911'!$E$18</f>
        <v/>
      </c>
      <c r="F20" s="11">
        <f>'res_raw_39428911'!$F$18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'balance_raw_39428911'!$B$2</f>
        <v/>
      </c>
      <c r="C23" s="8">
        <f>'balance_raw_39428911'!$C$2</f>
        <v/>
      </c>
      <c r="D23" s="8">
        <f>'balance_raw_39428911'!$D$2</f>
        <v/>
      </c>
      <c r="E23" s="8">
        <f>'balance_raw_39428911'!$E$2</f>
        <v/>
      </c>
      <c r="F23" s="8">
        <f>'balance_raw_39428911'!$F$2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'balance_raw_39428911'!$B$3</f>
        <v/>
      </c>
      <c r="C24" s="5">
        <f>'balance_raw_39428911'!$C$3</f>
        <v/>
      </c>
      <c r="D24" s="5">
        <f>'balance_raw_39428911'!$D$3</f>
        <v/>
      </c>
      <c r="E24" s="5">
        <f>'balance_raw_39428911'!$E$3</f>
        <v/>
      </c>
      <c r="F24" s="5">
        <f>'balance_raw_39428911'!$F$3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'balance_raw_39428911'!$B$4</f>
        <v/>
      </c>
      <c r="C25" s="8">
        <f>'balance_raw_39428911'!$C$4</f>
        <v/>
      </c>
      <c r="D25" s="8">
        <f>'balance_raw_39428911'!$D$4</f>
        <v/>
      </c>
      <c r="E25" s="8">
        <f>'balance_raw_39428911'!$E$4</f>
        <v/>
      </c>
      <c r="F25" s="8">
        <f>'balance_raw_39428911'!$F$4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'balance_raw_39428911'!$B$5</f>
        <v/>
      </c>
      <c r="C26" s="11">
        <f>'balance_raw_39428911'!$C$5</f>
        <v/>
      </c>
      <c r="D26" s="11">
        <f>'balance_raw_39428911'!$D$5</f>
        <v/>
      </c>
      <c r="E26" s="11">
        <f>'balance_raw_39428911'!$E$5</f>
        <v/>
      </c>
      <c r="F26" s="11">
        <f>'balance_raw_39428911'!$F$5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'balance_raw_39428911'!$B$6</f>
        <v/>
      </c>
      <c r="C27" s="8">
        <f>'balance_raw_39428911'!$C$6</f>
        <v/>
      </c>
      <c r="D27" s="8">
        <f>'balance_raw_39428911'!$D$6</f>
        <v/>
      </c>
      <c r="E27" s="8">
        <f>'balance_raw_39428911'!$E$6</f>
        <v/>
      </c>
      <c r="F27" s="8">
        <f>'balance_raw_39428911'!$F$6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'balance_raw_39428911'!$B$7</f>
        <v/>
      </c>
      <c r="C28" s="5">
        <f>'balance_raw_39428911'!$C$7</f>
        <v/>
      </c>
      <c r="D28" s="5">
        <f>'balance_raw_39428911'!$D$7</f>
        <v/>
      </c>
      <c r="E28" s="5">
        <f>'balance_raw_39428911'!$E$7</f>
        <v/>
      </c>
      <c r="F28" s="5">
        <f>'balance_raw_39428911'!$F$7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'balance_raw_39428911'!$B$8</f>
        <v/>
      </c>
      <c r="C29" s="8">
        <f>'balance_raw_39428911'!$C$8</f>
        <v/>
      </c>
      <c r="D29" s="8">
        <f>'balance_raw_39428911'!$D$8</f>
        <v/>
      </c>
      <c r="E29" s="8">
        <f>'balance_raw_39428911'!$E$8</f>
        <v/>
      </c>
      <c r="F29" s="8">
        <f>'balance_raw_39428911'!$F$8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'balance_raw_39428911'!$B$9</f>
        <v/>
      </c>
      <c r="C30" s="5">
        <f>'balance_raw_39428911'!$C$9</f>
        <v/>
      </c>
      <c r="D30" s="5">
        <f>'balance_raw_39428911'!$D$9</f>
        <v/>
      </c>
      <c r="E30" s="5">
        <f>'balance_raw_39428911'!$E$9</f>
        <v/>
      </c>
      <c r="F30" s="5">
        <f>'balance_raw_39428911'!$F$9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'balance_raw_39428911'!$B$10</f>
        <v/>
      </c>
      <c r="C31" s="8">
        <f>'balance_raw_39428911'!$C$10</f>
        <v/>
      </c>
      <c r="D31" s="8">
        <f>'balance_raw_39428911'!$D$10</f>
        <v/>
      </c>
      <c r="E31" s="8">
        <f>'balance_raw_39428911'!$E$10</f>
        <v/>
      </c>
      <c r="F31" s="8">
        <f>'balance_raw_39428911'!$F$10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'balance_raw_39428911'!$B$11</f>
        <v/>
      </c>
      <c r="C32" s="11">
        <f>'balance_raw_39428911'!$C$11</f>
        <v/>
      </c>
      <c r="D32" s="11">
        <f>'balance_raw_39428911'!$D$11</f>
        <v/>
      </c>
      <c r="E32" s="11">
        <f>'balance_raw_39428911'!$E$11</f>
        <v/>
      </c>
      <c r="F32" s="11">
        <f>'balance_raw_39428911'!$F$11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'balance_raw_39428911'!$B$12</f>
        <v/>
      </c>
      <c r="C33" s="8">
        <f>'balance_raw_39428911'!$C$12</f>
        <v/>
      </c>
      <c r="D33" s="8">
        <f>'balance_raw_39428911'!$D$12</f>
        <v/>
      </c>
      <c r="E33" s="8">
        <f>'balance_raw_39428911'!$E$12</f>
        <v/>
      </c>
      <c r="F33" s="8">
        <f>'balance_raw_39428911'!$F$12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'balance_raw_39428911'!$B$13</f>
        <v/>
      </c>
      <c r="C34" s="5">
        <f>'balance_raw_39428911'!$C$13</f>
        <v/>
      </c>
      <c r="D34" s="5">
        <f>'balance_raw_39428911'!$D$13</f>
        <v/>
      </c>
      <c r="E34" s="5">
        <f>'balance_raw_39428911'!$E$13</f>
        <v/>
      </c>
      <c r="F34" s="5">
        <f>'balance_raw_39428911'!$F$13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'balance_raw_39428911'!$B$14</f>
        <v/>
      </c>
      <c r="C35" s="11">
        <f>'balance_raw_39428911'!$C$14</f>
        <v/>
      </c>
      <c r="D35" s="11">
        <f>'balance_raw_39428911'!$D$14</f>
        <v/>
      </c>
      <c r="E35" s="11">
        <f>'balance_raw_39428911'!$E$14</f>
        <v/>
      </c>
      <c r="F35" s="11">
        <f>'balance_raw_39428911'!$F$14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'balance_raw_39428911'!$B$15</f>
        <v/>
      </c>
      <c r="C36" s="11">
        <f>'balance_raw_39428911'!$C$15</f>
        <v/>
      </c>
      <c r="D36" s="11">
        <f>'balance_raw_39428911'!$D$15</f>
        <v/>
      </c>
      <c r="E36" s="11">
        <f>'balance_raw_39428911'!$E$15</f>
        <v/>
      </c>
      <c r="F36" s="11">
        <f>'balance_raw_39428911'!$F$15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'balance_raw_39428911'!$B$16</f>
        <v/>
      </c>
      <c r="C37" s="8">
        <f>'balance_raw_39428911'!$C$16</f>
        <v/>
      </c>
      <c r="D37" s="8">
        <f>'balance_raw_39428911'!$D$16</f>
        <v/>
      </c>
      <c r="E37" s="8">
        <f>'balance_raw_39428911'!$E$16</f>
        <v/>
      </c>
      <c r="F37" s="8">
        <f>'balance_raw_39428911'!$F$16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'balance_raw_39428911'!$B$17</f>
        <v/>
      </c>
      <c r="C38" s="5">
        <f>'balance_raw_39428911'!$C$17</f>
        <v/>
      </c>
      <c r="D38" s="5">
        <f>'balance_raw_39428911'!$D$17</f>
        <v/>
      </c>
      <c r="E38" s="5">
        <f>'balance_raw_39428911'!$E$17</f>
        <v/>
      </c>
      <c r="F38" s="5">
        <f>'balance_raw_39428911'!$F$17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'balance_raw_39428911'!$B$18</f>
        <v/>
      </c>
      <c r="C39" s="8">
        <f>'balance_raw_39428911'!$C$18</f>
        <v/>
      </c>
      <c r="D39" s="8">
        <f>'balance_raw_39428911'!$D$18</f>
        <v/>
      </c>
      <c r="E39" s="8">
        <f>'balance_raw_39428911'!$E$18</f>
        <v/>
      </c>
      <c r="F39" s="8">
        <f>'balance_raw_39428911'!$F$18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'balance_raw_39428911'!$B$19</f>
        <v/>
      </c>
      <c r="C40" s="11">
        <f>'balance_raw_39428911'!$C$19</f>
        <v/>
      </c>
      <c r="D40" s="11">
        <f>'balance_raw_39428911'!$D$19</f>
        <v/>
      </c>
      <c r="E40" s="11">
        <f>'balance_raw_39428911'!$E$19</f>
        <v/>
      </c>
      <c r="F40" s="11">
        <f>'balance_raw_39428911'!$F$19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'balance_raw_39428911'!$B$20</f>
        <v/>
      </c>
      <c r="C41" s="8">
        <f>'balance_raw_39428911'!$C$20</f>
        <v/>
      </c>
      <c r="D41" s="8">
        <f>'balance_raw_39428911'!$D$20</f>
        <v/>
      </c>
      <c r="E41" s="8">
        <f>'balance_raw_39428911'!$E$20</f>
        <v/>
      </c>
      <c r="F41" s="8">
        <f>'balance_raw_39428911'!$F$20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'balance_raw_39428911'!$B$21</f>
        <v/>
      </c>
      <c r="C42" s="5">
        <f>'balance_raw_39428911'!$C$21</f>
        <v/>
      </c>
      <c r="D42" s="5">
        <f>'balance_raw_39428911'!$D$21</f>
        <v/>
      </c>
      <c r="E42" s="5">
        <f>'balance_raw_39428911'!$E$21</f>
        <v/>
      </c>
      <c r="F42" s="5">
        <f>'balance_raw_39428911'!$F$21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'balance_raw_39428911'!$B$22</f>
        <v/>
      </c>
      <c r="C43" s="8">
        <f>'balance_raw_39428911'!$C$22</f>
        <v/>
      </c>
      <c r="D43" s="8">
        <f>'balance_raw_39428911'!$D$22</f>
        <v/>
      </c>
      <c r="E43" s="8">
        <f>'balance_raw_39428911'!$E$22</f>
        <v/>
      </c>
      <c r="F43" s="8">
        <f>'balance_raw_39428911'!$F$22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'balance_raw_39428911'!$B$23</f>
        <v/>
      </c>
      <c r="C44" s="5">
        <f>'balance_raw_39428911'!$C$23</f>
        <v/>
      </c>
      <c r="D44" s="5">
        <f>'balance_raw_39428911'!$D$23</f>
        <v/>
      </c>
      <c r="E44" s="5">
        <f>'balance_raw_39428911'!$E$23</f>
        <v/>
      </c>
      <c r="F44" s="5">
        <f>'balance_raw_39428911'!$F$23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'balance_raw_39428911'!$B$24</f>
        <v/>
      </c>
      <c r="C45" s="8">
        <f>'balance_raw_39428911'!$C$24</f>
        <v/>
      </c>
      <c r="D45" s="8">
        <f>'balance_raw_39428911'!$D$24</f>
        <v/>
      </c>
      <c r="E45" s="8">
        <f>'balance_raw_39428911'!$E$24</f>
        <v/>
      </c>
      <c r="F45" s="8">
        <f>'balance_raw_39428911'!$F$24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'balance_raw_39428911'!$B$25</f>
        <v/>
      </c>
      <c r="C46" s="5">
        <f>'balance_raw_39428911'!$C$25</f>
        <v/>
      </c>
      <c r="D46" s="5">
        <f>'balance_raw_39428911'!$D$25</f>
        <v/>
      </c>
      <c r="E46" s="5">
        <f>'balance_raw_39428911'!$E$25</f>
        <v/>
      </c>
      <c r="F46" s="5">
        <f>'balance_raw_39428911'!$F$25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'balance_raw_39428911'!$B$26</f>
        <v/>
      </c>
      <c r="C47" s="8">
        <f>'balance_raw_39428911'!$C$26</f>
        <v/>
      </c>
      <c r="D47" s="8">
        <f>'balance_raw_39428911'!$D$26</f>
        <v/>
      </c>
      <c r="E47" s="8">
        <f>'balance_raw_39428911'!$E$26</f>
        <v/>
      </c>
      <c r="F47" s="8">
        <f>'balance_raw_39428911'!$F$26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'balance_raw_39428911'!$B$27</f>
        <v/>
      </c>
      <c r="C48" s="11">
        <f>'balance_raw_39428911'!$C$27</f>
        <v/>
      </c>
      <c r="D48" s="11">
        <f>'balance_raw_39428911'!$D$27</f>
        <v/>
      </c>
      <c r="E48" s="11">
        <f>'balance_raw_39428911'!$E$27</f>
        <v/>
      </c>
      <c r="F48" s="11">
        <f>'balance_raw_39428911'!$F$27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'balance_raw_39428911'!$B$28</f>
        <v/>
      </c>
      <c r="C49" s="8">
        <f>'balance_raw_39428911'!$C$28</f>
        <v/>
      </c>
      <c r="D49" s="8">
        <f>'balance_raw_39428911'!$D$28</f>
        <v/>
      </c>
      <c r="E49" s="8">
        <f>'balance_raw_39428911'!$E$28</f>
        <v/>
      </c>
      <c r="F49" s="8">
        <f>'balance_raw_39428911'!$F$28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'balance_raw_39428911'!$B$29</f>
        <v/>
      </c>
      <c r="C50" s="5">
        <f>'balance_raw_39428911'!$C$29</f>
        <v/>
      </c>
      <c r="D50" s="5">
        <f>'balance_raw_39428911'!$D$29</f>
        <v/>
      </c>
      <c r="E50" s="5">
        <f>'balance_raw_39428911'!$E$29</f>
        <v/>
      </c>
      <c r="F50" s="5">
        <f>'balance_raw_39428911'!$F$29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'balance_raw_39428911'!$B$30</f>
        <v/>
      </c>
      <c r="C51" s="11">
        <f>'balance_raw_39428911'!$C$30</f>
        <v/>
      </c>
      <c r="D51" s="11">
        <f>'balance_raw_39428911'!$D$30</f>
        <v/>
      </c>
      <c r="E51" s="11">
        <f>'balance_raw_39428911'!$E$30</f>
        <v/>
      </c>
      <c r="F51" s="11">
        <f>'balance_raw_39428911'!$F$30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'balance_raw_39428911'!$B$31</f>
        <v/>
      </c>
      <c r="C52" s="11">
        <f>'balance_raw_39428911'!$C$31</f>
        <v/>
      </c>
      <c r="D52" s="11">
        <f>'balance_raw_39428911'!$D$31</f>
        <v/>
      </c>
      <c r="E52" s="11">
        <f>'balance_raw_39428911'!$E$31</f>
        <v/>
      </c>
      <c r="F52" s="11">
        <f>'balance_raw_39428911'!$F$31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'balance_raw_39428911'!$B$32</f>
        <v/>
      </c>
      <c r="C55" s="8">
        <f>'balance_raw_39428911'!$C$32</f>
        <v/>
      </c>
      <c r="D55" s="8">
        <f>'balance_raw_39428911'!$D$32</f>
        <v/>
      </c>
      <c r="E55" s="8">
        <f>'balance_raw_39428911'!$E$32</f>
        <v/>
      </c>
      <c r="F55" s="8">
        <f>'balance_raw_39428911'!$F$32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'balance_raw_39428911'!$B$33</f>
        <v/>
      </c>
      <c r="C56" s="5">
        <f>'balance_raw_39428911'!$C$33</f>
        <v/>
      </c>
      <c r="D56" s="5">
        <f>'balance_raw_39428911'!$D$33</f>
        <v/>
      </c>
      <c r="E56" s="5">
        <f>'balance_raw_39428911'!$E$33</f>
        <v/>
      </c>
      <c r="F56" s="5">
        <f>'balance_raw_39428911'!$F$33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'balance_raw_39428911'!$B$34</f>
        <v/>
      </c>
      <c r="C57" s="8">
        <f>'balance_raw_39428911'!$C$34</f>
        <v/>
      </c>
      <c r="D57" s="8">
        <f>'balance_raw_39428911'!$D$34</f>
        <v/>
      </c>
      <c r="E57" s="8">
        <f>'balance_raw_39428911'!$E$34</f>
        <v/>
      </c>
      <c r="F57" s="8">
        <f>'balance_raw_39428911'!$F$34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'balance_raw_39428911'!$B$35</f>
        <v/>
      </c>
      <c r="C58" s="5">
        <f>'balance_raw_39428911'!$C$35</f>
        <v/>
      </c>
      <c r="D58" s="5">
        <f>'balance_raw_39428911'!$D$35</f>
        <v/>
      </c>
      <c r="E58" s="5">
        <f>'balance_raw_39428911'!$E$35</f>
        <v/>
      </c>
      <c r="F58" s="5">
        <f>'balance_raw_39428911'!$F$35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'balance_raw_39428911'!$B$36</f>
        <v/>
      </c>
      <c r="C59" s="8">
        <f>'balance_raw_39428911'!$C$36</f>
        <v/>
      </c>
      <c r="D59" s="8">
        <f>'balance_raw_39428911'!$D$36</f>
        <v/>
      </c>
      <c r="E59" s="8">
        <f>'balance_raw_39428911'!$E$36</f>
        <v/>
      </c>
      <c r="F59" s="8">
        <f>'balance_raw_39428911'!$F$36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'balance_raw_39428911'!$B$37</f>
        <v/>
      </c>
      <c r="C60" s="5">
        <f>'balance_raw_39428911'!$C$37</f>
        <v/>
      </c>
      <c r="D60" s="5">
        <f>'balance_raw_39428911'!$D$37</f>
        <v/>
      </c>
      <c r="E60" s="5">
        <f>'balance_raw_39428911'!$E$37</f>
        <v/>
      </c>
      <c r="F60" s="5">
        <f>'balance_raw_39428911'!$F$37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'balance_raw_39428911'!$B$38</f>
        <v/>
      </c>
      <c r="C61" s="11">
        <f>'balance_raw_39428911'!$C$38</f>
        <v/>
      </c>
      <c r="D61" s="11">
        <f>'balance_raw_39428911'!$D$38</f>
        <v/>
      </c>
      <c r="E61" s="11">
        <f>'balance_raw_39428911'!$E$38</f>
        <v/>
      </c>
      <c r="F61" s="11">
        <f>'balance_raw_39428911'!$F$38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'balance_raw_39428911'!$B$39</f>
        <v/>
      </c>
      <c r="C62" s="5">
        <f>'balance_raw_39428911'!$C$39</f>
        <v/>
      </c>
      <c r="D62" s="5">
        <f>'balance_raw_39428911'!$D$39</f>
        <v/>
      </c>
      <c r="E62" s="5">
        <f>'balance_raw_39428911'!$E$39</f>
        <v/>
      </c>
      <c r="F62" s="5">
        <f>'balance_raw_39428911'!$F$39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'balance_raw_39428911'!$B$40</f>
        <v/>
      </c>
      <c r="C63" s="11">
        <f>'balance_raw_39428911'!$C$40</f>
        <v/>
      </c>
      <c r="D63" s="11">
        <f>'balance_raw_39428911'!$D$40</f>
        <v/>
      </c>
      <c r="E63" s="11">
        <f>'balance_raw_39428911'!$E$40</f>
        <v/>
      </c>
      <c r="F63" s="11">
        <f>'balance_raw_39428911'!$F$40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'balance_raw_39428911'!$B$41</f>
        <v/>
      </c>
      <c r="C64" s="5">
        <f>'balance_raw_39428911'!$C$41</f>
        <v/>
      </c>
      <c r="D64" s="5">
        <f>'balance_raw_39428911'!$D$41</f>
        <v/>
      </c>
      <c r="E64" s="5">
        <f>'balance_raw_39428911'!$E$41</f>
        <v/>
      </c>
      <c r="F64" s="5">
        <f>'balance_raw_39428911'!$F$41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'balance_raw_39428911'!$B$42</f>
        <v/>
      </c>
      <c r="C65" s="8">
        <f>'balance_raw_39428911'!$C$42</f>
        <v/>
      </c>
      <c r="D65" s="8">
        <f>'balance_raw_39428911'!$D$42</f>
        <v/>
      </c>
      <c r="E65" s="8">
        <f>'balance_raw_39428911'!$E$42</f>
        <v/>
      </c>
      <c r="F65" s="8">
        <f>'balance_raw_39428911'!$F$42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'balance_raw_39428911'!$B$43</f>
        <v/>
      </c>
      <c r="C66" s="5">
        <f>'balance_raw_39428911'!$C$43</f>
        <v/>
      </c>
      <c r="D66" s="5">
        <f>'balance_raw_39428911'!$D$43</f>
        <v/>
      </c>
      <c r="E66" s="5">
        <f>'balance_raw_39428911'!$E$43</f>
        <v/>
      </c>
      <c r="F66" s="5">
        <f>'balance_raw_39428911'!$F$43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'balance_raw_39428911'!$B$44</f>
        <v/>
      </c>
      <c r="C67" s="8">
        <f>'balance_raw_39428911'!$C$44</f>
        <v/>
      </c>
      <c r="D67" s="8">
        <f>'balance_raw_39428911'!$D$44</f>
        <v/>
      </c>
      <c r="E67" s="8">
        <f>'balance_raw_39428911'!$E$44</f>
        <v/>
      </c>
      <c r="F67" s="8">
        <f>'balance_raw_39428911'!$F$44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'balance_raw_39428911'!$B$45</f>
        <v/>
      </c>
      <c r="C68" s="11">
        <f>'balance_raw_39428911'!$C$45</f>
        <v/>
      </c>
      <c r="D68" s="11">
        <f>'balance_raw_39428911'!$D$45</f>
        <v/>
      </c>
      <c r="E68" s="11">
        <f>'balance_raw_39428911'!$E$45</f>
        <v/>
      </c>
      <c r="F68" s="11">
        <f>'balance_raw_39428911'!$F$45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'balance_raw_39428911'!$B$46</f>
        <v/>
      </c>
      <c r="C69" s="8">
        <f>'balance_raw_39428911'!$C$46</f>
        <v/>
      </c>
      <c r="D69" s="8">
        <f>'balance_raw_39428911'!$D$46</f>
        <v/>
      </c>
      <c r="E69" s="8">
        <f>'balance_raw_39428911'!$E$46</f>
        <v/>
      </c>
      <c r="F69" s="8">
        <f>'balance_raw_39428911'!$F$46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'balance_raw_39428911'!$B$47</f>
        <v/>
      </c>
      <c r="C70" s="5">
        <f>'balance_raw_39428911'!$C$47</f>
        <v/>
      </c>
      <c r="D70" s="5">
        <f>'balance_raw_39428911'!$D$47</f>
        <v/>
      </c>
      <c r="E70" s="5">
        <f>'balance_raw_39428911'!$E$47</f>
        <v/>
      </c>
      <c r="F70" s="5">
        <f>'balance_raw_39428911'!$F$47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'balance_raw_39428911'!$B$48</f>
        <v/>
      </c>
      <c r="C71" s="8">
        <f>'balance_raw_39428911'!$C$48</f>
        <v/>
      </c>
      <c r="D71" s="8">
        <f>'balance_raw_39428911'!$D$48</f>
        <v/>
      </c>
      <c r="E71" s="8">
        <f>'balance_raw_39428911'!$E$48</f>
        <v/>
      </c>
      <c r="F71" s="8">
        <f>'balance_raw_39428911'!$F$48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'balance_raw_39428911'!$B$49</f>
        <v/>
      </c>
      <c r="C72" s="5">
        <f>'balance_raw_39428911'!$C$49</f>
        <v/>
      </c>
      <c r="D72" s="5">
        <f>'balance_raw_39428911'!$D$49</f>
        <v/>
      </c>
      <c r="E72" s="5">
        <f>'balance_raw_39428911'!$E$49</f>
        <v/>
      </c>
      <c r="F72" s="5">
        <f>'balance_raw_39428911'!$F$49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'balance_raw_39428911'!$B$50</f>
        <v/>
      </c>
      <c r="C73" s="8">
        <f>'balance_raw_39428911'!$C$50</f>
        <v/>
      </c>
      <c r="D73" s="8">
        <f>'balance_raw_39428911'!$D$50</f>
        <v/>
      </c>
      <c r="E73" s="8">
        <f>'balance_raw_39428911'!$E$50</f>
        <v/>
      </c>
      <c r="F73" s="8">
        <f>'balance_raw_39428911'!$F$50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'balance_raw_39428911'!$B$51</f>
        <v/>
      </c>
      <c r="C74" s="5">
        <f>'balance_raw_39428911'!$C$51</f>
        <v/>
      </c>
      <c r="D74" s="5">
        <f>'balance_raw_39428911'!$D$51</f>
        <v/>
      </c>
      <c r="E74" s="5">
        <f>'balance_raw_39428911'!$E$51</f>
        <v/>
      </c>
      <c r="F74" s="5">
        <f>'balance_raw_39428911'!$F$51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'balance_raw_39428911'!$B$52</f>
        <v/>
      </c>
      <c r="C75" s="8">
        <f>'balance_raw_39428911'!$C$52</f>
        <v/>
      </c>
      <c r="D75" s="8">
        <f>'balance_raw_39428911'!$D$52</f>
        <v/>
      </c>
      <c r="E75" s="8">
        <f>'balance_raw_39428911'!$E$52</f>
        <v/>
      </c>
      <c r="F75" s="8">
        <f>'balance_raw_39428911'!$F$52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'balance_raw_39428911'!$B$53</f>
        <v/>
      </c>
      <c r="C76" s="5">
        <f>'balance_raw_39428911'!$C$53</f>
        <v/>
      </c>
      <c r="D76" s="5">
        <f>'balance_raw_39428911'!$D$53</f>
        <v/>
      </c>
      <c r="E76" s="5">
        <f>'balance_raw_39428911'!$E$53</f>
        <v/>
      </c>
      <c r="F76" s="5">
        <f>'balance_raw_39428911'!$F$53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'balance_raw_39428911'!$B$54</f>
        <v/>
      </c>
      <c r="C77" s="8">
        <f>'balance_raw_39428911'!$C$54</f>
        <v/>
      </c>
      <c r="D77" s="8">
        <f>'balance_raw_39428911'!$D$54</f>
        <v/>
      </c>
      <c r="E77" s="8">
        <f>'balance_raw_39428911'!$E$54</f>
        <v/>
      </c>
      <c r="F77" s="8">
        <f>'balance_raw_39428911'!$F$54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'balance_raw_39428911'!$B$55</f>
        <v/>
      </c>
      <c r="C78" s="5">
        <f>'balance_raw_39428911'!$C$55</f>
        <v/>
      </c>
      <c r="D78" s="5">
        <f>'balance_raw_39428911'!$D$55</f>
        <v/>
      </c>
      <c r="E78" s="5">
        <f>'balance_raw_39428911'!$E$55</f>
        <v/>
      </c>
      <c r="F78" s="5">
        <f>'balance_raw_39428911'!$F$55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'balance_raw_39428911'!$B$56</f>
        <v/>
      </c>
      <c r="C79" s="8">
        <f>'balance_raw_39428911'!$C$56</f>
        <v/>
      </c>
      <c r="D79" s="8">
        <f>'balance_raw_39428911'!$D$56</f>
        <v/>
      </c>
      <c r="E79" s="8">
        <f>'balance_raw_39428911'!$E$56</f>
        <v/>
      </c>
      <c r="F79" s="8">
        <f>'balance_raw_39428911'!$F$56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'balance_raw_39428911'!$B$57</f>
        <v/>
      </c>
      <c r="C80" s="11">
        <f>'balance_raw_39428911'!$C$57</f>
        <v/>
      </c>
      <c r="D80" s="11">
        <f>'balance_raw_39428911'!$D$57</f>
        <v/>
      </c>
      <c r="E80" s="11">
        <f>'balance_raw_39428911'!$E$57</f>
        <v/>
      </c>
      <c r="F80" s="11">
        <f>'balance_raw_39428911'!$F$57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'balance_raw_39428911'!$B$58</f>
        <v/>
      </c>
      <c r="C81" s="11">
        <f>'balance_raw_39428911'!$C$58</f>
        <v/>
      </c>
      <c r="D81" s="11">
        <f>'balance_raw_39428911'!$D$58</f>
        <v/>
      </c>
      <c r="E81" s="11">
        <f>'balance_raw_39428911'!$E$58</f>
        <v/>
      </c>
      <c r="F81" s="11">
        <f>'balance_raw_39428911'!$F$58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'balance_raw_39428911'!$B$59</f>
        <v/>
      </c>
      <c r="C82" s="11">
        <f>'balance_raw_39428911'!$C$59</f>
        <v/>
      </c>
      <c r="D82" s="11">
        <f>'balance_raw_39428911'!$D$59</f>
        <v/>
      </c>
      <c r="E82" s="11">
        <f>'balance_raw_39428911'!$E$59</f>
        <v/>
      </c>
      <c r="F82" s="11">
        <f>'balance_raw_39428911'!$F$59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'res_raw_39428911'!$B$19</f>
        <v/>
      </c>
      <c r="C85" s="8">
        <f>'res_raw_39428911'!$C$19</f>
        <v/>
      </c>
      <c r="D85" s="8">
        <f>'res_raw_39428911'!$D$19</f>
        <v/>
      </c>
      <c r="E85" s="8">
        <f>'res_raw_39428911'!$E$19</f>
        <v/>
      </c>
      <c r="F85" s="8">
        <f>'res_raw_39428911'!$F$19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'res_raw_39428911'!$B$20</f>
        <v/>
      </c>
      <c r="C86" s="5">
        <f>'res_raw_39428911'!$C$20</f>
        <v/>
      </c>
      <c r="D86" s="5">
        <f>'res_raw_39428911'!$D$20</f>
        <v/>
      </c>
      <c r="E86" s="5">
        <f>'res_raw_39428911'!$E$20</f>
        <v/>
      </c>
      <c r="F86" s="5">
        <f>'res_raw_39428911'!$F$20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Caprock ApS (CVR 39428911)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842</v>
      </c>
      <c r="C6" s="16" t="n">
        <v>1159</v>
      </c>
      <c r="D6" s="16" t="n">
        <v>1876</v>
      </c>
      <c r="E6" s="16" t="n">
        <v>2305</v>
      </c>
      <c r="F6" s="16" t="n">
        <v>4912</v>
      </c>
    </row>
    <row r="7">
      <c r="A7" s="15" t="inlineStr">
        <is>
          <t>Personaleomkostninger</t>
        </is>
      </c>
      <c r="B7" s="16" t="n">
        <v>104</v>
      </c>
      <c r="C7" s="16" t="n">
        <v>136</v>
      </c>
      <c r="D7" s="16" t="n">
        <v>1639</v>
      </c>
      <c r="E7" s="16" t="n">
        <v>2548</v>
      </c>
      <c r="F7" s="16" t="n">
        <v>3039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0</v>
      </c>
      <c r="D9" s="16" t="n">
        <v>29</v>
      </c>
      <c r="E9" s="16" t="n">
        <v>81</v>
      </c>
      <c r="F9" s="16" t="n">
        <v>81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739</v>
      </c>
      <c r="C11" s="16" t="n">
        <v>1023</v>
      </c>
      <c r="D11" s="16" t="n">
        <v>208</v>
      </c>
      <c r="E11" s="16" t="n">
        <v>-324</v>
      </c>
      <c r="F11" s="16" t="n">
        <v>1792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41</v>
      </c>
      <c r="E13" s="16" t="n">
        <v>22</v>
      </c>
      <c r="F13" s="16" t="n">
        <v>25</v>
      </c>
    </row>
    <row r="14">
      <c r="A14" s="15" t="inlineStr">
        <is>
          <t>Finansielle omkostninger</t>
        </is>
      </c>
      <c r="B14" s="16" t="n">
        <v>13</v>
      </c>
      <c r="C14" s="16" t="n">
        <v>26</v>
      </c>
      <c r="D14" s="16" t="n">
        <v>214</v>
      </c>
      <c r="E14" s="16" t="n">
        <v>592</v>
      </c>
      <c r="F14" s="16" t="n">
        <v>503</v>
      </c>
    </row>
    <row r="15">
      <c r="A15" s="17" t="inlineStr">
        <is>
          <t>Finansielle poster, netto</t>
        </is>
      </c>
      <c r="B15" s="16" t="n">
        <v>-13</v>
      </c>
      <c r="C15" s="16" t="n">
        <v>-26</v>
      </c>
      <c r="D15" s="16" t="n">
        <v>-173</v>
      </c>
      <c r="E15" s="16" t="n">
        <v>-569</v>
      </c>
      <c r="F15" s="16" t="n">
        <v>-478</v>
      </c>
    </row>
    <row r="16">
      <c r="A16" s="17" t="inlineStr">
        <is>
          <t>Resultat før skat</t>
        </is>
      </c>
      <c r="B16" s="16" t="n">
        <v>725</v>
      </c>
      <c r="C16" s="16" t="n">
        <v>997</v>
      </c>
      <c r="D16" s="16" t="n">
        <v>35</v>
      </c>
      <c r="E16" s="16" t="n">
        <v>-893</v>
      </c>
      <c r="F16" s="16" t="n">
        <v>1315</v>
      </c>
    </row>
    <row r="17">
      <c r="A17" s="15" t="inlineStr">
        <is>
          <t>Skat af årets resultat</t>
        </is>
      </c>
      <c r="B17" s="16" t="n">
        <v>84</v>
      </c>
      <c r="C17" s="16" t="n">
        <v>228</v>
      </c>
      <c r="D17" s="16" t="n">
        <v>25</v>
      </c>
      <c r="E17" s="16" t="n">
        <v>-166</v>
      </c>
      <c r="F17" s="16" t="n">
        <v>309</v>
      </c>
    </row>
    <row r="18">
      <c r="A18" s="17" t="inlineStr">
        <is>
          <t>Årets resultat</t>
        </is>
      </c>
      <c r="B18" s="16" t="n">
        <v>641</v>
      </c>
      <c r="C18" s="16" t="n">
        <v>769</v>
      </c>
      <c r="D18" s="16" t="n">
        <v>10</v>
      </c>
      <c r="E18" s="16" t="n">
        <v>-728</v>
      </c>
      <c r="F18" s="16" t="n">
        <v>1005</v>
      </c>
    </row>
    <row r="19">
      <c r="A19" s="15" t="inlineStr">
        <is>
          <t>Gns. antal medarbejdere</t>
        </is>
      </c>
      <c r="B19" s="16" t="n">
        <v>1</v>
      </c>
      <c r="C19" s="16" t="n">
        <v>1</v>
      </c>
      <c r="D19" s="16" t="n">
        <v>3</v>
      </c>
      <c r="E19" s="16" t="n">
        <v>6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Caprock ApS (CVR 39428911)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0</v>
      </c>
      <c r="D2" s="16" t="n">
        <v>95</v>
      </c>
      <c r="E2" s="16" t="n">
        <v>121</v>
      </c>
      <c r="F2" s="16" t="n">
        <v>94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152</v>
      </c>
      <c r="E5" s="16" t="n">
        <v>172</v>
      </c>
      <c r="F5" s="16" t="n">
        <v>139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0</v>
      </c>
      <c r="D8" s="16" t="n">
        <v>124</v>
      </c>
      <c r="E8" s="16" t="n">
        <v>76</v>
      </c>
      <c r="F8" s="16" t="n">
        <v>27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0</v>
      </c>
      <c r="D11" s="16" t="n">
        <v>124</v>
      </c>
      <c r="E11" s="16" t="n">
        <v>76</v>
      </c>
      <c r="F11" s="16" t="n">
        <v>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28</v>
      </c>
      <c r="C13" s="16" t="n">
        <v>0</v>
      </c>
      <c r="D13" s="16" t="n">
        <v>72</v>
      </c>
      <c r="E13" s="16" t="n">
        <v>122</v>
      </c>
      <c r="F13" s="16" t="n">
        <v>45</v>
      </c>
    </row>
    <row r="14">
      <c r="A14" s="17" t="inlineStr">
        <is>
          <t>Finansielle anlægsaktiver</t>
        </is>
      </c>
      <c r="B14" s="16" t="n">
        <v>30</v>
      </c>
      <c r="C14" s="16" t="n">
        <v>0</v>
      </c>
      <c r="D14" s="16" t="n">
        <v>72</v>
      </c>
      <c r="E14" s="16" t="n">
        <v>122</v>
      </c>
      <c r="F14" s="16" t="n">
        <v>45</v>
      </c>
    </row>
    <row r="15">
      <c r="A15" s="17" t="inlineStr">
        <is>
          <t>Anlægsaktiver</t>
        </is>
      </c>
      <c r="B15" s="16" t="n">
        <v>30</v>
      </c>
      <c r="C15" s="16" t="n">
        <v>0</v>
      </c>
      <c r="D15" s="16" t="n">
        <v>348</v>
      </c>
      <c r="E15" s="16" t="n">
        <v>369</v>
      </c>
      <c r="F15" s="16" t="n">
        <v>212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>
        <v>4407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941</v>
      </c>
      <c r="C18" s="16" t="n">
        <v>2842</v>
      </c>
      <c r="D18" s="16" t="n">
        <v>9659</v>
      </c>
      <c r="E18" s="16" t="n">
        <v>4263</v>
      </c>
      <c r="F18" s="16" t="n"/>
    </row>
    <row r="19">
      <c r="A19" s="17" t="inlineStr">
        <is>
          <t>Varebeholdninger</t>
        </is>
      </c>
      <c r="B19" s="16" t="n">
        <v>941</v>
      </c>
      <c r="C19" s="16" t="n">
        <v>2842</v>
      </c>
      <c r="D19" s="16" t="n">
        <v>9659</v>
      </c>
      <c r="E19" s="16" t="n">
        <v>5494</v>
      </c>
      <c r="F19" s="16" t="n">
        <v>4874</v>
      </c>
    </row>
    <row r="20">
      <c r="A20" s="15" t="inlineStr">
        <is>
          <t>Tilgodehavender fra salg og tjenesteydelser</t>
        </is>
      </c>
      <c r="B20" s="16" t="n"/>
      <c r="C20" s="16" t="n">
        <v>794</v>
      </c>
      <c r="D20" s="16" t="n">
        <v>92</v>
      </c>
      <c r="E20" s="16" t="n">
        <v>9</v>
      </c>
      <c r="F20" s="16" t="n">
        <v>1022</v>
      </c>
    </row>
    <row r="21">
      <c r="A21" s="15" t="inlineStr">
        <is>
          <t>Tilgodehavender hos tilknyttede virksomheder</t>
        </is>
      </c>
      <c r="B21" s="16" t="n"/>
      <c r="C21" s="16" t="n">
        <v>0</v>
      </c>
      <c r="D21" s="16" t="n">
        <v>4</v>
      </c>
      <c r="E21" s="16" t="n">
        <v>12</v>
      </c>
      <c r="F21" s="16" t="n">
        <v>174</v>
      </c>
    </row>
    <row r="22">
      <c r="A22" s="15" t="inlineStr">
        <is>
          <t>Andre tilgodehavender</t>
        </is>
      </c>
      <c r="B22" s="16" t="n"/>
      <c r="C22" s="16" t="n">
        <v>17</v>
      </c>
      <c r="D22" s="16" t="n">
        <v>491</v>
      </c>
      <c r="E22" s="16" t="n">
        <v>620</v>
      </c>
      <c r="F22" s="16" t="n">
        <v>42</v>
      </c>
    </row>
    <row r="23">
      <c r="A23" s="15" t="inlineStr">
        <is>
          <t>Periodeafgrænsningsposter (aktiver)</t>
        </is>
      </c>
      <c r="B23" s="16" t="n"/>
      <c r="C23" s="16" t="n">
        <v>12</v>
      </c>
      <c r="D23" s="16" t="n">
        <v>49</v>
      </c>
      <c r="E23" s="16" t="n">
        <v>99</v>
      </c>
      <c r="F23" s="16" t="n">
        <v>118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146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>
        <v>60</v>
      </c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0</v>
      </c>
    </row>
    <row r="27">
      <c r="A27" s="17" t="inlineStr">
        <is>
          <t>Tilgodehavender</t>
        </is>
      </c>
      <c r="B27" s="16" t="n"/>
      <c r="C27" s="16" t="n">
        <v>823</v>
      </c>
      <c r="D27" s="16" t="n">
        <v>636</v>
      </c>
      <c r="E27" s="16" t="n">
        <v>945</v>
      </c>
      <c r="F27" s="16" t="n">
        <v>1356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854</v>
      </c>
      <c r="C29" s="16" t="n">
        <v>318</v>
      </c>
      <c r="D29" s="16" t="n">
        <v>1744</v>
      </c>
      <c r="E29" s="16" t="n">
        <v>1220</v>
      </c>
      <c r="F29" s="16" t="n">
        <v>2381</v>
      </c>
    </row>
    <row r="30">
      <c r="A30" s="17" t="inlineStr">
        <is>
          <t>Omsætningsaktiver</t>
        </is>
      </c>
      <c r="B30" s="16" t="n">
        <v>1795</v>
      </c>
      <c r="C30" s="16" t="n">
        <v>3983</v>
      </c>
      <c r="D30" s="16" t="n">
        <v>12038</v>
      </c>
      <c r="E30" s="16" t="n">
        <v>7659</v>
      </c>
      <c r="F30" s="16" t="n">
        <v>8611</v>
      </c>
    </row>
    <row r="31">
      <c r="A31" s="17" t="inlineStr">
        <is>
          <t>Aktiver</t>
        </is>
      </c>
      <c r="B31" s="16" t="n">
        <v>1825</v>
      </c>
      <c r="C31" s="16" t="n">
        <v>3983</v>
      </c>
      <c r="D31" s="16" t="n">
        <v>12386</v>
      </c>
      <c r="E31" s="16" t="n">
        <v>8028</v>
      </c>
      <c r="F31" s="16" t="n">
        <v>8823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  <c r="F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>
        <v>0</v>
      </c>
      <c r="D34" s="16" t="n">
        <v>74</v>
      </c>
      <c r="E34" s="16" t="n">
        <v>94</v>
      </c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889</v>
      </c>
      <c r="C37" s="16" t="n">
        <v>1658</v>
      </c>
      <c r="D37" s="16" t="n">
        <v>1594</v>
      </c>
      <c r="E37" s="16" t="n">
        <v>846</v>
      </c>
      <c r="F37" s="16" t="n">
        <v>1946</v>
      </c>
    </row>
    <row r="38">
      <c r="A38" s="17" t="inlineStr">
        <is>
          <t>Egenkapital i alt</t>
        </is>
      </c>
      <c r="B38" s="16" t="n">
        <v>1042</v>
      </c>
      <c r="C38" s="16" t="n">
        <v>1698</v>
      </c>
      <c r="D38" s="16" t="n">
        <v>1708</v>
      </c>
      <c r="E38" s="16" t="n">
        <v>980</v>
      </c>
      <c r="F38" s="16" t="n">
        <v>1986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25</v>
      </c>
      <c r="E39" s="16" t="n">
        <v>0</v>
      </c>
      <c r="F39" s="16" t="n">
        <v>16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25</v>
      </c>
      <c r="E40" s="16" t="n">
        <v>0</v>
      </c>
      <c r="F40" s="16" t="n">
        <v>16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>
        <v>0</v>
      </c>
      <c r="D42" s="16" t="n">
        <v>3845</v>
      </c>
      <c r="E42" s="16" t="n">
        <v>2911</v>
      </c>
      <c r="F42" s="16" t="n">
        <v>1738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/>
      <c r="C45" s="16" t="n">
        <v>0</v>
      </c>
      <c r="D45" s="16" t="n">
        <v>3845</v>
      </c>
      <c r="E45" s="16" t="n">
        <v>2911</v>
      </c>
      <c r="F45" s="16" t="n">
        <v>1886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0</v>
      </c>
      <c r="D47" s="16" t="n">
        <v>835</v>
      </c>
      <c r="E47" s="16" t="n">
        <v>910</v>
      </c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>
        <v>1083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0</v>
      </c>
      <c r="C50" s="16" t="n">
        <v>167</v>
      </c>
      <c r="D50" s="16" t="n">
        <v>3124</v>
      </c>
      <c r="E50" s="16" t="n">
        <v>860</v>
      </c>
      <c r="F50" s="16" t="n">
        <v>843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>
        <v>3</v>
      </c>
      <c r="C52" s="16" t="n"/>
      <c r="D52" s="16" t="n"/>
      <c r="E52" s="16" t="n"/>
      <c r="F52" s="16" t="n">
        <v>941</v>
      </c>
    </row>
    <row r="53">
      <c r="A53" s="15" t="inlineStr">
        <is>
          <t>Selskabsskat</t>
        </is>
      </c>
      <c r="B53" s="16" t="n">
        <v>280</v>
      </c>
      <c r="C53" s="16" t="n">
        <v>262</v>
      </c>
      <c r="D53" s="16" t="n">
        <v>144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</v>
      </c>
      <c r="C55" s="16" t="n">
        <v>1856</v>
      </c>
      <c r="D55" s="16" t="n">
        <v>2699</v>
      </c>
      <c r="E55" s="16" t="n">
        <v>2335</v>
      </c>
      <c r="F55" s="16" t="n"/>
    </row>
    <row r="56">
      <c r="A56" s="15" t="inlineStr">
        <is>
          <t>Periodeafgrænsningsposter (passiver)</t>
        </is>
      </c>
      <c r="B56" s="16" t="n"/>
      <c r="C56" s="16" t="n">
        <v>0</v>
      </c>
      <c r="D56" s="16" t="n">
        <v>6</v>
      </c>
      <c r="E56" s="16" t="n">
        <v>31</v>
      </c>
      <c r="F56" s="16" t="n">
        <v>10</v>
      </c>
    </row>
    <row r="57">
      <c r="A57" s="17" t="inlineStr">
        <is>
          <t>Kortfristede gældsforpligtelser</t>
        </is>
      </c>
      <c r="B57" s="16" t="n">
        <v>783</v>
      </c>
      <c r="C57" s="16" t="n">
        <v>2285</v>
      </c>
      <c r="D57" s="16" t="n">
        <v>6809</v>
      </c>
      <c r="E57" s="16" t="n">
        <v>4137</v>
      </c>
      <c r="F57" s="16" t="n">
        <v>4935</v>
      </c>
    </row>
    <row r="58">
      <c r="A58" s="17" t="inlineStr">
        <is>
          <t>Gældsforpligtelser</t>
        </is>
      </c>
      <c r="B58" s="16" t="n">
        <v>783</v>
      </c>
      <c r="C58" s="16" t="n">
        <v>2285</v>
      </c>
      <c r="D58" s="16" t="n">
        <v>10654</v>
      </c>
      <c r="E58" s="16" t="n">
        <v>7048</v>
      </c>
      <c r="F58" s="16" t="n">
        <v>6821</v>
      </c>
    </row>
    <row r="59">
      <c r="A59" s="17" t="inlineStr">
        <is>
          <t>Passiver</t>
        </is>
      </c>
      <c r="B59" s="16" t="n">
        <v>1825</v>
      </c>
      <c r="C59" s="16" t="n">
        <v>3983</v>
      </c>
      <c r="D59" s="16" t="n">
        <v>12386</v>
      </c>
      <c r="E59" s="16" t="n">
        <v>8028</v>
      </c>
      <c r="F59" s="16" t="n">
        <v>8823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Caprock ApS (CVR 39428911) — Regnskabs- og nøgletal (CVR: 39428911)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'res_raw_39428911'!$F$2</f>
        <v/>
      </c>
      <c r="C5" s="24">
        <f>'res_raw_39428911'!$E$2</f>
        <v/>
      </c>
      <c r="D5" s="24">
        <f>'res_raw_39428911'!$D$2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'res_raw_39428911'!$F$3</f>
        <v/>
      </c>
      <c r="C6" s="24">
        <f>'res_raw_39428911'!$E$3</f>
        <v/>
      </c>
      <c r="D6" s="24">
        <f>'res_raw_39428911'!$D$3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-'res_raw_39428911'!$F$4</f>
        <v/>
      </c>
      <c r="C7" s="24">
        <f>-'res_raw_39428911'!$E$4</f>
        <v/>
      </c>
      <c r="D7" s="24">
        <f>-'res_raw_39428911'!$D$4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-'res_raw_39428911'!$F$5</f>
        <v/>
      </c>
      <c r="C8" s="24">
        <f>-'res_raw_39428911'!$E$5</f>
        <v/>
      </c>
      <c r="D8" s="24">
        <f>-'res_raw_39428911'!$D$5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IF(ABS((SUM(B5:B8))-'res_raw_39428911'!$F$6)&lt;=2,SUM(B5:B8),'res_raw_39428911'!$F$6)</f>
        <v/>
      </c>
      <c r="C9" s="27">
        <f>IF(ABS((SUM(C5:C8))-'res_raw_39428911'!$E$6)&lt;=2,SUM(C5:C8),'res_raw_39428911'!$E$6)</f>
        <v/>
      </c>
      <c r="D9" s="27">
        <f>IF(ABS((SUM(D5:D8))-'res_raw_39428911'!$D$6)&lt;=2,SUM(D5:D8),'res_raw_39428911'!$D$6)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-'res_raw_39428911'!$F$7</f>
        <v/>
      </c>
      <c r="C10" s="24">
        <f>-'res_raw_39428911'!$E$7</f>
        <v/>
      </c>
      <c r="D10" s="24">
        <f>-'res_raw_39428911'!$D$7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-'res_raw_39428911'!$F$9</f>
        <v/>
      </c>
      <c r="C11" s="24">
        <f>-'res_raw_39428911'!$E$9</f>
        <v/>
      </c>
      <c r="D11" s="24">
        <f>-'res_raw_39428911'!$D$9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-'res_raw_39428911'!$F$10</f>
        <v/>
      </c>
      <c r="C12" s="24">
        <f>-'res_raw_39428911'!$E$10</f>
        <v/>
      </c>
      <c r="D12" s="24">
        <f>-'res_raw_39428911'!$D$10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IF(ABS((SUM(B9:B12))-'res_raw_39428911'!$F$11)&lt;=2,SUM(B9:B12),'res_raw_39428911'!$F$11)</f>
        <v/>
      </c>
      <c r="C13" s="27">
        <f>IF(ABS((SUM(C9:C12))-'res_raw_39428911'!$E$11)&lt;=2,SUM(C9:C12),'res_raw_39428911'!$E$11)</f>
        <v/>
      </c>
      <c r="D13" s="27">
        <f>IF(ABS((SUM(D9:D12))-'res_raw_39428911'!$D$11)&lt;=2,SUM(D9:D12),'res_raw_39428911'!$D$11)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N('res_raw_39428911'!$F$12)+N('res_raw_39428911'!$F$13)</f>
        <v/>
      </c>
      <c r="C14" s="24">
        <f>N('res_raw_39428911'!$E$12)+N('res_raw_39428911'!$E$13)</f>
        <v/>
      </c>
      <c r="D14" s="24">
        <f>N('res_raw_39428911'!$D$12)+N('res_raw_39428911'!$D$13)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-'res_raw_39428911'!$F$14</f>
        <v/>
      </c>
      <c r="C15" s="24">
        <f>-'res_raw_39428911'!$E$14</f>
        <v/>
      </c>
      <c r="D15" s="24">
        <f>-'res_raw_39428911'!$D$14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IF(ABS((SUM(B13:B15))-'res_raw_39428911'!$F$16)&lt;=2,SUM(B13:B15),'res_raw_39428911'!$F$16)</f>
        <v/>
      </c>
      <c r="C16" s="27">
        <f>IF(ABS((SUM(C13:C15))-'res_raw_39428911'!$E$16)&lt;=2,SUM(C13:C15),'res_raw_39428911'!$E$16)</f>
        <v/>
      </c>
      <c r="D16" s="27">
        <f>IF(ABS((SUM(D13:D15))-'res_raw_39428911'!$D$16)&lt;=2,SUM(D13:D15),'res_raw_39428911'!$D$16)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'balance_raw_39428911'!$F$15</f>
        <v/>
      </c>
      <c r="C19" s="24">
        <f>'balance_raw_39428911'!$E$15</f>
        <v/>
      </c>
      <c r="D19" s="24">
        <f>'balance_raw_39428911'!$D$15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'balance_raw_39428911'!$F$30</f>
        <v/>
      </c>
      <c r="C20" s="24">
        <f>'balance_raw_39428911'!$E$30</f>
        <v/>
      </c>
      <c r="D20" s="24">
        <f>'balance_raw_39428911'!$D$30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'balance_raw_39428911'!$F$38</f>
        <v/>
      </c>
      <c r="C23" s="24">
        <f>'balance_raw_39428911'!$E$38</f>
        <v/>
      </c>
      <c r="D23" s="24">
        <f>'balance_raw_39428911'!$D$38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'balance_raw_39428911'!$F$59-'balance_raw_39428911'!$F$38</f>
        <v/>
      </c>
      <c r="C24" s="24">
        <f>'balance_raw_39428911'!$E$59-'balance_raw_39428911'!$E$38</f>
        <v/>
      </c>
      <c r="D24" s="24">
        <f>'balance_raw_39428911'!$D$59-'balance_raw_39428911'!$D$38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'balance_raw_39428911'!$F$19</f>
        <v/>
      </c>
      <c r="C28" s="24">
        <f>'balance_raw_39428911'!$E$19</f>
        <v/>
      </c>
      <c r="D28" s="24">
        <f>'balance_raw_39428911'!$D$19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'balance_raw_39428911'!$F$20</f>
        <v/>
      </c>
      <c r="C29" s="24">
        <f>'balance_raw_39428911'!$E$20</f>
        <v/>
      </c>
      <c r="D29" s="24">
        <f>'balance_raw_39428911'!$D$20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'balance_raw_39428911'!$F$57</f>
        <v/>
      </c>
      <c r="C30" s="24">
        <f>'balance_raw_39428911'!$E$57</f>
        <v/>
      </c>
      <c r="D30" s="24">
        <f>'balance_raw_39428911'!$D$57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IF('balance_raw_39428911'!$F$31="","—",IF(ABS(B21-'balance_raw_39428911'!$F$31)&lt;=1,"✓ OK","❌ "&amp;TEXT(B21-'balance_raw_39428911'!$F$31,"+#,##0;-#,##0")&amp;" t.kr."))</f>
        <v/>
      </c>
      <c r="C61" s="29">
        <f>IF('balance_raw_39428911'!$E$31="","—",IF(ABS(C21-'balance_raw_39428911'!$E$31)&lt;=1,"✓ OK","❌ "&amp;TEXT(C21-'balance_raw_39428911'!$E$31,"+#,##0;-#,##0")&amp;" t.kr."))</f>
        <v/>
      </c>
      <c r="D61" s="29">
        <f>IF('balance_raw_39428911'!$D$31="","—",IF(ABS(D21-'balance_raw_39428911'!$D$31)&lt;=1,"✓ OK","❌ "&amp;TEXT(D21-'balance_raw_39428911'!$D$31,"+#,##0;-#,##0")&amp;"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IF('balance_raw_39428911'!$F$59="","—",IF(ABS(B25-'balance_raw_39428911'!$F$59)&lt;=1,"✓ OK","❌ "&amp;TEXT(B25-'balance_raw_39428911'!$F$59,"+#,##0;-#,##0")&amp;" t.kr."))</f>
        <v/>
      </c>
      <c r="C62" s="29">
        <f>IF('balance_raw_39428911'!$E$59="","—",IF(ABS(C25-'balance_raw_39428911'!$E$59)&lt;=1,"✓ OK","❌ "&amp;TEXT(C25-'balance_raw_39428911'!$E$59,"+#,##0;-#,##0")&amp;" t.kr."))</f>
        <v/>
      </c>
      <c r="D62" s="29">
        <f>IF('balance_raw_39428911'!$D$59="","—",IF(ABS(D25-'balance_raw_39428911'!$D$59)&lt;=1,"✓ OK","❌ "&amp;TEXT(D25-'balance_raw_39428911'!$D$59,"+#,##0;-#,##0")&amp;"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IF('res_raw_39428911'!$F$6="","—",IF(ABS(B9-'res_raw_39428911'!$F$6)&lt;=1,"✓ OK","❌ "&amp;TEXT(B9-'res_raw_39428911'!$F$6,"+#,##0;-#,##0")&amp;" t.kr."))</f>
        <v/>
      </c>
      <c r="C64" s="29">
        <f>IF('res_raw_39428911'!$E$6="","—",IF(ABS(C9-'res_raw_39428911'!$E$6)&lt;=1,"✓ OK","❌ "&amp;TEXT(C9-'res_raw_39428911'!$E$6,"+#,##0;-#,##0")&amp;" t.kr."))</f>
        <v/>
      </c>
      <c r="D64" s="29">
        <f>IF('res_raw_39428911'!$D$6="","—",IF(ABS(D9-'res_raw_39428911'!$D$6)&lt;=1,"✓ OK","❌ "&amp;TEXT(D9-'res_raw_39428911'!$D$6,"+#,##0;-#,##0")&amp;"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IF('res_raw_39428911'!$F$11="","—",IF(ABS(B13-'res_raw_39428911'!$F$11)&lt;=1,"✓ OK","❌ "&amp;TEXT(B13-'res_raw_39428911'!$F$11,"+#,##0;-#,##0")&amp;" t.kr."))</f>
        <v/>
      </c>
      <c r="C65" s="29">
        <f>IF('res_raw_39428911'!$E$11="","—",IF(ABS(C13-'res_raw_39428911'!$E$11)&lt;=1,"✓ OK","❌ "&amp;TEXT(C13-'res_raw_39428911'!$E$11,"+#,##0;-#,##0")&amp;" t.kr."))</f>
        <v/>
      </c>
      <c r="D65" s="29">
        <f>IF('res_raw_39428911'!$D$11="","—",IF(ABS(D13-'res_raw_39428911'!$D$11)&lt;=1,"✓ OK","❌ "&amp;TEXT(D13-'res_raw_39428911'!$D$11,"+#,##0;-#,##0")&amp;"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IF('res_raw_39428911'!$F$16="","—",IF(ABS(B16-'res_raw_39428911'!$F$16)&lt;=1,"✓ OK","❌ "&amp;TEXT(B16-'res_raw_39428911'!$F$16,"+#,##0;-#,##0")&amp;" t.kr."))</f>
        <v/>
      </c>
      <c r="C66" s="29">
        <f>IF('res_raw_39428911'!$E$16="","—",IF(ABS(C16-'res_raw_39428911'!$E$16)&lt;=1,"✓ OK","❌ "&amp;TEXT(C16-'res_raw_39428911'!$E$16,"+#,##0;-#,##0")&amp;" t.kr."))</f>
        <v/>
      </c>
      <c r="D66" s="29">
        <f>IF('res_raw_39428911'!$D$16="","—",IF(ABS(D16-'res_raw_39428911'!$D$16)&lt;=1,"✓ OK","❌ "&amp;TEXT(D16-'res_raw_39428911'!$D$16,"+#,##0;-#,##0")&amp;"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Caprock ApS (CVR 39428911)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fsa:ContingentLiabilities</t>
        </is>
      </c>
      <c r="C3" s="34" t="inlineStr">
        <is>
          <t>fsa:ContingentLiabilities</t>
        </is>
      </c>
      <c r="D3" s="35" t="n"/>
      <c r="E3" s="35" t="n"/>
      <c r="F3" s="35" t="n"/>
      <c r="G3" s="35" t="n"/>
      <c r="H3" s="35" t="n">
        <v>45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/>
      <c r="E4" s="38" t="n"/>
      <c r="F4" s="38" t="n"/>
      <c r="G4" s="38" t="n"/>
      <c r="H4" s="38" t="n">
        <v>148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>
        <v>495</v>
      </c>
      <c r="E5" s="35" t="n"/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2026-10-02T21:11:40Z</dcterms:created>
  <dcterms:modified xmlns:dcterms="http://purl.org/dc/terms/" xmlns:xsi="http://www.w3.org/2001/XMLSchema-instance" xsi:type="dcterms:W3CDTF">2026-10-02T21:11:40Z</dcterms:modified>
</cp:coreProperties>
</file>