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3590400" sheetId="1" state="visible" r:id="rId1"/>
    <sheet xmlns:r="http://schemas.openxmlformats.org/officeDocument/2006/relationships" name="res_raw_13590400" sheetId="2" state="visible" r:id="rId2"/>
    <sheet xmlns:r="http://schemas.openxmlformats.org/officeDocument/2006/relationships" name="balance_raw_13590400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JYSK A/S (CVR 13590400) — Regnskabsanalyse – Resultatopgørelse &amp; Balance (t.kr.) · Klasse C-stor · Revision · Regnskabsår 1/9–31/8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'res_raw_13590400'!$B$2</f>
        <v/>
      </c>
      <c r="C4" s="5">
        <f>'res_raw_13590400'!$C$2</f>
        <v/>
      </c>
      <c r="D4" s="5">
        <f>'res_raw_13590400'!$D$2</f>
        <v/>
      </c>
      <c r="E4" s="5">
        <f>'res_raw_13590400'!$E$2</f>
        <v/>
      </c>
      <c r="F4" s="5">
        <f>'res_raw_13590400'!$F$2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'res_raw_13590400'!$B$3</f>
        <v/>
      </c>
      <c r="C5" s="8">
        <f>'res_raw_13590400'!$C$3</f>
        <v/>
      </c>
      <c r="D5" s="8">
        <f>'res_raw_13590400'!$D$3</f>
        <v/>
      </c>
      <c r="E5" s="8">
        <f>'res_raw_13590400'!$E$3</f>
        <v/>
      </c>
      <c r="F5" s="8">
        <f>'res_raw_13590400'!$F$3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'res_raw_13590400'!$B$4</f>
        <v/>
      </c>
      <c r="C6" s="5">
        <f>'res_raw_13590400'!$C$4</f>
        <v/>
      </c>
      <c r="D6" s="5">
        <f>'res_raw_13590400'!$D$4</f>
        <v/>
      </c>
      <c r="E6" s="5">
        <f>'res_raw_13590400'!$E$4</f>
        <v/>
      </c>
      <c r="F6" s="5">
        <f>'res_raw_13590400'!$F$4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'res_raw_13590400'!$B$5</f>
        <v/>
      </c>
      <c r="C7" s="8">
        <f>'res_raw_13590400'!$C$5</f>
        <v/>
      </c>
      <c r="D7" s="8">
        <f>'res_raw_13590400'!$D$5</f>
        <v/>
      </c>
      <c r="E7" s="8">
        <f>'res_raw_13590400'!$E$5</f>
        <v/>
      </c>
      <c r="F7" s="8">
        <f>'res_raw_13590400'!$F$5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'res_raw_13590400'!$B$6</f>
        <v/>
      </c>
      <c r="C8" s="11">
        <f>'res_raw_13590400'!$C$6</f>
        <v/>
      </c>
      <c r="D8" s="11">
        <f>'res_raw_13590400'!$D$6</f>
        <v/>
      </c>
      <c r="E8" s="11">
        <f>'res_raw_13590400'!$E$6</f>
        <v/>
      </c>
      <c r="F8" s="11">
        <f>'res_raw_13590400'!$F$6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'res_raw_13590400'!$B$7</f>
        <v/>
      </c>
      <c r="C9" s="8">
        <f>'res_raw_13590400'!$C$7</f>
        <v/>
      </c>
      <c r="D9" s="8">
        <f>'res_raw_13590400'!$D$7</f>
        <v/>
      </c>
      <c r="E9" s="8">
        <f>'res_raw_13590400'!$E$7</f>
        <v/>
      </c>
      <c r="F9" s="8">
        <f>'res_raw_13590400'!$F$7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'res_raw_13590400'!$B$9</f>
        <v/>
      </c>
      <c r="C11" s="8">
        <f>'res_raw_13590400'!$C$9</f>
        <v/>
      </c>
      <c r="D11" s="8">
        <f>'res_raw_13590400'!$D$9</f>
        <v/>
      </c>
      <c r="E11" s="8">
        <f>'res_raw_13590400'!$E$9</f>
        <v/>
      </c>
      <c r="F11" s="8">
        <f>'res_raw_13590400'!$F$9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'res_raw_13590400'!$B$10</f>
        <v/>
      </c>
      <c r="C12" s="5">
        <f>'res_raw_13590400'!$C$10</f>
        <v/>
      </c>
      <c r="D12" s="5">
        <f>'res_raw_13590400'!$D$10</f>
        <v/>
      </c>
      <c r="E12" s="5">
        <f>'res_raw_13590400'!$E$10</f>
        <v/>
      </c>
      <c r="F12" s="5">
        <f>'res_raw_13590400'!$F$10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'res_raw_13590400'!$B$11</f>
        <v/>
      </c>
      <c r="C13" s="11">
        <f>'res_raw_13590400'!$C$11</f>
        <v/>
      </c>
      <c r="D13" s="11">
        <f>'res_raw_13590400'!$D$11</f>
        <v/>
      </c>
      <c r="E13" s="11">
        <f>'res_raw_13590400'!$E$11</f>
        <v/>
      </c>
      <c r="F13" s="11">
        <f>'res_raw_13590400'!$F$11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'res_raw_13590400'!$B$12</f>
        <v/>
      </c>
      <c r="C14" s="5">
        <f>'res_raw_13590400'!$C$12</f>
        <v/>
      </c>
      <c r="D14" s="5">
        <f>'res_raw_13590400'!$D$12</f>
        <v/>
      </c>
      <c r="E14" s="5">
        <f>'res_raw_13590400'!$E$12</f>
        <v/>
      </c>
      <c r="F14" s="5">
        <f>'res_raw_13590400'!$F$12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'res_raw_13590400'!$B$13</f>
        <v/>
      </c>
      <c r="C15" s="8">
        <f>'res_raw_13590400'!$C$13</f>
        <v/>
      </c>
      <c r="D15" s="8">
        <f>'res_raw_13590400'!$D$13</f>
        <v/>
      </c>
      <c r="E15" s="8">
        <f>'res_raw_13590400'!$E$13</f>
        <v/>
      </c>
      <c r="F15" s="8">
        <f>'res_raw_13590400'!$F$13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'res_raw_13590400'!$B$14</f>
        <v/>
      </c>
      <c r="C16" s="5">
        <f>'res_raw_13590400'!$C$14</f>
        <v/>
      </c>
      <c r="D16" s="5">
        <f>'res_raw_13590400'!$D$14</f>
        <v/>
      </c>
      <c r="E16" s="5">
        <f>'res_raw_13590400'!$E$14</f>
        <v/>
      </c>
      <c r="F16" s="5">
        <f>'res_raw_13590400'!$F$14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'res_raw_13590400'!$B$15</f>
        <v/>
      </c>
      <c r="C17" s="11">
        <f>'res_raw_13590400'!$C$15</f>
        <v/>
      </c>
      <c r="D17" s="11">
        <f>'res_raw_13590400'!$D$15</f>
        <v/>
      </c>
      <c r="E17" s="11">
        <f>'res_raw_13590400'!$E$15</f>
        <v/>
      </c>
      <c r="F17" s="11">
        <f>'res_raw_13590400'!$F$15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'res_raw_13590400'!$B$16</f>
        <v/>
      </c>
      <c r="C18" s="11">
        <f>'res_raw_13590400'!$C$16</f>
        <v/>
      </c>
      <c r="D18" s="11">
        <f>'res_raw_13590400'!$D$16</f>
        <v/>
      </c>
      <c r="E18" s="11">
        <f>'res_raw_13590400'!$E$16</f>
        <v/>
      </c>
      <c r="F18" s="11">
        <f>'res_raw_13590400'!$F$16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'res_raw_13590400'!$B$17</f>
        <v/>
      </c>
      <c r="C19" s="8">
        <f>'res_raw_13590400'!$C$17</f>
        <v/>
      </c>
      <c r="D19" s="8">
        <f>'res_raw_13590400'!$D$17</f>
        <v/>
      </c>
      <c r="E19" s="8">
        <f>'res_raw_13590400'!$E$17</f>
        <v/>
      </c>
      <c r="F19" s="8">
        <f>'res_raw_13590400'!$F$17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'res_raw_13590400'!$B$18</f>
        <v/>
      </c>
      <c r="C20" s="11">
        <f>'res_raw_13590400'!$C$18</f>
        <v/>
      </c>
      <c r="D20" s="11">
        <f>'res_raw_13590400'!$D$18</f>
        <v/>
      </c>
      <c r="E20" s="11">
        <f>'res_raw_13590400'!$E$18</f>
        <v/>
      </c>
      <c r="F20" s="11">
        <f>'res_raw_13590400'!$F$18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'balance_raw_13590400'!$B$2</f>
        <v/>
      </c>
      <c r="C23" s="8">
        <f>'balance_raw_13590400'!$C$2</f>
        <v/>
      </c>
      <c r="D23" s="8">
        <f>'balance_raw_13590400'!$D$2</f>
        <v/>
      </c>
      <c r="E23" s="8">
        <f>'balance_raw_13590400'!$E$2</f>
        <v/>
      </c>
      <c r="F23" s="8">
        <f>'balance_raw_13590400'!$F$2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'balance_raw_13590400'!$B$3</f>
        <v/>
      </c>
      <c r="C24" s="5">
        <f>'balance_raw_13590400'!$C$3</f>
        <v/>
      </c>
      <c r="D24" s="5">
        <f>'balance_raw_13590400'!$D$3</f>
        <v/>
      </c>
      <c r="E24" s="5">
        <f>'balance_raw_13590400'!$E$3</f>
        <v/>
      </c>
      <c r="F24" s="5">
        <f>'balance_raw_13590400'!$F$3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'balance_raw_13590400'!$B$4</f>
        <v/>
      </c>
      <c r="C25" s="8">
        <f>'balance_raw_13590400'!$C$4</f>
        <v/>
      </c>
      <c r="D25" s="8">
        <f>'balance_raw_13590400'!$D$4</f>
        <v/>
      </c>
      <c r="E25" s="8">
        <f>'balance_raw_13590400'!$E$4</f>
        <v/>
      </c>
      <c r="F25" s="8">
        <f>'balance_raw_13590400'!$F$4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'balance_raw_13590400'!$B$5</f>
        <v/>
      </c>
      <c r="C26" s="5">
        <f>'balance_raw_13590400'!$C$5</f>
        <v/>
      </c>
      <c r="D26" s="5">
        <f>'balance_raw_13590400'!$D$5</f>
        <v/>
      </c>
      <c r="E26" s="5">
        <f>'balance_raw_13590400'!$E$5</f>
        <v/>
      </c>
      <c r="F26" s="5">
        <f>'balance_raw_13590400'!$F$5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'balance_raw_13590400'!$B$6</f>
        <v/>
      </c>
      <c r="C27" s="8">
        <f>'balance_raw_13590400'!$C$6</f>
        <v/>
      </c>
      <c r="D27" s="8">
        <f>'balance_raw_13590400'!$D$6</f>
        <v/>
      </c>
      <c r="E27" s="8">
        <f>'balance_raw_13590400'!$E$6</f>
        <v/>
      </c>
      <c r="F27" s="8">
        <f>'balance_raw_13590400'!$F$6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'balance_raw_13590400'!$B$7</f>
        <v/>
      </c>
      <c r="C28" s="11">
        <f>'balance_raw_13590400'!$C$7</f>
        <v/>
      </c>
      <c r="D28" s="11">
        <f>'balance_raw_13590400'!$D$7</f>
        <v/>
      </c>
      <c r="E28" s="11">
        <f>'balance_raw_13590400'!$E$7</f>
        <v/>
      </c>
      <c r="F28" s="11">
        <f>'balance_raw_13590400'!$F$7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'balance_raw_13590400'!$B$8</f>
        <v/>
      </c>
      <c r="C29" s="8">
        <f>'balance_raw_13590400'!$C$8</f>
        <v/>
      </c>
      <c r="D29" s="8">
        <f>'balance_raw_13590400'!$D$8</f>
        <v/>
      </c>
      <c r="E29" s="8">
        <f>'balance_raw_13590400'!$E$8</f>
        <v/>
      </c>
      <c r="F29" s="8">
        <f>'balance_raw_13590400'!$F$8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'balance_raw_13590400'!$B$9</f>
        <v/>
      </c>
      <c r="C30" s="5">
        <f>'balance_raw_13590400'!$C$9</f>
        <v/>
      </c>
      <c r="D30" s="5">
        <f>'balance_raw_13590400'!$D$9</f>
        <v/>
      </c>
      <c r="E30" s="5">
        <f>'balance_raw_13590400'!$E$9</f>
        <v/>
      </c>
      <c r="F30" s="5">
        <f>'balance_raw_13590400'!$F$9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'balance_raw_13590400'!$B$10</f>
        <v/>
      </c>
      <c r="C31" s="11">
        <f>'balance_raw_13590400'!$C$10</f>
        <v/>
      </c>
      <c r="D31" s="11">
        <f>'balance_raw_13590400'!$D$10</f>
        <v/>
      </c>
      <c r="E31" s="11">
        <f>'balance_raw_13590400'!$E$10</f>
        <v/>
      </c>
      <c r="F31" s="11">
        <f>'balance_raw_13590400'!$F$10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'balance_raw_13590400'!$B$11</f>
        <v/>
      </c>
      <c r="C32" s="11">
        <f>'balance_raw_13590400'!$C$11</f>
        <v/>
      </c>
      <c r="D32" s="11">
        <f>'balance_raw_13590400'!$D$11</f>
        <v/>
      </c>
      <c r="E32" s="11">
        <f>'balance_raw_13590400'!$E$11</f>
        <v/>
      </c>
      <c r="F32" s="11">
        <f>'balance_raw_13590400'!$F$11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'balance_raw_13590400'!$B$12</f>
        <v/>
      </c>
      <c r="C33" s="8">
        <f>'balance_raw_13590400'!$C$12</f>
        <v/>
      </c>
      <c r="D33" s="8">
        <f>'balance_raw_13590400'!$D$12</f>
        <v/>
      </c>
      <c r="E33" s="8">
        <f>'balance_raw_13590400'!$E$12</f>
        <v/>
      </c>
      <c r="F33" s="8">
        <f>'balance_raw_13590400'!$F$12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'balance_raw_13590400'!$B$13</f>
        <v/>
      </c>
      <c r="C34" s="5">
        <f>'balance_raw_13590400'!$C$13</f>
        <v/>
      </c>
      <c r="D34" s="5">
        <f>'balance_raw_13590400'!$D$13</f>
        <v/>
      </c>
      <c r="E34" s="5">
        <f>'balance_raw_13590400'!$E$13</f>
        <v/>
      </c>
      <c r="F34" s="5">
        <f>'balance_raw_13590400'!$F$13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'balance_raw_13590400'!$B$14</f>
        <v/>
      </c>
      <c r="C35" s="8">
        <f>'balance_raw_13590400'!$C$14</f>
        <v/>
      </c>
      <c r="D35" s="8">
        <f>'balance_raw_13590400'!$D$14</f>
        <v/>
      </c>
      <c r="E35" s="8">
        <f>'balance_raw_13590400'!$E$14</f>
        <v/>
      </c>
      <c r="F35" s="8">
        <f>'balance_raw_13590400'!$F$14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'balance_raw_13590400'!$B$15</f>
        <v/>
      </c>
      <c r="C36" s="11">
        <f>'balance_raw_13590400'!$C$15</f>
        <v/>
      </c>
      <c r="D36" s="11">
        <f>'balance_raw_13590400'!$D$15</f>
        <v/>
      </c>
      <c r="E36" s="11">
        <f>'balance_raw_13590400'!$E$15</f>
        <v/>
      </c>
      <c r="F36" s="11">
        <f>'balance_raw_13590400'!$F$15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'balance_raw_13590400'!$B$16</f>
        <v/>
      </c>
      <c r="C37" s="8">
        <f>'balance_raw_13590400'!$C$16</f>
        <v/>
      </c>
      <c r="D37" s="8">
        <f>'balance_raw_13590400'!$D$16</f>
        <v/>
      </c>
      <c r="E37" s="8">
        <f>'balance_raw_13590400'!$E$16</f>
        <v/>
      </c>
      <c r="F37" s="8">
        <f>'balance_raw_13590400'!$F$16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'balance_raw_13590400'!$B$17</f>
        <v/>
      </c>
      <c r="C38" s="5">
        <f>'balance_raw_13590400'!$C$17</f>
        <v/>
      </c>
      <c r="D38" s="5">
        <f>'balance_raw_13590400'!$D$17</f>
        <v/>
      </c>
      <c r="E38" s="5">
        <f>'balance_raw_13590400'!$E$17</f>
        <v/>
      </c>
      <c r="F38" s="5">
        <f>'balance_raw_13590400'!$F$17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'balance_raw_13590400'!$B$18</f>
        <v/>
      </c>
      <c r="C39" s="8">
        <f>'balance_raw_13590400'!$C$18</f>
        <v/>
      </c>
      <c r="D39" s="8">
        <f>'balance_raw_13590400'!$D$18</f>
        <v/>
      </c>
      <c r="E39" s="8">
        <f>'balance_raw_13590400'!$E$18</f>
        <v/>
      </c>
      <c r="F39" s="8">
        <f>'balance_raw_13590400'!$F$18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'balance_raw_13590400'!$B$19</f>
        <v/>
      </c>
      <c r="C40" s="5">
        <f>'balance_raw_13590400'!$C$19</f>
        <v/>
      </c>
      <c r="D40" s="5">
        <f>'balance_raw_13590400'!$D$19</f>
        <v/>
      </c>
      <c r="E40" s="5">
        <f>'balance_raw_13590400'!$E$19</f>
        <v/>
      </c>
      <c r="F40" s="5">
        <f>'balance_raw_13590400'!$F$19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'balance_raw_13590400'!$B$20</f>
        <v/>
      </c>
      <c r="C41" s="8">
        <f>'balance_raw_13590400'!$C$20</f>
        <v/>
      </c>
      <c r="D41" s="8">
        <f>'balance_raw_13590400'!$D$20</f>
        <v/>
      </c>
      <c r="E41" s="8">
        <f>'balance_raw_13590400'!$E$20</f>
        <v/>
      </c>
      <c r="F41" s="8">
        <f>'balance_raw_13590400'!$F$20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'balance_raw_13590400'!$B$21</f>
        <v/>
      </c>
      <c r="C42" s="5">
        <f>'balance_raw_13590400'!$C$21</f>
        <v/>
      </c>
      <c r="D42" s="5">
        <f>'balance_raw_13590400'!$D$21</f>
        <v/>
      </c>
      <c r="E42" s="5">
        <f>'balance_raw_13590400'!$E$21</f>
        <v/>
      </c>
      <c r="F42" s="5">
        <f>'balance_raw_13590400'!$F$21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'balance_raw_13590400'!$B$22</f>
        <v/>
      </c>
      <c r="C43" s="8">
        <f>'balance_raw_13590400'!$C$22</f>
        <v/>
      </c>
      <c r="D43" s="8">
        <f>'balance_raw_13590400'!$D$22</f>
        <v/>
      </c>
      <c r="E43" s="8">
        <f>'balance_raw_13590400'!$E$22</f>
        <v/>
      </c>
      <c r="F43" s="8">
        <f>'balance_raw_13590400'!$F$22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'balance_raw_13590400'!$B$23</f>
        <v/>
      </c>
      <c r="C44" s="11">
        <f>'balance_raw_13590400'!$C$23</f>
        <v/>
      </c>
      <c r="D44" s="11">
        <f>'balance_raw_13590400'!$D$23</f>
        <v/>
      </c>
      <c r="E44" s="11">
        <f>'balance_raw_13590400'!$E$23</f>
        <v/>
      </c>
      <c r="F44" s="11">
        <f>'balance_raw_13590400'!$F$23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'balance_raw_13590400'!$B$24</f>
        <v/>
      </c>
      <c r="C45" s="8">
        <f>'balance_raw_13590400'!$C$24</f>
        <v/>
      </c>
      <c r="D45" s="8">
        <f>'balance_raw_13590400'!$D$24</f>
        <v/>
      </c>
      <c r="E45" s="8">
        <f>'balance_raw_13590400'!$E$24</f>
        <v/>
      </c>
      <c r="F45" s="8">
        <f>'balance_raw_13590400'!$F$24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'balance_raw_13590400'!$B$25</f>
        <v/>
      </c>
      <c r="C46" s="5">
        <f>'balance_raw_13590400'!$C$25</f>
        <v/>
      </c>
      <c r="D46" s="5">
        <f>'balance_raw_13590400'!$D$25</f>
        <v/>
      </c>
      <c r="E46" s="5">
        <f>'balance_raw_13590400'!$E$25</f>
        <v/>
      </c>
      <c r="F46" s="5">
        <f>'balance_raw_13590400'!$F$25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'balance_raw_13590400'!$B$26</f>
        <v/>
      </c>
      <c r="C47" s="11">
        <f>'balance_raw_13590400'!$C$26</f>
        <v/>
      </c>
      <c r="D47" s="11">
        <f>'balance_raw_13590400'!$D$26</f>
        <v/>
      </c>
      <c r="E47" s="11">
        <f>'balance_raw_13590400'!$E$26</f>
        <v/>
      </c>
      <c r="F47" s="11">
        <f>'balance_raw_13590400'!$F$26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'balance_raw_13590400'!$B$27</f>
        <v/>
      </c>
      <c r="C48" s="11">
        <f>'balance_raw_13590400'!$C$27</f>
        <v/>
      </c>
      <c r="D48" s="11">
        <f>'balance_raw_13590400'!$D$27</f>
        <v/>
      </c>
      <c r="E48" s="11">
        <f>'balance_raw_13590400'!$E$27</f>
        <v/>
      </c>
      <c r="F48" s="11">
        <f>'balance_raw_13590400'!$F$27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'balance_raw_13590400'!$B$28</f>
        <v/>
      </c>
      <c r="C51" s="8">
        <f>'balance_raw_13590400'!$C$28</f>
        <v/>
      </c>
      <c r="D51" s="8">
        <f>'balance_raw_13590400'!$D$28</f>
        <v/>
      </c>
      <c r="E51" s="8">
        <f>'balance_raw_13590400'!$E$28</f>
        <v/>
      </c>
      <c r="F51" s="8">
        <f>'balance_raw_13590400'!$F$28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'balance_raw_13590400'!$B$29</f>
        <v/>
      </c>
      <c r="C52" s="5">
        <f>'balance_raw_13590400'!$C$29</f>
        <v/>
      </c>
      <c r="D52" s="5">
        <f>'balance_raw_13590400'!$D$29</f>
        <v/>
      </c>
      <c r="E52" s="5">
        <f>'balance_raw_13590400'!$E$29</f>
        <v/>
      </c>
      <c r="F52" s="5">
        <f>'balance_raw_13590400'!$F$29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'balance_raw_13590400'!$B$30</f>
        <v/>
      </c>
      <c r="C53" s="8">
        <f>'balance_raw_13590400'!$C$30</f>
        <v/>
      </c>
      <c r="D53" s="8">
        <f>'balance_raw_13590400'!$D$30</f>
        <v/>
      </c>
      <c r="E53" s="8">
        <f>'balance_raw_13590400'!$E$30</f>
        <v/>
      </c>
      <c r="F53" s="8">
        <f>'balance_raw_13590400'!$F$30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'balance_raw_13590400'!$B$31</f>
        <v/>
      </c>
      <c r="C54" s="5">
        <f>'balance_raw_13590400'!$C$31</f>
        <v/>
      </c>
      <c r="D54" s="5">
        <f>'balance_raw_13590400'!$D$31</f>
        <v/>
      </c>
      <c r="E54" s="5">
        <f>'balance_raw_13590400'!$E$31</f>
        <v/>
      </c>
      <c r="F54" s="5">
        <f>'balance_raw_13590400'!$F$31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'balance_raw_13590400'!$B$32</f>
        <v/>
      </c>
      <c r="C55" s="8">
        <f>'balance_raw_13590400'!$C$32</f>
        <v/>
      </c>
      <c r="D55" s="8">
        <f>'balance_raw_13590400'!$D$32</f>
        <v/>
      </c>
      <c r="E55" s="8">
        <f>'balance_raw_13590400'!$E$32</f>
        <v/>
      </c>
      <c r="F55" s="8">
        <f>'balance_raw_13590400'!$F$32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'balance_raw_13590400'!$B$33</f>
        <v/>
      </c>
      <c r="C56" s="5">
        <f>'balance_raw_13590400'!$C$33</f>
        <v/>
      </c>
      <c r="D56" s="5">
        <f>'balance_raw_13590400'!$D$33</f>
        <v/>
      </c>
      <c r="E56" s="5">
        <f>'balance_raw_13590400'!$E$33</f>
        <v/>
      </c>
      <c r="F56" s="5">
        <f>'balance_raw_13590400'!$F$33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'balance_raw_13590400'!$B$34</f>
        <v/>
      </c>
      <c r="C57" s="11">
        <f>'balance_raw_13590400'!$C$34</f>
        <v/>
      </c>
      <c r="D57" s="11">
        <f>'balance_raw_13590400'!$D$34</f>
        <v/>
      </c>
      <c r="E57" s="11">
        <f>'balance_raw_13590400'!$E$34</f>
        <v/>
      </c>
      <c r="F57" s="11">
        <f>'balance_raw_13590400'!$F$34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(kortfristet)</t>
        </is>
      </c>
      <c r="B58" s="5">
        <f>'balance_raw_13590400'!$B$35</f>
        <v/>
      </c>
      <c r="C58" s="5">
        <f>'balance_raw_13590400'!$C$35</f>
        <v/>
      </c>
      <c r="D58" s="5">
        <f>'balance_raw_13590400'!$D$35</f>
        <v/>
      </c>
      <c r="E58" s="5">
        <f>'balance_raw_13590400'!$E$35</f>
        <v/>
      </c>
      <c r="F58" s="5">
        <f>'balance_raw_13590400'!$F$35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Kortfristet del af langfristede gældsforpligtelser</t>
        </is>
      </c>
      <c r="B59" s="8">
        <f>'balance_raw_13590400'!$B$36</f>
        <v/>
      </c>
      <c r="C59" s="8">
        <f>'balance_raw_13590400'!$C$36</f>
        <v/>
      </c>
      <c r="D59" s="8">
        <f>'balance_raw_13590400'!$D$36</f>
        <v/>
      </c>
      <c r="E59" s="8">
        <f>'balance_raw_13590400'!$E$36</f>
        <v/>
      </c>
      <c r="F59" s="8">
        <f>'balance_raw_13590400'!$F$36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Kreditinstitutter</t>
        </is>
      </c>
      <c r="B60" s="5">
        <f>'balance_raw_13590400'!$B$37</f>
        <v/>
      </c>
      <c r="C60" s="5">
        <f>'balance_raw_13590400'!$C$37</f>
        <v/>
      </c>
      <c r="D60" s="5">
        <f>'balance_raw_13590400'!$D$37</f>
        <v/>
      </c>
      <c r="E60" s="5">
        <f>'balance_raw_13590400'!$E$37</f>
        <v/>
      </c>
      <c r="F60" s="5">
        <f>'balance_raw_13590400'!$F$37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(kortfristet)</t>
        </is>
      </c>
      <c r="B61" s="8">
        <f>'balance_raw_13590400'!$B$38</f>
        <v/>
      </c>
      <c r="C61" s="8">
        <f>'balance_raw_13590400'!$C$38</f>
        <v/>
      </c>
      <c r="D61" s="8">
        <f>'balance_raw_13590400'!$D$38</f>
        <v/>
      </c>
      <c r="E61" s="8">
        <f>'balance_raw_13590400'!$E$38</f>
        <v/>
      </c>
      <c r="F61" s="8">
        <f>'balance_raw_13590400'!$F$38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Leverandører af varer og tjenesteydelser</t>
        </is>
      </c>
      <c r="B62" s="5">
        <f>'balance_raw_13590400'!$B$39</f>
        <v/>
      </c>
      <c r="C62" s="5">
        <f>'balance_raw_13590400'!$C$39</f>
        <v/>
      </c>
      <c r="D62" s="5">
        <f>'balance_raw_13590400'!$D$39</f>
        <v/>
      </c>
      <c r="E62" s="5">
        <f>'balance_raw_13590400'!$E$39</f>
        <v/>
      </c>
      <c r="F62" s="5">
        <f>'balance_raw_13590400'!$F$39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</t>
        </is>
      </c>
      <c r="B63" s="8">
        <f>'balance_raw_13590400'!$B$40</f>
        <v/>
      </c>
      <c r="C63" s="8">
        <f>'balance_raw_13590400'!$C$40</f>
        <v/>
      </c>
      <c r="D63" s="8">
        <f>'balance_raw_13590400'!$D$40</f>
        <v/>
      </c>
      <c r="E63" s="8">
        <f>'balance_raw_13590400'!$E$40</f>
        <v/>
      </c>
      <c r="F63" s="8">
        <f>'balance_raw_13590400'!$F$40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selskabsdeltagere og ledelse</t>
        </is>
      </c>
      <c r="B64" s="5">
        <f>'balance_raw_13590400'!$B$41</f>
        <v/>
      </c>
      <c r="C64" s="5">
        <f>'balance_raw_13590400'!$C$41</f>
        <v/>
      </c>
      <c r="D64" s="5">
        <f>'balance_raw_13590400'!$D$41</f>
        <v/>
      </c>
      <c r="E64" s="5">
        <f>'balance_raw_13590400'!$E$41</f>
        <v/>
      </c>
      <c r="F64" s="5">
        <f>'balance_raw_13590400'!$F$41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Selskabsskat</t>
        </is>
      </c>
      <c r="B65" s="8">
        <f>'balance_raw_13590400'!$B$42</f>
        <v/>
      </c>
      <c r="C65" s="8">
        <f>'balance_raw_13590400'!$C$42</f>
        <v/>
      </c>
      <c r="D65" s="8">
        <f>'balance_raw_13590400'!$D$42</f>
        <v/>
      </c>
      <c r="E65" s="8">
        <f>'balance_raw_13590400'!$E$42</f>
        <v/>
      </c>
      <c r="F65" s="8">
        <f>'balance_raw_13590400'!$F$42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 vedr. selskabsskat</t>
        </is>
      </c>
      <c r="B66" s="5">
        <f>'balance_raw_13590400'!$B$43</f>
        <v/>
      </c>
      <c r="C66" s="5">
        <f>'balance_raw_13590400'!$C$43</f>
        <v/>
      </c>
      <c r="D66" s="5">
        <f>'balance_raw_13590400'!$D$43</f>
        <v/>
      </c>
      <c r="E66" s="5">
        <f>'balance_raw_13590400'!$E$43</f>
        <v/>
      </c>
      <c r="F66" s="5">
        <f>'balance_raw_13590400'!$F$43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(kortfristet)</t>
        </is>
      </c>
      <c r="B67" s="8">
        <f>'balance_raw_13590400'!$B$44</f>
        <v/>
      </c>
      <c r="C67" s="8">
        <f>'balance_raw_13590400'!$C$44</f>
        <v/>
      </c>
      <c r="D67" s="8">
        <f>'balance_raw_13590400'!$D$44</f>
        <v/>
      </c>
      <c r="E67" s="8">
        <f>'balance_raw_13590400'!$E$44</f>
        <v/>
      </c>
      <c r="F67" s="8">
        <f>'balance_raw_13590400'!$F$44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Periodeafgrænsningsposter (passiver)</t>
        </is>
      </c>
      <c r="B68" s="5">
        <f>'balance_raw_13590400'!$B$45</f>
        <v/>
      </c>
      <c r="C68" s="5">
        <f>'balance_raw_13590400'!$C$45</f>
        <v/>
      </c>
      <c r="D68" s="5">
        <f>'balance_raw_13590400'!$D$45</f>
        <v/>
      </c>
      <c r="E68" s="5">
        <f>'balance_raw_13590400'!$E$45</f>
        <v/>
      </c>
      <c r="F68" s="5">
        <f>'balance_raw_13590400'!$F$45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Kortfristede gældsforpligtelser</t>
        </is>
      </c>
      <c r="B69" s="11">
        <f>'balance_raw_13590400'!$B$46</f>
        <v/>
      </c>
      <c r="C69" s="11">
        <f>'balance_raw_13590400'!$C$46</f>
        <v/>
      </c>
      <c r="D69" s="11">
        <f>'balance_raw_13590400'!$D$46</f>
        <v/>
      </c>
      <c r="E69" s="11">
        <f>'balance_raw_13590400'!$E$46</f>
        <v/>
      </c>
      <c r="F69" s="11">
        <f>'balance_raw_13590400'!$F$46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Gældsforpligtelser</t>
        </is>
      </c>
      <c r="B70" s="11">
        <f>'balance_raw_13590400'!$B$47</f>
        <v/>
      </c>
      <c r="C70" s="11">
        <f>'balance_raw_13590400'!$C$47</f>
        <v/>
      </c>
      <c r="D70" s="11">
        <f>'balance_raw_13590400'!$D$47</f>
        <v/>
      </c>
      <c r="E70" s="11">
        <f>'balance_raw_13590400'!$E$47</f>
        <v/>
      </c>
      <c r="F70" s="11">
        <f>'balance_raw_13590400'!$F$47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Passiver</t>
        </is>
      </c>
      <c r="B71" s="11">
        <f>'balance_raw_13590400'!$B$48</f>
        <v/>
      </c>
      <c r="C71" s="11">
        <f>'balance_raw_13590400'!$C$48</f>
        <v/>
      </c>
      <c r="D71" s="11">
        <f>'balance_raw_13590400'!$D$48</f>
        <v/>
      </c>
      <c r="E71" s="11">
        <f>'balance_raw_13590400'!$E$48</f>
        <v/>
      </c>
      <c r="F71" s="11">
        <f>'balance_raw_13590400'!$F$48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3" ht="22" customHeight="1">
      <c r="A73" s="3" t="inlineStr">
        <is>
          <t>NØGLEOPLYSNINGER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Gns. antal medarbejdere</t>
        </is>
      </c>
      <c r="B74" s="5">
        <f>'res_raw_13590400'!$B$19</f>
        <v/>
      </c>
      <c r="C74" s="5">
        <f>'res_raw_13590400'!$C$19</f>
        <v/>
      </c>
      <c r="D74" s="5">
        <f>'res_raw_13590400'!$D$19</f>
        <v/>
      </c>
      <c r="E74" s="5">
        <f>'res_raw_13590400'!$E$19</f>
        <v/>
      </c>
      <c r="F74" s="5">
        <f>'res_raw_13590400'!$F$19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Investering i materielle anlægsaktiver</t>
        </is>
      </c>
      <c r="B75" s="8">
        <f>'res_raw_13590400'!$B$20</f>
        <v/>
      </c>
      <c r="C75" s="8">
        <f>'res_raw_13590400'!$C$20</f>
        <v/>
      </c>
      <c r="D75" s="8">
        <f>'res_raw_13590400'!$D$20</f>
        <v/>
      </c>
      <c r="E75" s="8">
        <f>'res_raw_13590400'!$E$20</f>
        <v/>
      </c>
      <c r="F75" s="8">
        <f>'res_raw_13590400'!$F$20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NØGLETAL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Afkastningsgrad, %</t>
        </is>
      </c>
      <c r="B78" s="13">
        <f>IFERROR(($B$13+$B$15+$B$14)/$B$48*100,"")</f>
        <v/>
      </c>
      <c r="C78" s="13">
        <f>IFERROR(($C$13+$C$15+$C$14)/$C$48*100,"")</f>
        <v/>
      </c>
      <c r="D78" s="13">
        <f>IFERROR(($D$13+$D$15+$D$14)/$D$48*100,"")</f>
        <v/>
      </c>
      <c r="E78" s="13">
        <f>IFERROR(($E$13+$E$15+$E$14)/$E$48*100,"")</f>
        <v/>
      </c>
      <c r="F78" s="13">
        <f>IFERROR(($F$13+$F$15+$F$14)/$F$48*100,"")</f>
        <v/>
      </c>
    </row>
    <row r="79" ht="16" customHeight="1">
      <c r="A79" s="7" t="inlineStr">
        <is>
          <t>Overskudsgrad, %</t>
        </is>
      </c>
      <c r="B79" s="14">
        <f>IFERROR(($B$13+$B$15+$B$14)/$B$4*100,"")</f>
        <v/>
      </c>
      <c r="C79" s="14">
        <f>IFERROR(($C$13+$C$15+$C$14)/$C$4*100,"")</f>
        <v/>
      </c>
      <c r="D79" s="14">
        <f>IFERROR(($D$13+$D$15+$D$14)/$D$4*100,"")</f>
        <v/>
      </c>
      <c r="E79" s="14">
        <f>IFERROR(($E$13+$E$15+$E$14)/$E$4*100,"")</f>
        <v/>
      </c>
      <c r="F79" s="14">
        <f>IFERROR(($F$13+$F$15+$F$14)/$F$4*100,"")</f>
        <v/>
      </c>
    </row>
    <row r="80" ht="16" customHeight="1">
      <c r="A80" s="4" t="inlineStr">
        <is>
          <t>Aktivernes omsætningshastighed, gange</t>
        </is>
      </c>
      <c r="B80" s="13">
        <f>IFERROR($B$4/$B$48,"")</f>
        <v/>
      </c>
      <c r="C80" s="13">
        <f>IFERROR($C$4/$C$48,"")</f>
        <v/>
      </c>
      <c r="D80" s="13">
        <f>IFERROR($D$4/$D$48,"")</f>
        <v/>
      </c>
      <c r="E80" s="13">
        <f>IFERROR($E$4/$E$48,"")</f>
        <v/>
      </c>
      <c r="F80" s="13">
        <f>IFERROR($F$4/$F$48,"")</f>
        <v/>
      </c>
    </row>
    <row r="81" ht="16" customHeight="1">
      <c r="A81" s="7" t="inlineStr">
        <is>
          <t>Egenkapitalens forrentning, %</t>
        </is>
      </c>
      <c r="B81" s="14">
        <f>IFERROR($B$18/$B$57*100,"")</f>
        <v/>
      </c>
      <c r="C81" s="14">
        <f>IFERROR($C$18/$C$57*100,"")</f>
        <v/>
      </c>
      <c r="D81" s="14">
        <f>IFERROR($D$18/$D$57*100,"")</f>
        <v/>
      </c>
      <c r="E81" s="14">
        <f>IFERROR($E$18/$E$57*100,"")</f>
        <v/>
      </c>
      <c r="F81" s="14">
        <f>IFERROR($F$18/$F$57*100,"")</f>
        <v/>
      </c>
    </row>
    <row r="82" ht="16" customHeight="1">
      <c r="A82" s="4" t="inlineStr">
        <is>
          <t>Gældsrente, %</t>
        </is>
      </c>
      <c r="B82" s="13">
        <f>IFERROR($B$16/($B$71-$B$57)*100,"")</f>
        <v/>
      </c>
      <c r="C82" s="13">
        <f>IFERROR($C$16/($C$71-$C$57)*100,"")</f>
        <v/>
      </c>
      <c r="D82" s="13">
        <f>IFERROR($D$16/($D$71-$D$57)*100,"")</f>
        <v/>
      </c>
      <c r="E82" s="13">
        <f>IFERROR($E$16/($E$71-$E$57)*100,"")</f>
        <v/>
      </c>
      <c r="F82" s="13">
        <f>IFERROR($F$16/($F$71-$F$57)*100,"")</f>
        <v/>
      </c>
    </row>
    <row r="83" ht="16" customHeight="1">
      <c r="A83" s="7" t="inlineStr">
        <is>
          <t>Soliditetsgrad, %</t>
        </is>
      </c>
      <c r="B83" s="14">
        <f>IFERROR($B$57/$B$48*100,"")</f>
        <v/>
      </c>
      <c r="C83" s="14">
        <f>IFERROR($C$57/$C$48*100,"")</f>
        <v/>
      </c>
      <c r="D83" s="14">
        <f>IFERROR($D$57/$D$48*100,"")</f>
        <v/>
      </c>
      <c r="E83" s="14">
        <f>IFERROR($E$57/$E$48*100,"")</f>
        <v/>
      </c>
      <c r="F83" s="14">
        <f>IFERROR($F$57/$F$48*100,"")</f>
        <v/>
      </c>
    </row>
    <row r="84" ht="16" customHeight="1">
      <c r="A84" s="4" t="inlineStr">
        <is>
          <t>Gearing</t>
        </is>
      </c>
      <c r="B84" s="13">
        <f>IFERROR(($B$71-$B$57)/$B$57,"")</f>
        <v/>
      </c>
      <c r="C84" s="13">
        <f>IFERROR(($C$71-$C$57)/$C$57,"")</f>
        <v/>
      </c>
      <c r="D84" s="13">
        <f>IFERROR(($D$71-$D$57)/$D$57,"")</f>
        <v/>
      </c>
      <c r="E84" s="13">
        <f>IFERROR(($E$71-$E$57)/$E$57,"")</f>
        <v/>
      </c>
      <c r="F84" s="13">
        <f>IFERROR(($F$71-$F$57)/$F$57,"")</f>
        <v/>
      </c>
    </row>
    <row r="85" ht="16" customHeight="1">
      <c r="A85" s="7" t="inlineStr">
        <is>
          <t>Likviditetsgrad, %</t>
        </is>
      </c>
      <c r="B85" s="14">
        <f>IFERROR($B$47/$B$69*100,"")</f>
        <v/>
      </c>
      <c r="C85" s="14">
        <f>IFERROR($C$47/$C$69*100,"")</f>
        <v/>
      </c>
      <c r="D85" s="14">
        <f>IFERROR($D$47/$D$69*100,"")</f>
        <v/>
      </c>
      <c r="E85" s="14">
        <f>IFERROR($E$47/$E$69*100,"")</f>
        <v/>
      </c>
      <c r="F85" s="14">
        <f>IFERROR($F$47/$F$69*100,"")</f>
        <v/>
      </c>
    </row>
    <row r="86" ht="16" customHeight="1">
      <c r="A86" s="4" t="inlineStr">
        <is>
          <t>Rentemarginal, %</t>
        </is>
      </c>
      <c r="B86" s="13">
        <f>IFERROR(B78-B82,"")</f>
        <v/>
      </c>
      <c r="C86" s="13">
        <f>IFERROR(C78-C82,"")</f>
        <v/>
      </c>
      <c r="D86" s="13">
        <f>IFERROR(D78-D82,"")</f>
        <v/>
      </c>
      <c r="E86" s="13">
        <f>IFERROR(E78-E82,"")</f>
        <v/>
      </c>
      <c r="F86" s="13">
        <f>IFERROR(F78-F82,"")</f>
        <v/>
      </c>
    </row>
    <row r="87" ht="16" customHeight="1">
      <c r="A87" s="7" t="inlineStr">
        <is>
          <t>Gældsandel, %</t>
        </is>
      </c>
      <c r="B87" s="14">
        <f>IFERROR(($B$71-$B$57)/$B$48*100,"")</f>
        <v/>
      </c>
      <c r="C87" s="14">
        <f>IFERROR(($C$71-$C$57)/$C$48*100,"")</f>
        <v/>
      </c>
      <c r="D87" s="14">
        <f>IFERROR(($D$71-$D$57)/$D$48*100,"")</f>
        <v/>
      </c>
      <c r="E87" s="14">
        <f>IFERROR(($E$71-$E$57)/$E$48*100,"")</f>
        <v/>
      </c>
      <c r="F87" s="14">
        <f>IFERROR(($F$71-$F$57)/$F$48*100,"")</f>
        <v/>
      </c>
    </row>
    <row r="88" ht="16" customHeight="1">
      <c r="A88" s="4" t="inlineStr">
        <is>
          <t>Kapitalbindingsgrad, %</t>
        </is>
      </c>
      <c r="B88" s="13">
        <f>IFERROR($B$32/($B$57+0)*100,"")</f>
        <v/>
      </c>
      <c r="C88" s="13">
        <f>IFERROR($C$32/($C$57+0)*100,"")</f>
        <v/>
      </c>
      <c r="D88" s="13">
        <f>IFERROR($D$32/($D$57+0)*100,"")</f>
        <v/>
      </c>
      <c r="E88" s="13">
        <f>IFERROR($E$32/($E$57+0)*100,"")</f>
        <v/>
      </c>
      <c r="F88" s="13">
        <f>IFERROR($F$32/($F$57+0)*100,"")</f>
        <v/>
      </c>
    </row>
    <row r="90">
      <c r="A9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JYSK A/S (CVR 13590400)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5750238</v>
      </c>
      <c r="C2" s="16" t="n">
        <v>5978188</v>
      </c>
      <c r="D2" s="16" t="n">
        <v>5925711</v>
      </c>
      <c r="E2" s="16" t="n">
        <v>5902461</v>
      </c>
      <c r="F2" s="16" t="n">
        <v>6518822</v>
      </c>
    </row>
    <row r="3">
      <c r="A3" s="15" t="inlineStr">
        <is>
          <t>Andre driftsindtægter</t>
        </is>
      </c>
      <c r="B3" s="16" t="n">
        <v>1017839</v>
      </c>
      <c r="C3" s="16" t="n">
        <v>1255102</v>
      </c>
      <c r="D3" s="16" t="n">
        <v>1113672</v>
      </c>
      <c r="E3" s="16" t="n">
        <v>1534818</v>
      </c>
      <c r="F3" s="16" t="n">
        <v>2957945</v>
      </c>
    </row>
    <row r="4">
      <c r="A4" s="15" t="inlineStr">
        <is>
          <t>Vareforbrug</t>
        </is>
      </c>
      <c r="B4" s="16" t="n">
        <v>3367768</v>
      </c>
      <c r="C4" s="16" t="n">
        <v>3583964</v>
      </c>
      <c r="D4" s="16" t="n">
        <v>3581261</v>
      </c>
      <c r="E4" s="16" t="n">
        <v>3531157</v>
      </c>
      <c r="F4" s="16" t="n">
        <v>3889963</v>
      </c>
    </row>
    <row r="5">
      <c r="A5" s="15" t="inlineStr">
        <is>
          <t>Andre eksterne omkostninger</t>
        </is>
      </c>
      <c r="B5" s="16" t="n">
        <v>745261</v>
      </c>
      <c r="C5" s="16" t="n">
        <v>888917</v>
      </c>
      <c r="D5" s="16" t="n">
        <v>902352</v>
      </c>
      <c r="E5" s="16" t="n">
        <v>891253</v>
      </c>
      <c r="F5" s="16" t="n">
        <v>1037316</v>
      </c>
    </row>
    <row r="6">
      <c r="A6" s="17" t="inlineStr">
        <is>
          <t>Bruttoresultat</t>
        </is>
      </c>
      <c r="B6" s="16" t="n">
        <v>2655048</v>
      </c>
      <c r="C6" s="16" t="n">
        <v>2760409</v>
      </c>
      <c r="D6" s="16" t="n">
        <v>2555770</v>
      </c>
      <c r="E6" s="16" t="n">
        <v>3014869</v>
      </c>
      <c r="F6" s="16" t="n">
        <v>4549488</v>
      </c>
    </row>
    <row r="7">
      <c r="A7" s="15" t="inlineStr">
        <is>
          <t>Personaleomkostninger</t>
        </is>
      </c>
      <c r="B7" s="16" t="n">
        <v>1021315</v>
      </c>
      <c r="C7" s="16" t="n">
        <v>1007117</v>
      </c>
      <c r="D7" s="16" t="n">
        <v>1051599</v>
      </c>
      <c r="E7" s="16" t="n">
        <v>1170298</v>
      </c>
      <c r="F7" s="16" t="n">
        <v>1391195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93665</v>
      </c>
      <c r="C9" s="16" t="n">
        <v>93707</v>
      </c>
      <c r="D9" s="16" t="n">
        <v>98263</v>
      </c>
      <c r="E9" s="16" t="n">
        <v>59292</v>
      </c>
      <c r="F9" s="16" t="n">
        <v>49174</v>
      </c>
    </row>
    <row r="10">
      <c r="A10" s="15" t="inlineStr">
        <is>
          <t>Andre driftsomkostninger</t>
        </is>
      </c>
      <c r="B10" s="16" t="n">
        <v>6136</v>
      </c>
      <c r="C10" s="16" t="n">
        <v>512</v>
      </c>
      <c r="D10" s="16" t="n">
        <v>413</v>
      </c>
      <c r="E10" s="16" t="n">
        <v>1665</v>
      </c>
      <c r="F10" s="16" t="n">
        <v>130</v>
      </c>
    </row>
    <row r="11">
      <c r="A11" s="17" t="inlineStr">
        <is>
          <t>Resultat af primær drift</t>
        </is>
      </c>
      <c r="B11" s="16" t="n">
        <v>1533932</v>
      </c>
      <c r="C11" s="16" t="n">
        <v>1659073</v>
      </c>
      <c r="D11" s="16" t="n">
        <v>1405495</v>
      </c>
      <c r="E11" s="16" t="n">
        <v>1783614</v>
      </c>
      <c r="F11" s="16" t="n">
        <v>3108989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9684</v>
      </c>
      <c r="C13" s="16" t="n">
        <v>19511</v>
      </c>
      <c r="D13" s="16" t="n">
        <v>13658</v>
      </c>
      <c r="E13" s="16" t="n">
        <v>26508</v>
      </c>
      <c r="F13" s="16" t="n">
        <v>27923</v>
      </c>
    </row>
    <row r="14">
      <c r="A14" s="15" t="inlineStr">
        <is>
          <t>Finansielle omkostninger</t>
        </is>
      </c>
      <c r="B14" s="16" t="n">
        <v>9336</v>
      </c>
      <c r="C14" s="16" t="n">
        <v>2254</v>
      </c>
      <c r="D14" s="16" t="n">
        <v>24516</v>
      </c>
      <c r="E14" s="16" t="n">
        <v>7322</v>
      </c>
      <c r="F14" s="16" t="n">
        <v>3720</v>
      </c>
    </row>
    <row r="15">
      <c r="A15" s="17" t="inlineStr">
        <is>
          <t>Finansielle poster, netto</t>
        </is>
      </c>
      <c r="B15" s="16" t="n">
        <v>348</v>
      </c>
      <c r="C15" s="16" t="n">
        <v>17257</v>
      </c>
      <c r="D15" s="16" t="n">
        <v>-10858</v>
      </c>
      <c r="E15" s="16" t="n">
        <v>19186</v>
      </c>
      <c r="F15" s="16" t="n">
        <v>24203</v>
      </c>
    </row>
    <row r="16">
      <c r="A16" s="17" t="inlineStr">
        <is>
          <t>Resultat før skat</t>
        </is>
      </c>
      <c r="B16" s="16" t="n">
        <v>1534280</v>
      </c>
      <c r="C16" s="16" t="n">
        <v>1676330</v>
      </c>
      <c r="D16" s="16" t="n">
        <v>1394637</v>
      </c>
      <c r="E16" s="16" t="n">
        <v>1802800</v>
      </c>
      <c r="F16" s="16" t="n">
        <v>3133192</v>
      </c>
    </row>
    <row r="17">
      <c r="A17" s="15" t="inlineStr">
        <is>
          <t>Skat af årets resultat</t>
        </is>
      </c>
      <c r="B17" s="16" t="n">
        <v>336076</v>
      </c>
      <c r="C17" s="16" t="n">
        <v>368350</v>
      </c>
      <c r="D17" s="16" t="n">
        <v>306848</v>
      </c>
      <c r="E17" s="16" t="n">
        <v>396616</v>
      </c>
      <c r="F17" s="16" t="n">
        <v>689302</v>
      </c>
    </row>
    <row r="18">
      <c r="A18" s="17" t="inlineStr">
        <is>
          <t>Årets resultat</t>
        </is>
      </c>
      <c r="B18" s="16" t="n">
        <v>1198204</v>
      </c>
      <c r="C18" s="16" t="n">
        <v>1307980</v>
      </c>
      <c r="D18" s="16" t="n">
        <v>1087789</v>
      </c>
      <c r="E18" s="16" t="n">
        <v>1406184</v>
      </c>
      <c r="F18" s="16" t="n">
        <v>2443890</v>
      </c>
    </row>
    <row r="19">
      <c r="A19" s="15" t="inlineStr">
        <is>
          <t>Gns. antal medarbejdere</t>
        </is>
      </c>
      <c r="B19" s="16" t="n">
        <v>2040</v>
      </c>
      <c r="C19" s="16" t="n">
        <v>2145</v>
      </c>
      <c r="D19" s="16" t="n">
        <v>2035</v>
      </c>
      <c r="E19" s="16" t="n">
        <v>2163</v>
      </c>
      <c r="F19" s="16" t="n">
        <v>2271</v>
      </c>
    </row>
    <row r="20">
      <c r="A20" s="15" t="inlineStr">
        <is>
          <t>Investering i materielle anlægsaktiver</t>
        </is>
      </c>
      <c r="B20" s="16" t="n">
        <v>74358</v>
      </c>
      <c r="C20" s="16" t="n">
        <v>141294</v>
      </c>
      <c r="D20" s="16" t="n">
        <v>46123</v>
      </c>
      <c r="E20" s="16" t="n">
        <v>52413</v>
      </c>
      <c r="F20" s="16" t="n">
        <v>55755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JYSK A/S (CVR 13590400)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>
        <v>4056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98884</v>
      </c>
      <c r="C4" s="16" t="n">
        <v>96566</v>
      </c>
      <c r="D4" s="16" t="n">
        <v>105027</v>
      </c>
      <c r="E4" s="16" t="n">
        <v>89690</v>
      </c>
      <c r="F4" s="16" t="n">
        <v>83924</v>
      </c>
    </row>
    <row r="5">
      <c r="A5" s="15" t="inlineStr">
        <is>
          <t>Indretning af lejede lokaler</t>
        </is>
      </c>
      <c r="B5" s="16" t="n">
        <v>70491</v>
      </c>
      <c r="C5" s="16" t="n">
        <v>43142</v>
      </c>
      <c r="D5" s="16" t="n">
        <v>12607</v>
      </c>
      <c r="E5" s="16" t="n">
        <v>14260</v>
      </c>
      <c r="F5" s="16" t="n">
        <v>18765</v>
      </c>
    </row>
    <row r="6">
      <c r="A6" s="15" t="inlineStr">
        <is>
          <t>Forudbetaling og anlægsaktiver under opførelse</t>
        </is>
      </c>
      <c r="B6" s="16" t="n">
        <v>64434</v>
      </c>
      <c r="C6" s="16" t="n">
        <v>132860</v>
      </c>
      <c r="D6" s="16" t="n">
        <v>67847</v>
      </c>
      <c r="E6" s="16" t="n">
        <v>0</v>
      </c>
      <c r="F6" s="16" t="n">
        <v>985</v>
      </c>
    </row>
    <row r="7">
      <c r="A7" s="17" t="inlineStr">
        <is>
          <t>Materielle anlægsaktiver</t>
        </is>
      </c>
      <c r="B7" s="16" t="n">
        <v>260834</v>
      </c>
      <c r="C7" s="16" t="n">
        <v>305911</v>
      </c>
      <c r="D7" s="16" t="n">
        <v>185481</v>
      </c>
      <c r="E7" s="16" t="n">
        <v>103950</v>
      </c>
      <c r="F7" s="16" t="n">
        <v>107730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>
        <v>82392</v>
      </c>
      <c r="C9" s="16" t="n">
        <v>83993</v>
      </c>
      <c r="D9" s="16" t="n">
        <v>3247</v>
      </c>
      <c r="E9" s="16" t="n">
        <v>3540</v>
      </c>
      <c r="F9" s="16" t="n">
        <v>4192</v>
      </c>
    </row>
    <row r="10">
      <c r="A10" s="17" t="inlineStr">
        <is>
          <t>Finansielle anlægsaktiver</t>
        </is>
      </c>
      <c r="B10" s="16" t="n">
        <v>82392</v>
      </c>
      <c r="C10" s="16" t="n">
        <v>83993</v>
      </c>
      <c r="D10" s="16" t="n">
        <v>3247</v>
      </c>
      <c r="E10" s="16" t="n">
        <v>3540</v>
      </c>
      <c r="F10" s="16" t="n">
        <v>4192</v>
      </c>
    </row>
    <row r="11">
      <c r="A11" s="17" t="inlineStr">
        <is>
          <t>Anlægsaktiver</t>
        </is>
      </c>
      <c r="B11" s="16" t="n">
        <v>343226</v>
      </c>
      <c r="C11" s="16" t="n">
        <v>389904</v>
      </c>
      <c r="D11" s="16" t="n">
        <v>188728</v>
      </c>
      <c r="E11" s="16" t="n">
        <v>107490</v>
      </c>
      <c r="F11" s="16" t="n">
        <v>111922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/>
      <c r="C14" s="16" t="n"/>
      <c r="D14" s="16" t="n">
        <v>1317583</v>
      </c>
      <c r="E14" s="16" t="n">
        <v>1292362</v>
      </c>
      <c r="F14" s="16" t="n">
        <v>1382014</v>
      </c>
    </row>
    <row r="15">
      <c r="A15" s="17" t="inlineStr">
        <is>
          <t>Varebeholdninger</t>
        </is>
      </c>
      <c r="B15" s="16" t="n">
        <v>1125771</v>
      </c>
      <c r="C15" s="16" t="n">
        <v>1507878</v>
      </c>
      <c r="D15" s="16" t="n">
        <v>1317583</v>
      </c>
      <c r="E15" s="16" t="n">
        <v>1292362</v>
      </c>
      <c r="F15" s="16" t="n">
        <v>1382014</v>
      </c>
    </row>
    <row r="16">
      <c r="A16" s="15" t="inlineStr">
        <is>
          <t>Tilgodehavender fra salg og tjenesteydelser</t>
        </is>
      </c>
      <c r="B16" s="16" t="n">
        <v>431792</v>
      </c>
      <c r="C16" s="16" t="n">
        <v>636910</v>
      </c>
      <c r="D16" s="16" t="n">
        <v>255877</v>
      </c>
      <c r="E16" s="16" t="n">
        <v>241835</v>
      </c>
      <c r="F16" s="16" t="n">
        <v>58898</v>
      </c>
    </row>
    <row r="17">
      <c r="A17" s="15" t="inlineStr">
        <is>
          <t>Tilgodehavender hos tilknyttede virksomheder</t>
        </is>
      </c>
      <c r="B17" s="16" t="n">
        <v>5525</v>
      </c>
      <c r="C17" s="16" t="n">
        <v>10320</v>
      </c>
      <c r="D17" s="16" t="n">
        <v>1184941</v>
      </c>
      <c r="E17" s="16" t="n">
        <v>1783130</v>
      </c>
      <c r="F17" s="16" t="n">
        <v>3125476</v>
      </c>
    </row>
    <row r="18">
      <c r="A18" s="15" t="inlineStr">
        <is>
          <t>Andre tilgodehavender</t>
        </is>
      </c>
      <c r="B18" s="16" t="n">
        <v>1231578</v>
      </c>
      <c r="C18" s="16" t="n">
        <v>649560</v>
      </c>
      <c r="D18" s="16" t="n">
        <v>2664</v>
      </c>
      <c r="E18" s="16" t="n">
        <v>1954</v>
      </c>
      <c r="F18" s="16" t="n">
        <v>3064</v>
      </c>
    </row>
    <row r="19">
      <c r="A19" s="15" t="inlineStr">
        <is>
          <t>Periodeafgrænsningsposter (aktiver)</t>
        </is>
      </c>
      <c r="B19" s="16" t="n">
        <v>25591</v>
      </c>
      <c r="C19" s="16" t="n">
        <v>50911</v>
      </c>
      <c r="D19" s="16" t="n">
        <v>35866</v>
      </c>
      <c r="E19" s="16" t="n">
        <v>29813</v>
      </c>
      <c r="F19" s="16" t="n">
        <v>42678</v>
      </c>
    </row>
    <row r="20">
      <c r="A20" s="15" t="inlineStr">
        <is>
          <t>Udskudt skatteaktiv</t>
        </is>
      </c>
      <c r="B20" s="16" t="n">
        <v>24895</v>
      </c>
      <c r="C20" s="16" t="n">
        <v>31943</v>
      </c>
      <c r="D20" s="16" t="n">
        <v>42323</v>
      </c>
      <c r="E20" s="16" t="n">
        <v>42822</v>
      </c>
      <c r="F20" s="16" t="n">
        <v>40881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1719381</v>
      </c>
      <c r="C23" s="16" t="n">
        <v>1379644</v>
      </c>
      <c r="D23" s="16" t="n">
        <v>1521671</v>
      </c>
      <c r="E23" s="16" t="n">
        <v>2099554</v>
      </c>
      <c r="F23" s="16" t="n">
        <v>3270997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35242</v>
      </c>
      <c r="C25" s="16" t="n">
        <v>23511</v>
      </c>
      <c r="D25" s="16" t="n">
        <v>49275</v>
      </c>
      <c r="E25" s="16" t="n">
        <v>10515</v>
      </c>
      <c r="F25" s="16" t="n">
        <v>76233</v>
      </c>
    </row>
    <row r="26">
      <c r="A26" s="17" t="inlineStr">
        <is>
          <t>Omsætningsaktiver</t>
        </is>
      </c>
      <c r="B26" s="16" t="n">
        <v>2880394</v>
      </c>
      <c r="C26" s="16" t="n">
        <v>2911033</v>
      </c>
      <c r="D26" s="16" t="n">
        <v>2888529</v>
      </c>
      <c r="E26" s="16" t="n">
        <v>3402431</v>
      </c>
      <c r="F26" s="16" t="n">
        <v>4729244</v>
      </c>
    </row>
    <row r="27">
      <c r="A27" s="17" t="inlineStr">
        <is>
          <t>Aktiver</t>
        </is>
      </c>
      <c r="B27" s="16" t="n">
        <v>3223620</v>
      </c>
      <c r="C27" s="16" t="n">
        <v>3300937</v>
      </c>
      <c r="D27" s="16" t="n">
        <v>3077257</v>
      </c>
      <c r="E27" s="16" t="n">
        <v>3509921</v>
      </c>
      <c r="F27" s="16" t="n">
        <v>4841166</v>
      </c>
    </row>
    <row r="28">
      <c r="A28" s="15" t="inlineStr">
        <is>
          <t>Selskabskapital</t>
        </is>
      </c>
      <c r="B28" s="16" t="n">
        <v>500</v>
      </c>
      <c r="C28" s="16" t="n">
        <v>500</v>
      </c>
      <c r="D28" s="16" t="n">
        <v>500</v>
      </c>
      <c r="E28" s="16" t="n">
        <v>500</v>
      </c>
      <c r="F28" s="16" t="n">
        <v>500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1025499</v>
      </c>
      <c r="C33" s="16" t="n">
        <v>1025499</v>
      </c>
      <c r="D33" s="16" t="n">
        <v>1025499</v>
      </c>
      <c r="E33" s="16" t="n">
        <v>1025499</v>
      </c>
      <c r="F33" s="16" t="n">
        <v>1025499</v>
      </c>
    </row>
    <row r="34">
      <c r="A34" s="17" t="inlineStr">
        <is>
          <t>Egenkapital i alt</t>
        </is>
      </c>
      <c r="B34" s="16" t="n">
        <v>2224203</v>
      </c>
      <c r="C34" s="16" t="n">
        <v>2333979</v>
      </c>
      <c r="D34" s="16" t="n">
        <v>2113788</v>
      </c>
      <c r="E34" s="16" t="n">
        <v>2432183</v>
      </c>
      <c r="F34" s="16" t="n">
        <v>3469889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/>
      <c r="C37" s="16" t="n"/>
      <c r="D37" s="16" t="n"/>
      <c r="E37" s="16" t="n">
        <v>38088</v>
      </c>
      <c r="F37" s="16" t="n">
        <v>0</v>
      </c>
    </row>
    <row r="38">
      <c r="A38" s="15" t="inlineStr">
        <is>
          <t>Leasingforpligtelser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Leverandører af varer og tjenesteydelser</t>
        </is>
      </c>
      <c r="B39" s="16" t="n">
        <v>355036</v>
      </c>
      <c r="C39" s="16" t="n">
        <v>369850</v>
      </c>
      <c r="D39" s="16" t="n">
        <v>335122</v>
      </c>
      <c r="E39" s="16" t="n">
        <v>425294</v>
      </c>
      <c r="F39" s="16" t="n">
        <v>351923</v>
      </c>
    </row>
    <row r="40">
      <c r="A40" s="15" t="inlineStr">
        <is>
          <t>Gæld til tilknyttede virksomheder</t>
        </is>
      </c>
      <c r="B40" s="16" t="n">
        <v>0</v>
      </c>
      <c r="C40" s="16" t="n">
        <v>20884</v>
      </c>
      <c r="D40" s="16" t="n">
        <v>10104</v>
      </c>
      <c r="E40" s="16" t="n">
        <v>11666</v>
      </c>
      <c r="F40" s="16" t="n">
        <v>21372</v>
      </c>
    </row>
    <row r="41">
      <c r="A41" s="15" t="inlineStr">
        <is>
          <t>Gæld til selskabsdeltagere og ledelse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Selskabsskat</t>
        </is>
      </c>
      <c r="B42" s="16" t="n">
        <v>330627</v>
      </c>
      <c r="C42" s="16" t="n">
        <v>370265</v>
      </c>
      <c r="D42" s="16" t="n">
        <v>312117</v>
      </c>
      <c r="E42" s="16" t="n">
        <v>390683</v>
      </c>
      <c r="F42" s="16" t="n">
        <v>683772</v>
      </c>
    </row>
    <row r="43">
      <c r="A43" s="15" t="inlineStr">
        <is>
          <t>Gæld til tilknyttede virksomheder vedr. 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(kortfristet)</t>
        </is>
      </c>
      <c r="B44" s="16" t="n">
        <v>285360</v>
      </c>
      <c r="C44" s="16" t="n">
        <v>176966</v>
      </c>
      <c r="D44" s="16" t="n">
        <v>262620</v>
      </c>
      <c r="E44" s="16" t="n">
        <v>164474</v>
      </c>
      <c r="F44" s="16" t="n">
        <v>263027</v>
      </c>
    </row>
    <row r="45">
      <c r="A45" s="15" t="inlineStr">
        <is>
          <t>Periodeafgrænsningsposter (passiver)</t>
        </is>
      </c>
      <c r="B45" s="16" t="n">
        <v>2788</v>
      </c>
      <c r="C45" s="16" t="n">
        <v>4654</v>
      </c>
      <c r="D45" s="16" t="n">
        <v>3814</v>
      </c>
      <c r="E45" s="16" t="n">
        <v>3569</v>
      </c>
      <c r="F45" s="16" t="n">
        <v>4227</v>
      </c>
    </row>
    <row r="46">
      <c r="A46" s="17" t="inlineStr">
        <is>
          <t>Kortfristede gældsforpligtelser</t>
        </is>
      </c>
      <c r="B46" s="16" t="n">
        <v>999417</v>
      </c>
      <c r="C46" s="16" t="n">
        <v>966958</v>
      </c>
      <c r="D46" s="16" t="n">
        <v>963469</v>
      </c>
      <c r="E46" s="16" t="n">
        <v>1077738</v>
      </c>
      <c r="F46" s="16" t="n">
        <v>1371277</v>
      </c>
    </row>
    <row r="47">
      <c r="A47" s="17" t="inlineStr">
        <is>
          <t>Gældsforpligtelser</t>
        </is>
      </c>
      <c r="B47" s="16" t="n">
        <v>999417</v>
      </c>
      <c r="C47" s="16" t="n">
        <v>966958</v>
      </c>
      <c r="D47" s="16" t="n">
        <v>963469</v>
      </c>
      <c r="E47" s="16" t="n">
        <v>1077738</v>
      </c>
      <c r="F47" s="16" t="n">
        <v>1371277</v>
      </c>
    </row>
    <row r="48">
      <c r="A48" s="17" t="inlineStr">
        <is>
          <t>Passiver</t>
        </is>
      </c>
      <c r="B48" s="16" t="n">
        <v>3223620</v>
      </c>
      <c r="C48" s="16" t="n">
        <v>3300937</v>
      </c>
      <c r="D48" s="16" t="n">
        <v>3077257</v>
      </c>
      <c r="E48" s="16" t="n">
        <v>3509921</v>
      </c>
      <c r="F48" s="16" t="n">
        <v>4841166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JYSK A/S (CVR 13590400) — Regnskabs- og nøgletal (CVR: 13590400)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'res_raw_13590400'!$F$2</f>
        <v/>
      </c>
      <c r="C5" s="24">
        <f>'res_raw_13590400'!$E$2</f>
        <v/>
      </c>
      <c r="D5" s="24">
        <f>'res_raw_13590400'!$D$2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'res_raw_13590400'!$F$3</f>
        <v/>
      </c>
      <c r="C6" s="24">
        <f>'res_raw_13590400'!$E$3</f>
        <v/>
      </c>
      <c r="D6" s="24">
        <f>'res_raw_13590400'!$D$3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-'res_raw_13590400'!$F$4</f>
        <v/>
      </c>
      <c r="C7" s="24">
        <f>-'res_raw_13590400'!$E$4</f>
        <v/>
      </c>
      <c r="D7" s="24">
        <f>-'res_raw_13590400'!$D$4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-'res_raw_13590400'!$F$5</f>
        <v/>
      </c>
      <c r="C8" s="24">
        <f>-'res_raw_13590400'!$E$5</f>
        <v/>
      </c>
      <c r="D8" s="24">
        <f>-'res_raw_13590400'!$D$5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IF(ABS((SUM(B5:B8))-'res_raw_13590400'!$F$6)&lt;=2,SUM(B5:B8),'res_raw_13590400'!$F$6)</f>
        <v/>
      </c>
      <c r="C9" s="27">
        <f>IF(ABS((SUM(C5:C8))-'res_raw_13590400'!$E$6)&lt;=2,SUM(C5:C8),'res_raw_13590400'!$E$6)</f>
        <v/>
      </c>
      <c r="D9" s="27">
        <f>IF(ABS((SUM(D5:D8))-'res_raw_13590400'!$D$6)&lt;=2,SUM(D5:D8),'res_raw_13590400'!$D$6)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-'res_raw_13590400'!$F$7</f>
        <v/>
      </c>
      <c r="C10" s="24">
        <f>-'res_raw_13590400'!$E$7</f>
        <v/>
      </c>
      <c r="D10" s="24">
        <f>-'res_raw_13590400'!$D$7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-'res_raw_13590400'!$F$9</f>
        <v/>
      </c>
      <c r="C11" s="24">
        <f>-'res_raw_13590400'!$E$9</f>
        <v/>
      </c>
      <c r="D11" s="24">
        <f>-'res_raw_13590400'!$D$9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-'res_raw_13590400'!$F$10</f>
        <v/>
      </c>
      <c r="C12" s="24">
        <f>-'res_raw_13590400'!$E$10</f>
        <v/>
      </c>
      <c r="D12" s="24">
        <f>-'res_raw_13590400'!$D$10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IF(ABS((SUM(B9:B12))-'res_raw_13590400'!$F$11)&lt;=2,SUM(B9:B12),'res_raw_13590400'!$F$11)</f>
        <v/>
      </c>
      <c r="C13" s="27">
        <f>IF(ABS((SUM(C9:C12))-'res_raw_13590400'!$E$11)&lt;=2,SUM(C9:C12),'res_raw_13590400'!$E$11)</f>
        <v/>
      </c>
      <c r="D13" s="27">
        <f>IF(ABS((SUM(D9:D12))-'res_raw_13590400'!$D$11)&lt;=2,SUM(D9:D12),'res_raw_13590400'!$D$11)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N('res_raw_13590400'!$F$12)+N('res_raw_13590400'!$F$13)</f>
        <v/>
      </c>
      <c r="C14" s="24">
        <f>N('res_raw_13590400'!$E$12)+N('res_raw_13590400'!$E$13)</f>
        <v/>
      </c>
      <c r="D14" s="24">
        <f>N('res_raw_13590400'!$D$12)+N('res_raw_13590400'!$D$13)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-'res_raw_13590400'!$F$14</f>
        <v/>
      </c>
      <c r="C15" s="24">
        <f>-'res_raw_13590400'!$E$14</f>
        <v/>
      </c>
      <c r="D15" s="24">
        <f>-'res_raw_13590400'!$D$14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IF(ABS((SUM(B13:B15))-'res_raw_13590400'!$F$16)&lt;=2,SUM(B13:B15),'res_raw_13590400'!$F$16)</f>
        <v/>
      </c>
      <c r="C16" s="27">
        <f>IF(ABS((SUM(C13:C15))-'res_raw_13590400'!$E$16)&lt;=2,SUM(C13:C15),'res_raw_13590400'!$E$16)</f>
        <v/>
      </c>
      <c r="D16" s="27">
        <f>IF(ABS((SUM(D13:D15))-'res_raw_13590400'!$D$16)&lt;=2,SUM(D13:D15),'res_raw_13590400'!$D$16)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'balance_raw_13590400'!$F$11</f>
        <v/>
      </c>
      <c r="C19" s="24">
        <f>'balance_raw_13590400'!$E$11</f>
        <v/>
      </c>
      <c r="D19" s="24">
        <f>'balance_raw_13590400'!$D$11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'balance_raw_13590400'!$F$26</f>
        <v/>
      </c>
      <c r="C20" s="24">
        <f>'balance_raw_13590400'!$E$26</f>
        <v/>
      </c>
      <c r="D20" s="24">
        <f>'balance_raw_13590400'!$D$26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'balance_raw_13590400'!$F$34</f>
        <v/>
      </c>
      <c r="C23" s="24">
        <f>'balance_raw_13590400'!$E$34</f>
        <v/>
      </c>
      <c r="D23" s="24">
        <f>'balance_raw_13590400'!$D$34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'balance_raw_13590400'!$F$48-'balance_raw_13590400'!$F$34</f>
        <v/>
      </c>
      <c r="C24" s="24">
        <f>'balance_raw_13590400'!$E$48-'balance_raw_13590400'!$E$34</f>
        <v/>
      </c>
      <c r="D24" s="24">
        <f>'balance_raw_13590400'!$D$48-'balance_raw_13590400'!$D$34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'balance_raw_13590400'!$F$15</f>
        <v/>
      </c>
      <c r="C28" s="24">
        <f>'balance_raw_13590400'!$E$15</f>
        <v/>
      </c>
      <c r="D28" s="24">
        <f>'balance_raw_13590400'!$D$15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'balance_raw_13590400'!$F$16</f>
        <v/>
      </c>
      <c r="C29" s="24">
        <f>'balance_raw_13590400'!$E$16</f>
        <v/>
      </c>
      <c r="D29" s="24">
        <f>'balance_raw_13590400'!$D$16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'balance_raw_13590400'!$F$46</f>
        <v/>
      </c>
      <c r="C30" s="24">
        <f>'balance_raw_13590400'!$E$46</f>
        <v/>
      </c>
      <c r="D30" s="24">
        <f>'balance_raw_13590400'!$D$46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IF('balance_raw_13590400'!$F$27="","—",IF(ABS(B21-'balance_raw_13590400'!$F$27)&lt;=1,"✓ OK","❌ "&amp;TEXT(B21-'balance_raw_13590400'!$F$27,"+#,##0;-#,##0")&amp;" t.kr."))</f>
        <v/>
      </c>
      <c r="C61" s="29">
        <f>IF('balance_raw_13590400'!$E$27="","—",IF(ABS(C21-'balance_raw_13590400'!$E$27)&lt;=1,"✓ OK","❌ "&amp;TEXT(C21-'balance_raw_13590400'!$E$27,"+#,##0;-#,##0")&amp;" t.kr."))</f>
        <v/>
      </c>
      <c r="D61" s="29">
        <f>IF('balance_raw_13590400'!$D$27="","—",IF(ABS(D21-'balance_raw_13590400'!$D$27)&lt;=1,"✓ OK","❌ "&amp;TEXT(D21-'balance_raw_13590400'!$D$27,"+#,##0;-#,##0")&amp;"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IF('balance_raw_13590400'!$F$48="","—",IF(ABS(B25-'balance_raw_13590400'!$F$48)&lt;=1,"✓ OK","❌ "&amp;TEXT(B25-'balance_raw_13590400'!$F$48,"+#,##0;-#,##0")&amp;" t.kr."))</f>
        <v/>
      </c>
      <c r="C62" s="29">
        <f>IF('balance_raw_13590400'!$E$48="","—",IF(ABS(C25-'balance_raw_13590400'!$E$48)&lt;=1,"✓ OK","❌ "&amp;TEXT(C25-'balance_raw_13590400'!$E$48,"+#,##0;-#,##0")&amp;" t.kr."))</f>
        <v/>
      </c>
      <c r="D62" s="29">
        <f>IF('balance_raw_13590400'!$D$48="","—",IF(ABS(D25-'balance_raw_13590400'!$D$48)&lt;=1,"✓ OK","❌ "&amp;TEXT(D25-'balance_raw_13590400'!$D$48,"+#,##0;-#,##0")&amp;"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IF('res_raw_13590400'!$F$6="","—",IF(ABS(B9-'res_raw_13590400'!$F$6)&lt;=1,"✓ OK","❌ "&amp;TEXT(B9-'res_raw_13590400'!$F$6,"+#,##0;-#,##0")&amp;" t.kr."))</f>
        <v/>
      </c>
      <c r="C64" s="29">
        <f>IF('res_raw_13590400'!$E$6="","—",IF(ABS(C9-'res_raw_13590400'!$E$6)&lt;=1,"✓ OK","❌ "&amp;TEXT(C9-'res_raw_13590400'!$E$6,"+#,##0;-#,##0")&amp;" t.kr."))</f>
        <v/>
      </c>
      <c r="D64" s="29">
        <f>IF('res_raw_13590400'!$D$6="","—",IF(ABS(D9-'res_raw_13590400'!$D$6)&lt;=1,"✓ OK","❌ "&amp;TEXT(D9-'res_raw_13590400'!$D$6,"+#,##0;-#,##0")&amp;"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IF('res_raw_13590400'!$F$11="","—",IF(ABS(B13-'res_raw_13590400'!$F$11)&lt;=1,"✓ OK","❌ "&amp;TEXT(B13-'res_raw_13590400'!$F$11,"+#,##0;-#,##0")&amp;" t.kr."))</f>
        <v/>
      </c>
      <c r="C65" s="29">
        <f>IF('res_raw_13590400'!$E$11="","—",IF(ABS(C13-'res_raw_13590400'!$E$11)&lt;=1,"✓ OK","❌ "&amp;TEXT(C13-'res_raw_13590400'!$E$11,"+#,##0;-#,##0")&amp;" t.kr."))</f>
        <v/>
      </c>
      <c r="D65" s="29">
        <f>IF('res_raw_13590400'!$D$11="","—",IF(ABS(D13-'res_raw_13590400'!$D$11)&lt;=1,"✓ OK","❌ "&amp;TEXT(D13-'res_raw_13590400'!$D$11,"+#,##0;-#,##0")&amp;"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IF('res_raw_13590400'!$F$16="","—",IF(ABS(B16-'res_raw_13590400'!$F$16)&lt;=1,"✓ OK","❌ "&amp;TEXT(B16-'res_raw_13590400'!$F$16,"+#,##0;-#,##0")&amp;" t.kr."))</f>
        <v/>
      </c>
      <c r="C66" s="29">
        <f>IF('res_raw_13590400'!$E$16="","—",IF(ABS(C16-'res_raw_13590400'!$E$16)&lt;=1,"✓ OK","❌ "&amp;TEXT(C16-'res_raw_13590400'!$E$16,"+#,##0;-#,##0")&amp;" t.kr."))</f>
        <v/>
      </c>
      <c r="D66" s="29">
        <f>IF('res_raw_13590400'!$D$16="","—",IF(ABS(D16-'res_raw_13590400'!$D$16)&lt;=1,"✓ OK","❌ "&amp;TEXT(D16-'res_raw_13590400'!$D$16,"+#,##0;-#,##0")&amp;"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JYSK A/S (CVR 13590400)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fsa:Planes</t>
        </is>
      </c>
      <c r="C3" s="34" t="inlineStr">
        <is>
          <t>fsa:Planes</t>
        </is>
      </c>
      <c r="D3" s="35" t="n">
        <v>27025</v>
      </c>
      <c r="E3" s="35" t="n">
        <v>33343</v>
      </c>
      <c r="F3" s="35" t="n"/>
      <c r="G3" s="35" t="n"/>
      <c r="H3" s="35" t="n"/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2026-10-01T22:18:28Z</dcterms:created>
  <dcterms:modified xmlns:dcterms="http://purl.org/dc/terms/" xmlns:xsi="http://www.w3.org/2001/XMLSchema-instance" xsi:type="dcterms:W3CDTF">2026-10-01T22:18:28Z</dcterms:modified>
</cp:coreProperties>
</file>