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38437011" sheetId="1" state="visible" r:id="rId1"/>
    <sheet xmlns:r="http://schemas.openxmlformats.org/officeDocument/2006/relationships" name="res_raw_38437011" sheetId="2" state="visible" r:id="rId2"/>
    <sheet xmlns:r="http://schemas.openxmlformats.org/officeDocument/2006/relationships" name="balance_raw_38437011" sheetId="3" state="visible" r:id="rId3"/>
    <sheet xmlns:r="http://schemas.openxmlformats.org/officeDocument/2006/relationships" name="pengestrom_raw_38437011" sheetId="4" state="visible" r:id="rId4"/>
    <sheet xmlns:r="http://schemas.openxmlformats.org/officeDocument/2006/relationships" name="Simpel_arts" sheetId="5" state="visible" r:id="rId5"/>
    <sheet xmlns:r="http://schemas.openxmlformats.org/officeDocument/2006/relationships" name="Noter_inf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0" borderId="1" pivotButton="0" quotePrefix="0" xfId="0"/>
    <xf numFmtId="4" fontId="2" fillId="3" borderId="1" pivotButton="0" quotePrefix="0" xfId="0"/>
    <xf numFmtId="0" fontId="3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Odense Havn A/S (CVR 38437011) — Regnskabsanalyse – Resultatopgørelse &amp; Balance (t.kr.) · Klasse D · Revision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'res_raw_38437011'!$B$2</f>
        <v/>
      </c>
      <c r="C4" s="5">
        <f>'res_raw_38437011'!$C$2</f>
        <v/>
      </c>
      <c r="D4" s="5">
        <f>'res_raw_38437011'!$D$2</f>
        <v/>
      </c>
      <c r="E4" s="5">
        <f>'res_raw_38437011'!$E$2</f>
        <v/>
      </c>
      <c r="F4" s="5">
        <f>'res_raw_38437011'!$F$2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'res_raw_38437011'!$B$3</f>
        <v/>
      </c>
      <c r="C5" s="8">
        <f>'res_raw_38437011'!$C$3</f>
        <v/>
      </c>
      <c r="D5" s="8">
        <f>'res_raw_38437011'!$D$3</f>
        <v/>
      </c>
      <c r="E5" s="8">
        <f>'res_raw_38437011'!$E$3</f>
        <v/>
      </c>
      <c r="F5" s="8">
        <f>'res_raw_38437011'!$F$3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'res_raw_38437011'!$B$4</f>
        <v/>
      </c>
      <c r="C6" s="5">
        <f>'res_raw_38437011'!$C$4</f>
        <v/>
      </c>
      <c r="D6" s="5">
        <f>'res_raw_38437011'!$D$4</f>
        <v/>
      </c>
      <c r="E6" s="5">
        <f>'res_raw_38437011'!$E$4</f>
        <v/>
      </c>
      <c r="F6" s="5">
        <f>'res_raw_38437011'!$F$4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'res_raw_38437011'!$B$5</f>
        <v/>
      </c>
      <c r="C7" s="8">
        <f>'res_raw_38437011'!$C$5</f>
        <v/>
      </c>
      <c r="D7" s="8">
        <f>'res_raw_38437011'!$D$5</f>
        <v/>
      </c>
      <c r="E7" s="8">
        <f>'res_raw_38437011'!$E$5</f>
        <v/>
      </c>
      <c r="F7" s="8">
        <f>'res_raw_38437011'!$F$5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'res_raw_38437011'!$B$6</f>
        <v/>
      </c>
      <c r="C8" s="11">
        <f>'res_raw_38437011'!$C$6</f>
        <v/>
      </c>
      <c r="D8" s="11">
        <f>'res_raw_38437011'!$D$6</f>
        <v/>
      </c>
      <c r="E8" s="11">
        <f>'res_raw_38437011'!$E$6</f>
        <v/>
      </c>
      <c r="F8" s="11">
        <f>'res_raw_38437011'!$F$6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'res_raw_38437011'!$B$7</f>
        <v/>
      </c>
      <c r="C9" s="8">
        <f>'res_raw_38437011'!$C$7</f>
        <v/>
      </c>
      <c r="D9" s="8">
        <f>'res_raw_38437011'!$D$7</f>
        <v/>
      </c>
      <c r="E9" s="8">
        <f>'res_raw_38437011'!$E$7</f>
        <v/>
      </c>
      <c r="F9" s="8">
        <f>'res_raw_38437011'!$F$7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'res_raw_38437011'!$B$9</f>
        <v/>
      </c>
      <c r="C11" s="8">
        <f>'res_raw_38437011'!$C$9</f>
        <v/>
      </c>
      <c r="D11" s="8">
        <f>'res_raw_38437011'!$D$9</f>
        <v/>
      </c>
      <c r="E11" s="8">
        <f>'res_raw_38437011'!$E$9</f>
        <v/>
      </c>
      <c r="F11" s="8">
        <f>'res_raw_38437011'!$F$9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'res_raw_38437011'!$B$10</f>
        <v/>
      </c>
      <c r="C12" s="5">
        <f>'res_raw_38437011'!$C$10</f>
        <v/>
      </c>
      <c r="D12" s="5">
        <f>'res_raw_38437011'!$D$10</f>
        <v/>
      </c>
      <c r="E12" s="5">
        <f>'res_raw_38437011'!$E$10</f>
        <v/>
      </c>
      <c r="F12" s="5">
        <f>'res_raw_38437011'!$F$10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'res_raw_38437011'!$B$11</f>
        <v/>
      </c>
      <c r="C13" s="11">
        <f>'res_raw_38437011'!$C$11</f>
        <v/>
      </c>
      <c r="D13" s="11">
        <f>'res_raw_38437011'!$D$11</f>
        <v/>
      </c>
      <c r="E13" s="11">
        <f>'res_raw_38437011'!$E$11</f>
        <v/>
      </c>
      <c r="F13" s="11">
        <f>'res_raw_38437011'!$F$11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'res_raw_38437011'!$B$12</f>
        <v/>
      </c>
      <c r="C14" s="5">
        <f>'res_raw_38437011'!$C$12</f>
        <v/>
      </c>
      <c r="D14" s="5">
        <f>'res_raw_38437011'!$D$12</f>
        <v/>
      </c>
      <c r="E14" s="5">
        <f>'res_raw_38437011'!$E$12</f>
        <v/>
      </c>
      <c r="F14" s="5">
        <f>'res_raw_38437011'!$F$12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'res_raw_38437011'!$B$13</f>
        <v/>
      </c>
      <c r="C15" s="8">
        <f>'res_raw_38437011'!$C$13</f>
        <v/>
      </c>
      <c r="D15" s="8">
        <f>'res_raw_38437011'!$D$13</f>
        <v/>
      </c>
      <c r="E15" s="8">
        <f>'res_raw_38437011'!$E$13</f>
        <v/>
      </c>
      <c r="F15" s="8">
        <f>'res_raw_38437011'!$F$13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'res_raw_38437011'!$B$14</f>
        <v/>
      </c>
      <c r="C16" s="5">
        <f>'res_raw_38437011'!$C$14</f>
        <v/>
      </c>
      <c r="D16" s="5">
        <f>'res_raw_38437011'!$D$14</f>
        <v/>
      </c>
      <c r="E16" s="5">
        <f>'res_raw_38437011'!$E$14</f>
        <v/>
      </c>
      <c r="F16" s="5">
        <f>'res_raw_38437011'!$F$14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'res_raw_38437011'!$B$15</f>
        <v/>
      </c>
      <c r="C17" s="11">
        <f>'res_raw_38437011'!$C$15</f>
        <v/>
      </c>
      <c r="D17" s="11">
        <f>'res_raw_38437011'!$D$15</f>
        <v/>
      </c>
      <c r="E17" s="11">
        <f>'res_raw_38437011'!$E$15</f>
        <v/>
      </c>
      <c r="F17" s="11">
        <f>'res_raw_38437011'!$F$15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'res_raw_38437011'!$B$16</f>
        <v/>
      </c>
      <c r="C18" s="11">
        <f>'res_raw_38437011'!$C$16</f>
        <v/>
      </c>
      <c r="D18" s="11">
        <f>'res_raw_38437011'!$D$16</f>
        <v/>
      </c>
      <c r="E18" s="11">
        <f>'res_raw_38437011'!$E$16</f>
        <v/>
      </c>
      <c r="F18" s="11">
        <f>'res_raw_38437011'!$F$16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'res_raw_38437011'!$B$17</f>
        <v/>
      </c>
      <c r="C19" s="8">
        <f>'res_raw_38437011'!$C$17</f>
        <v/>
      </c>
      <c r="D19" s="8">
        <f>'res_raw_38437011'!$D$17</f>
        <v/>
      </c>
      <c r="E19" s="8">
        <f>'res_raw_38437011'!$E$17</f>
        <v/>
      </c>
      <c r="F19" s="8">
        <f>'res_raw_38437011'!$F$17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'res_raw_38437011'!$B$18</f>
        <v/>
      </c>
      <c r="C20" s="11">
        <f>'res_raw_38437011'!$C$18</f>
        <v/>
      </c>
      <c r="D20" s="11">
        <f>'res_raw_38437011'!$D$18</f>
        <v/>
      </c>
      <c r="E20" s="11">
        <f>'res_raw_38437011'!$E$18</f>
        <v/>
      </c>
      <c r="F20" s="11">
        <f>'res_raw_38437011'!$F$18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7" t="inlineStr">
        <is>
          <t>Grunde og bygninger</t>
        </is>
      </c>
      <c r="B23" s="8">
        <f>'balance_raw_38437011'!$B$2</f>
        <v/>
      </c>
      <c r="C23" s="8">
        <f>'balance_raw_38437011'!$C$2</f>
        <v/>
      </c>
      <c r="D23" s="8">
        <f>'balance_raw_38437011'!$D$2</f>
        <v/>
      </c>
      <c r="E23" s="8">
        <f>'balance_raw_38437011'!$E$2</f>
        <v/>
      </c>
      <c r="F23" s="8">
        <f>'balance_raw_38437011'!$F$2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Produktionsanlæg og maskiner</t>
        </is>
      </c>
      <c r="B24" s="5">
        <f>'balance_raw_38437011'!$B$3</f>
        <v/>
      </c>
      <c r="C24" s="5">
        <f>'balance_raw_38437011'!$C$3</f>
        <v/>
      </c>
      <c r="D24" s="5">
        <f>'balance_raw_38437011'!$D$3</f>
        <v/>
      </c>
      <c r="E24" s="5">
        <f>'balance_raw_38437011'!$E$3</f>
        <v/>
      </c>
      <c r="F24" s="5">
        <f>'balance_raw_38437011'!$F$3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Driftsmateriel og inventar</t>
        </is>
      </c>
      <c r="B25" s="8">
        <f>'balance_raw_38437011'!$B$4</f>
        <v/>
      </c>
      <c r="C25" s="8">
        <f>'balance_raw_38437011'!$C$4</f>
        <v/>
      </c>
      <c r="D25" s="8">
        <f>'balance_raw_38437011'!$D$4</f>
        <v/>
      </c>
      <c r="E25" s="8">
        <f>'balance_raw_38437011'!$E$4</f>
        <v/>
      </c>
      <c r="F25" s="8">
        <f>'balance_raw_38437011'!$F$4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4" t="inlineStr">
        <is>
          <t>Indretning af lejede lokaler</t>
        </is>
      </c>
      <c r="B26" s="5">
        <f>'balance_raw_38437011'!$B$5</f>
        <v/>
      </c>
      <c r="C26" s="5">
        <f>'balance_raw_38437011'!$C$5</f>
        <v/>
      </c>
      <c r="D26" s="5">
        <f>'balance_raw_38437011'!$D$5</f>
        <v/>
      </c>
      <c r="E26" s="5">
        <f>'balance_raw_38437011'!$E$5</f>
        <v/>
      </c>
      <c r="F26" s="5">
        <f>'balance_raw_38437011'!$F$5</f>
        <v/>
      </c>
      <c r="G26" t="inlineStr"/>
      <c r="H26" s="6">
        <f>IFERROR(B26/$B$26*100,"")</f>
        <v/>
      </c>
      <c r="I26" s="6">
        <f>IFERROR(C26/$B$26*100,"")</f>
        <v/>
      </c>
      <c r="J26" s="6">
        <f>IFERROR(D26/$B$26*100,"")</f>
        <v/>
      </c>
      <c r="K26" s="6">
        <f>IFERROR(E26/$B$26*100,"")</f>
        <v/>
      </c>
      <c r="L26" s="6">
        <f>IFERROR(F26/$B$26*100,"")</f>
        <v/>
      </c>
    </row>
    <row r="27" ht="16" customHeight="1">
      <c r="A27" s="7" t="inlineStr">
        <is>
          <t>Forudbetaling og anlægsaktiver under opførelse</t>
        </is>
      </c>
      <c r="B27" s="8">
        <f>'balance_raw_38437011'!$B$6</f>
        <v/>
      </c>
      <c r="C27" s="8">
        <f>'balance_raw_38437011'!$C$6</f>
        <v/>
      </c>
      <c r="D27" s="8">
        <f>'balance_raw_38437011'!$D$6</f>
        <v/>
      </c>
      <c r="E27" s="8">
        <f>'balance_raw_38437011'!$E$6</f>
        <v/>
      </c>
      <c r="F27" s="8">
        <f>'balance_raw_38437011'!$F$6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10" t="inlineStr">
        <is>
          <t>Materielle anlægsaktiver</t>
        </is>
      </c>
      <c r="B28" s="11">
        <f>'balance_raw_38437011'!$B$7</f>
        <v/>
      </c>
      <c r="C28" s="11">
        <f>'balance_raw_38437011'!$C$7</f>
        <v/>
      </c>
      <c r="D28" s="11">
        <f>'balance_raw_38437011'!$D$7</f>
        <v/>
      </c>
      <c r="E28" s="11">
        <f>'balance_raw_38437011'!$E$7</f>
        <v/>
      </c>
      <c r="F28" s="11">
        <f>'balance_raw_38437011'!$F$7</f>
        <v/>
      </c>
      <c r="G28" t="inlineStr"/>
      <c r="H28" s="12">
        <f>IFERROR(B28/$B$28*100,"")</f>
        <v/>
      </c>
      <c r="I28" s="12">
        <f>IFERROR(C28/$B$28*100,"")</f>
        <v/>
      </c>
      <c r="J28" s="12">
        <f>IFERROR(D28/$B$28*100,"")</f>
        <v/>
      </c>
      <c r="K28" s="12">
        <f>IFERROR(E28/$B$28*100,"")</f>
        <v/>
      </c>
      <c r="L28" s="12">
        <f>IFERROR(F28/$B$28*100,"")</f>
        <v/>
      </c>
    </row>
    <row r="29" ht="16" customHeight="1">
      <c r="A29" s="10" t="inlineStr">
        <is>
          <t>Anlægsaktiver</t>
        </is>
      </c>
      <c r="B29" s="11">
        <f>'balance_raw_38437011'!$B$8</f>
        <v/>
      </c>
      <c r="C29" s="11">
        <f>'balance_raw_38437011'!$C$8</f>
        <v/>
      </c>
      <c r="D29" s="11">
        <f>'balance_raw_38437011'!$D$8</f>
        <v/>
      </c>
      <c r="E29" s="11">
        <f>'balance_raw_38437011'!$E$8</f>
        <v/>
      </c>
      <c r="F29" s="11">
        <f>'balance_raw_38437011'!$F$8</f>
        <v/>
      </c>
      <c r="G29" t="inlineStr"/>
      <c r="H29" s="12">
        <f>IFERROR(B29/$B$29*100,"")</f>
        <v/>
      </c>
      <c r="I29" s="12">
        <f>IFERROR(C29/$B$29*100,"")</f>
        <v/>
      </c>
      <c r="J29" s="12">
        <f>IFERROR(D29/$B$29*100,"")</f>
        <v/>
      </c>
      <c r="K29" s="12">
        <f>IFERROR(E29/$B$29*100,"")</f>
        <v/>
      </c>
      <c r="L29" s="12">
        <f>IFERROR(F29/$B$29*100,"")</f>
        <v/>
      </c>
    </row>
    <row r="30" ht="16" customHeight="1">
      <c r="A30" s="4" t="inlineStr">
        <is>
          <t>Tilgodehavender fra salg og tjenesteydelser</t>
        </is>
      </c>
      <c r="B30" s="5">
        <f>'balance_raw_38437011'!$B$9</f>
        <v/>
      </c>
      <c r="C30" s="5">
        <f>'balance_raw_38437011'!$C$9</f>
        <v/>
      </c>
      <c r="D30" s="5">
        <f>'balance_raw_38437011'!$D$9</f>
        <v/>
      </c>
      <c r="E30" s="5">
        <f>'balance_raw_38437011'!$E$9</f>
        <v/>
      </c>
      <c r="F30" s="5">
        <f>'balance_raw_38437011'!$F$9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Tilgodehavender hos tilknyttede virksomheder</t>
        </is>
      </c>
      <c r="B31" s="8">
        <f>'balance_raw_38437011'!$B$10</f>
        <v/>
      </c>
      <c r="C31" s="8">
        <f>'balance_raw_38437011'!$C$10</f>
        <v/>
      </c>
      <c r="D31" s="8">
        <f>'balance_raw_38437011'!$D$10</f>
        <v/>
      </c>
      <c r="E31" s="8">
        <f>'balance_raw_38437011'!$E$10</f>
        <v/>
      </c>
      <c r="F31" s="8">
        <f>'balance_raw_38437011'!$F$10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4" t="inlineStr">
        <is>
          <t>Andre tilgodehavender</t>
        </is>
      </c>
      <c r="B32" s="5">
        <f>'balance_raw_38437011'!$B$11</f>
        <v/>
      </c>
      <c r="C32" s="5">
        <f>'balance_raw_38437011'!$C$11</f>
        <v/>
      </c>
      <c r="D32" s="5">
        <f>'balance_raw_38437011'!$D$11</f>
        <v/>
      </c>
      <c r="E32" s="5">
        <f>'balance_raw_38437011'!$E$11</f>
        <v/>
      </c>
      <c r="F32" s="5">
        <f>'balance_raw_38437011'!$F$11</f>
        <v/>
      </c>
      <c r="G32" t="inlineStr"/>
      <c r="H32" s="6">
        <f>IFERROR(B32/$B$32*100,"")</f>
        <v/>
      </c>
      <c r="I32" s="6">
        <f>IFERROR(C32/$B$32*100,"")</f>
        <v/>
      </c>
      <c r="J32" s="6">
        <f>IFERROR(D32/$B$32*100,"")</f>
        <v/>
      </c>
      <c r="K32" s="6">
        <f>IFERROR(E32/$B$32*100,"")</f>
        <v/>
      </c>
      <c r="L32" s="6">
        <f>IFERROR(F32/$B$32*100,"")</f>
        <v/>
      </c>
    </row>
    <row r="33" ht="16" customHeight="1">
      <c r="A33" s="7" t="inlineStr">
        <is>
          <t>Periodeafgrænsningsposter (aktiver)</t>
        </is>
      </c>
      <c r="B33" s="8">
        <f>'balance_raw_38437011'!$B$12</f>
        <v/>
      </c>
      <c r="C33" s="8">
        <f>'balance_raw_38437011'!$C$12</f>
        <v/>
      </c>
      <c r="D33" s="8">
        <f>'balance_raw_38437011'!$D$12</f>
        <v/>
      </c>
      <c r="E33" s="8">
        <f>'balance_raw_38437011'!$E$12</f>
        <v/>
      </c>
      <c r="F33" s="8">
        <f>'balance_raw_38437011'!$F$12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Udskudt skatteaktiv</t>
        </is>
      </c>
      <c r="B34" s="5">
        <f>'balance_raw_38437011'!$B$13</f>
        <v/>
      </c>
      <c r="C34" s="5">
        <f>'balance_raw_38437011'!$C$13</f>
        <v/>
      </c>
      <c r="D34" s="5">
        <f>'balance_raw_38437011'!$D$13</f>
        <v/>
      </c>
      <c r="E34" s="5">
        <f>'balance_raw_38437011'!$E$13</f>
        <v/>
      </c>
      <c r="F34" s="5">
        <f>'balance_raw_38437011'!$F$13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7" t="inlineStr">
        <is>
          <t>Tilgodehavende skat hos tilknyttede virksomheder</t>
        </is>
      </c>
      <c r="B35" s="8">
        <f>'balance_raw_38437011'!$B$14</f>
        <v/>
      </c>
      <c r="C35" s="8">
        <f>'balance_raw_38437011'!$C$14</f>
        <v/>
      </c>
      <c r="D35" s="8">
        <f>'balance_raw_38437011'!$D$14</f>
        <v/>
      </c>
      <c r="E35" s="8">
        <f>'balance_raw_38437011'!$E$14</f>
        <v/>
      </c>
      <c r="F35" s="8">
        <f>'balance_raw_38437011'!$F$14</f>
        <v/>
      </c>
      <c r="G35" t="inlineStr"/>
      <c r="H35" s="9">
        <f>IFERROR(B35/$B$35*100,"")</f>
        <v/>
      </c>
      <c r="I35" s="9">
        <f>IFERROR(C35/$B$35*100,"")</f>
        <v/>
      </c>
      <c r="J35" s="9">
        <f>IFERROR(D35/$B$35*100,"")</f>
        <v/>
      </c>
      <c r="K35" s="9">
        <f>IFERROR(E35/$B$35*100,"")</f>
        <v/>
      </c>
      <c r="L35" s="9">
        <f>IFERROR(F35/$B$35*100,"")</f>
        <v/>
      </c>
    </row>
    <row r="36" ht="16" customHeight="1">
      <c r="A36" s="4" t="inlineStr">
        <is>
          <t>Kortfristede skattetilgodehavender</t>
        </is>
      </c>
      <c r="B36" s="5">
        <f>'balance_raw_38437011'!$B$15</f>
        <v/>
      </c>
      <c r="C36" s="5">
        <f>'balance_raw_38437011'!$C$15</f>
        <v/>
      </c>
      <c r="D36" s="5">
        <f>'balance_raw_38437011'!$D$15</f>
        <v/>
      </c>
      <c r="E36" s="5">
        <f>'balance_raw_38437011'!$E$15</f>
        <v/>
      </c>
      <c r="F36" s="5">
        <f>'balance_raw_38437011'!$F$15</f>
        <v/>
      </c>
      <c r="G36" t="inlineStr"/>
      <c r="H36" s="6">
        <f>IFERROR(B36/$B$36*100,"")</f>
        <v/>
      </c>
      <c r="I36" s="6">
        <f>IFERROR(C36/$B$36*100,"")</f>
        <v/>
      </c>
      <c r="J36" s="6">
        <f>IFERROR(D36/$B$36*100,"")</f>
        <v/>
      </c>
      <c r="K36" s="6">
        <f>IFERROR(E36/$B$36*100,"")</f>
        <v/>
      </c>
      <c r="L36" s="6">
        <f>IFERROR(F36/$B$36*100,"")</f>
        <v/>
      </c>
    </row>
    <row r="37" ht="16" customHeight="1">
      <c r="A37" s="10" t="inlineStr">
        <is>
          <t>Tilgodehavender</t>
        </is>
      </c>
      <c r="B37" s="11">
        <f>'balance_raw_38437011'!$B$16</f>
        <v/>
      </c>
      <c r="C37" s="11">
        <f>'balance_raw_38437011'!$C$16</f>
        <v/>
      </c>
      <c r="D37" s="11">
        <f>'balance_raw_38437011'!$D$16</f>
        <v/>
      </c>
      <c r="E37" s="11">
        <f>'balance_raw_38437011'!$E$16</f>
        <v/>
      </c>
      <c r="F37" s="11">
        <f>'balance_raw_38437011'!$F$16</f>
        <v/>
      </c>
      <c r="G37" t="inlineStr"/>
      <c r="H37" s="12">
        <f>IFERROR(B37/$B$37*100,"")</f>
        <v/>
      </c>
      <c r="I37" s="12">
        <f>IFERROR(C37/$B$37*100,"")</f>
        <v/>
      </c>
      <c r="J37" s="12">
        <f>IFERROR(D37/$B$37*100,"")</f>
        <v/>
      </c>
      <c r="K37" s="12">
        <f>IFERROR(E37/$B$37*100,"")</f>
        <v/>
      </c>
      <c r="L37" s="12">
        <f>IFERROR(F37/$B$37*100,"")</f>
        <v/>
      </c>
    </row>
    <row r="38" ht="16" customHeight="1">
      <c r="A38" s="4" t="inlineStr">
        <is>
          <t>Værdipapirer</t>
        </is>
      </c>
      <c r="B38" s="5">
        <f>'balance_raw_38437011'!$B$17</f>
        <v/>
      </c>
      <c r="C38" s="5">
        <f>'balance_raw_38437011'!$C$17</f>
        <v/>
      </c>
      <c r="D38" s="5">
        <f>'balance_raw_38437011'!$D$17</f>
        <v/>
      </c>
      <c r="E38" s="5">
        <f>'balance_raw_38437011'!$E$17</f>
        <v/>
      </c>
      <c r="F38" s="5">
        <f>'balance_raw_38437011'!$F$17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Likvide beholdninger</t>
        </is>
      </c>
      <c r="B39" s="8">
        <f>'balance_raw_38437011'!$B$18</f>
        <v/>
      </c>
      <c r="C39" s="8">
        <f>'balance_raw_38437011'!$C$18</f>
        <v/>
      </c>
      <c r="D39" s="8">
        <f>'balance_raw_38437011'!$D$18</f>
        <v/>
      </c>
      <c r="E39" s="8">
        <f>'balance_raw_38437011'!$E$18</f>
        <v/>
      </c>
      <c r="F39" s="8">
        <f>'balance_raw_38437011'!$F$18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10" t="inlineStr">
        <is>
          <t>Omsætningsaktiver</t>
        </is>
      </c>
      <c r="B40" s="11">
        <f>'balance_raw_38437011'!$B$19</f>
        <v/>
      </c>
      <c r="C40" s="11">
        <f>'balance_raw_38437011'!$C$19</f>
        <v/>
      </c>
      <c r="D40" s="11">
        <f>'balance_raw_38437011'!$D$19</f>
        <v/>
      </c>
      <c r="E40" s="11">
        <f>'balance_raw_38437011'!$E$19</f>
        <v/>
      </c>
      <c r="F40" s="11">
        <f>'balance_raw_38437011'!$F$19</f>
        <v/>
      </c>
      <c r="G40" t="inlineStr"/>
      <c r="H40" s="12">
        <f>IFERROR(B40/$B$40*100,"")</f>
        <v/>
      </c>
      <c r="I40" s="12">
        <f>IFERROR(C40/$B$40*100,"")</f>
        <v/>
      </c>
      <c r="J40" s="12">
        <f>IFERROR(D40/$B$40*100,"")</f>
        <v/>
      </c>
      <c r="K40" s="12">
        <f>IFERROR(E40/$B$40*100,"")</f>
        <v/>
      </c>
      <c r="L40" s="12">
        <f>IFERROR(F40/$B$40*100,"")</f>
        <v/>
      </c>
    </row>
    <row r="41" ht="16" customHeight="1">
      <c r="A41" s="10" t="inlineStr">
        <is>
          <t>Aktiver</t>
        </is>
      </c>
      <c r="B41" s="11">
        <f>'balance_raw_38437011'!$B$20</f>
        <v/>
      </c>
      <c r="C41" s="11">
        <f>'balance_raw_38437011'!$C$20</f>
        <v/>
      </c>
      <c r="D41" s="11">
        <f>'balance_raw_38437011'!$D$20</f>
        <v/>
      </c>
      <c r="E41" s="11">
        <f>'balance_raw_38437011'!$E$20</f>
        <v/>
      </c>
      <c r="F41" s="11">
        <f>'balance_raw_38437011'!$F$20</f>
        <v/>
      </c>
      <c r="G41" t="inlineStr"/>
      <c r="H41" s="12">
        <f>IFERROR(B41/$B$41*100,"")</f>
        <v/>
      </c>
      <c r="I41" s="12">
        <f>IFERROR(C41/$B$41*100,"")</f>
        <v/>
      </c>
      <c r="J41" s="12">
        <f>IFERROR(D41/$B$41*100,"")</f>
        <v/>
      </c>
      <c r="K41" s="12">
        <f>IFERROR(E41/$B$41*100,"")</f>
        <v/>
      </c>
      <c r="L41" s="12">
        <f>IFERROR(F41/$B$41*100,"")</f>
        <v/>
      </c>
    </row>
    <row r="43" ht="22" customHeight="1">
      <c r="A43" s="3" t="inlineStr">
        <is>
          <t>PASSIVER t.kr.</t>
        </is>
      </c>
      <c r="B43" s="3" t="n">
        <v>2021</v>
      </c>
      <c r="C43" s="3" t="n">
        <v>2022</v>
      </c>
      <c r="D43" s="3" t="n">
        <v>2023</v>
      </c>
      <c r="E43" s="3" t="n">
        <v>2024</v>
      </c>
      <c r="F43" s="3" t="n">
        <v>2025</v>
      </c>
      <c r="G43" t="inlineStr"/>
      <c r="H43" s="3" t="n">
        <v>2021</v>
      </c>
      <c r="I43" s="3" t="n">
        <v>2022</v>
      </c>
      <c r="J43" s="3" t="n">
        <v>2023</v>
      </c>
      <c r="K43" s="3" t="n">
        <v>2024</v>
      </c>
      <c r="L43" s="3" t="n">
        <v>2025</v>
      </c>
    </row>
    <row r="44" ht="16" customHeight="1">
      <c r="A44" s="4" t="inlineStr">
        <is>
          <t>Selskabskapital</t>
        </is>
      </c>
      <c r="B44" s="5">
        <f>'balance_raw_38437011'!$B$21</f>
        <v/>
      </c>
      <c r="C44" s="5">
        <f>'balance_raw_38437011'!$C$21</f>
        <v/>
      </c>
      <c r="D44" s="5">
        <f>'balance_raw_38437011'!$D$21</f>
        <v/>
      </c>
      <c r="E44" s="5">
        <f>'balance_raw_38437011'!$E$21</f>
        <v/>
      </c>
      <c r="F44" s="5">
        <f>'balance_raw_38437011'!$F$21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7" t="inlineStr">
        <is>
          <t>Reserve for nettoopskrivning (indre værdis metode)</t>
        </is>
      </c>
      <c r="B45" s="8">
        <f>'balance_raw_38437011'!$B$22</f>
        <v/>
      </c>
      <c r="C45" s="8">
        <f>'balance_raw_38437011'!$C$22</f>
        <v/>
      </c>
      <c r="D45" s="8">
        <f>'balance_raw_38437011'!$D$22</f>
        <v/>
      </c>
      <c r="E45" s="8">
        <f>'balance_raw_38437011'!$E$22</f>
        <v/>
      </c>
      <c r="F45" s="8">
        <f>'balance_raw_38437011'!$F$22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6" ht="16" customHeight="1">
      <c r="A46" s="4" t="inlineStr">
        <is>
          <t>Reserve for udviklingsomkostninger</t>
        </is>
      </c>
      <c r="B46" s="5">
        <f>'balance_raw_38437011'!$B$23</f>
        <v/>
      </c>
      <c r="C46" s="5">
        <f>'balance_raw_38437011'!$C$23</f>
        <v/>
      </c>
      <c r="D46" s="5">
        <f>'balance_raw_38437011'!$D$23</f>
        <v/>
      </c>
      <c r="E46" s="5">
        <f>'balance_raw_38437011'!$E$23</f>
        <v/>
      </c>
      <c r="F46" s="5">
        <f>'balance_raw_38437011'!$F$23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7" t="inlineStr">
        <is>
          <t>Reserve for sikringstransaktioner</t>
        </is>
      </c>
      <c r="B47" s="8">
        <f>'balance_raw_38437011'!$B$24</f>
        <v/>
      </c>
      <c r="C47" s="8">
        <f>'balance_raw_38437011'!$C$24</f>
        <v/>
      </c>
      <c r="D47" s="8">
        <f>'balance_raw_38437011'!$D$24</f>
        <v/>
      </c>
      <c r="E47" s="8">
        <f>'balance_raw_38437011'!$E$24</f>
        <v/>
      </c>
      <c r="F47" s="8">
        <f>'balance_raw_38437011'!$F$24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4" t="inlineStr">
        <is>
          <t>Andre reserver</t>
        </is>
      </c>
      <c r="B48" s="5">
        <f>'balance_raw_38437011'!$B$25</f>
        <v/>
      </c>
      <c r="C48" s="5">
        <f>'balance_raw_38437011'!$C$25</f>
        <v/>
      </c>
      <c r="D48" s="5">
        <f>'balance_raw_38437011'!$D$25</f>
        <v/>
      </c>
      <c r="E48" s="5">
        <f>'balance_raw_38437011'!$E$25</f>
        <v/>
      </c>
      <c r="F48" s="5">
        <f>'balance_raw_38437011'!$F$25</f>
        <v/>
      </c>
      <c r="G48" t="inlineStr"/>
      <c r="H48" s="6">
        <f>IFERROR(B48/$B$48*100,"")</f>
        <v/>
      </c>
      <c r="I48" s="6">
        <f>IFERROR(C48/$B$48*100,"")</f>
        <v/>
      </c>
      <c r="J48" s="6">
        <f>IFERROR(D48/$B$48*100,"")</f>
        <v/>
      </c>
      <c r="K48" s="6">
        <f>IFERROR(E48/$B$48*100,"")</f>
        <v/>
      </c>
      <c r="L48" s="6">
        <f>IFERROR(F48/$B$48*100,"")</f>
        <v/>
      </c>
    </row>
    <row r="49" ht="16" customHeight="1">
      <c r="A49" s="7" t="inlineStr">
        <is>
          <t>Overført resultat</t>
        </is>
      </c>
      <c r="B49" s="8">
        <f>'balance_raw_38437011'!$B$26</f>
        <v/>
      </c>
      <c r="C49" s="8">
        <f>'balance_raw_38437011'!$C$26</f>
        <v/>
      </c>
      <c r="D49" s="8">
        <f>'balance_raw_38437011'!$D$26</f>
        <v/>
      </c>
      <c r="E49" s="8">
        <f>'balance_raw_38437011'!$E$26</f>
        <v/>
      </c>
      <c r="F49" s="8">
        <f>'balance_raw_38437011'!$F$26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10" t="inlineStr">
        <is>
          <t>Egenkapital i alt</t>
        </is>
      </c>
      <c r="B50" s="11">
        <f>'balance_raw_38437011'!$B$27</f>
        <v/>
      </c>
      <c r="C50" s="11">
        <f>'balance_raw_38437011'!$C$27</f>
        <v/>
      </c>
      <c r="D50" s="11">
        <f>'balance_raw_38437011'!$D$27</f>
        <v/>
      </c>
      <c r="E50" s="11">
        <f>'balance_raw_38437011'!$E$27</f>
        <v/>
      </c>
      <c r="F50" s="11">
        <f>'balance_raw_38437011'!$F$27</f>
        <v/>
      </c>
      <c r="G50" t="inlineStr"/>
      <c r="H50" s="12">
        <f>IFERROR(B50/$B$50*100,"")</f>
        <v/>
      </c>
      <c r="I50" s="12">
        <f>IFERROR(C50/$B$50*100,"")</f>
        <v/>
      </c>
      <c r="J50" s="12">
        <f>IFERROR(D50/$B$50*100,"")</f>
        <v/>
      </c>
      <c r="K50" s="12">
        <f>IFERROR(E50/$B$50*100,"")</f>
        <v/>
      </c>
      <c r="L50" s="12">
        <f>IFERROR(F50/$B$50*100,"")</f>
        <v/>
      </c>
    </row>
    <row r="51" ht="16" customHeight="1">
      <c r="A51" s="10" t="inlineStr">
        <is>
          <t>Hensatte forpligtelser</t>
        </is>
      </c>
      <c r="B51" s="11">
        <f>'balance_raw_38437011'!$B$28</f>
        <v/>
      </c>
      <c r="C51" s="11">
        <f>'balance_raw_38437011'!$C$28</f>
        <v/>
      </c>
      <c r="D51" s="11">
        <f>'balance_raw_38437011'!$D$28</f>
        <v/>
      </c>
      <c r="E51" s="11">
        <f>'balance_raw_38437011'!$E$28</f>
        <v/>
      </c>
      <c r="F51" s="11">
        <f>'balance_raw_38437011'!$F$28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4" t="inlineStr">
        <is>
          <t>Ansvarlig lånekapital (langfristet)</t>
        </is>
      </c>
      <c r="B52" s="5">
        <f>'balance_raw_38437011'!$B$29</f>
        <v/>
      </c>
      <c r="C52" s="5">
        <f>'balance_raw_38437011'!$C$29</f>
        <v/>
      </c>
      <c r="D52" s="5">
        <f>'balance_raw_38437011'!$D$29</f>
        <v/>
      </c>
      <c r="E52" s="5">
        <f>'balance_raw_38437011'!$E$29</f>
        <v/>
      </c>
      <c r="F52" s="5">
        <f>'balance_raw_38437011'!$F$29</f>
        <v/>
      </c>
      <c r="G52" t="inlineStr"/>
      <c r="H52" s="6">
        <f>IFERROR(B52/$B$52*100,"")</f>
        <v/>
      </c>
      <c r="I52" s="6">
        <f>IFERROR(C52/$B$52*100,"")</f>
        <v/>
      </c>
      <c r="J52" s="6">
        <f>IFERROR(D52/$B$52*100,"")</f>
        <v/>
      </c>
      <c r="K52" s="6">
        <f>IFERROR(E52/$B$52*100,"")</f>
        <v/>
      </c>
      <c r="L52" s="6">
        <f>IFERROR(F52/$B$52*100,"")</f>
        <v/>
      </c>
    </row>
    <row r="53" ht="16" customHeight="1">
      <c r="A53" s="7" t="inlineStr">
        <is>
          <t>Langfristede lån</t>
        </is>
      </c>
      <c r="B53" s="8">
        <f>'balance_raw_38437011'!$B$30</f>
        <v/>
      </c>
      <c r="C53" s="8">
        <f>'balance_raw_38437011'!$C$30</f>
        <v/>
      </c>
      <c r="D53" s="8">
        <f>'balance_raw_38437011'!$D$30</f>
        <v/>
      </c>
      <c r="E53" s="8">
        <f>'balance_raw_38437011'!$E$30</f>
        <v/>
      </c>
      <c r="F53" s="8">
        <f>'balance_raw_38437011'!$F$30</f>
        <v/>
      </c>
      <c r="G53" t="inlineStr"/>
      <c r="H53" s="9">
        <f>IFERROR(B53/$B$53*100,"")</f>
        <v/>
      </c>
      <c r="I53" s="9">
        <f>IFERROR(C53/$B$53*100,"")</f>
        <v/>
      </c>
      <c r="J53" s="9">
        <f>IFERROR(D53/$B$53*100,"")</f>
        <v/>
      </c>
      <c r="K53" s="9">
        <f>IFERROR(E53/$B$53*100,"")</f>
        <v/>
      </c>
      <c r="L53" s="9">
        <f>IFERROR(F53/$B$53*100,"")</f>
        <v/>
      </c>
    </row>
    <row r="54" ht="16" customHeight="1">
      <c r="A54" s="4" t="inlineStr">
        <is>
          <t>Leasingforpligtelser (langfristet)</t>
        </is>
      </c>
      <c r="B54" s="5">
        <f>'balance_raw_38437011'!$B$31</f>
        <v/>
      </c>
      <c r="C54" s="5">
        <f>'balance_raw_38437011'!$C$31</f>
        <v/>
      </c>
      <c r="D54" s="5">
        <f>'balance_raw_38437011'!$D$31</f>
        <v/>
      </c>
      <c r="E54" s="5">
        <f>'balance_raw_38437011'!$E$31</f>
        <v/>
      </c>
      <c r="F54" s="5">
        <f>'balance_raw_38437011'!$F$31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7" t="inlineStr">
        <is>
          <t>Anden gæld (langfristet)</t>
        </is>
      </c>
      <c r="B55" s="8">
        <f>'balance_raw_38437011'!$B$32</f>
        <v/>
      </c>
      <c r="C55" s="8">
        <f>'balance_raw_38437011'!$C$32</f>
        <v/>
      </c>
      <c r="D55" s="8">
        <f>'balance_raw_38437011'!$D$32</f>
        <v/>
      </c>
      <c r="E55" s="8">
        <f>'balance_raw_38437011'!$E$32</f>
        <v/>
      </c>
      <c r="F55" s="8">
        <f>'balance_raw_38437011'!$F$32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10" t="inlineStr">
        <is>
          <t>Langfristede gældsforpligtelser</t>
        </is>
      </c>
      <c r="B56" s="11">
        <f>'balance_raw_38437011'!$B$33</f>
        <v/>
      </c>
      <c r="C56" s="11">
        <f>'balance_raw_38437011'!$C$33</f>
        <v/>
      </c>
      <c r="D56" s="11">
        <f>'balance_raw_38437011'!$D$33</f>
        <v/>
      </c>
      <c r="E56" s="11">
        <f>'balance_raw_38437011'!$E$33</f>
        <v/>
      </c>
      <c r="F56" s="11">
        <f>'balance_raw_38437011'!$F$33</f>
        <v/>
      </c>
      <c r="G56" t="inlineStr"/>
      <c r="H56" s="12">
        <f>IFERROR(B56/$B$56*100,"")</f>
        <v/>
      </c>
      <c r="I56" s="12">
        <f>IFERROR(C56/$B$56*100,"")</f>
        <v/>
      </c>
      <c r="J56" s="12">
        <f>IFERROR(D56/$B$56*100,"")</f>
        <v/>
      </c>
      <c r="K56" s="12">
        <f>IFERROR(E56/$B$56*100,"")</f>
        <v/>
      </c>
      <c r="L56" s="12">
        <f>IFERROR(F56/$B$56*100,"")</f>
        <v/>
      </c>
    </row>
    <row r="57" ht="16" customHeight="1">
      <c r="A57" s="7" t="inlineStr">
        <is>
          <t>Ansvarlig lånekapital (kortfristet)</t>
        </is>
      </c>
      <c r="B57" s="8">
        <f>'balance_raw_38437011'!$B$34</f>
        <v/>
      </c>
      <c r="C57" s="8">
        <f>'balance_raw_38437011'!$C$34</f>
        <v/>
      </c>
      <c r="D57" s="8">
        <f>'balance_raw_38437011'!$D$34</f>
        <v/>
      </c>
      <c r="E57" s="8">
        <f>'balance_raw_38437011'!$E$34</f>
        <v/>
      </c>
      <c r="F57" s="8">
        <f>'balance_raw_38437011'!$F$34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4" t="inlineStr">
        <is>
          <t>Kortfristet del af langfristede gældsforpligtelser</t>
        </is>
      </c>
      <c r="B58" s="5">
        <f>'balance_raw_38437011'!$B$35</f>
        <v/>
      </c>
      <c r="C58" s="5">
        <f>'balance_raw_38437011'!$C$35</f>
        <v/>
      </c>
      <c r="D58" s="5">
        <f>'balance_raw_38437011'!$D$35</f>
        <v/>
      </c>
      <c r="E58" s="5">
        <f>'balance_raw_38437011'!$E$35</f>
        <v/>
      </c>
      <c r="F58" s="5">
        <f>'balance_raw_38437011'!$F$35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Kreditinstitutter</t>
        </is>
      </c>
      <c r="B59" s="8">
        <f>'balance_raw_38437011'!$B$36</f>
        <v/>
      </c>
      <c r="C59" s="8">
        <f>'balance_raw_38437011'!$C$36</f>
        <v/>
      </c>
      <c r="D59" s="8">
        <f>'balance_raw_38437011'!$D$36</f>
        <v/>
      </c>
      <c r="E59" s="8">
        <f>'balance_raw_38437011'!$E$36</f>
        <v/>
      </c>
      <c r="F59" s="8">
        <f>'balance_raw_38437011'!$F$36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Leasingforpligtelser (kortfristet)</t>
        </is>
      </c>
      <c r="B60" s="5">
        <f>'balance_raw_38437011'!$B$37</f>
        <v/>
      </c>
      <c r="C60" s="5">
        <f>'balance_raw_38437011'!$C$37</f>
        <v/>
      </c>
      <c r="D60" s="5">
        <f>'balance_raw_38437011'!$D$37</f>
        <v/>
      </c>
      <c r="E60" s="5">
        <f>'balance_raw_38437011'!$E$37</f>
        <v/>
      </c>
      <c r="F60" s="5">
        <f>'balance_raw_38437011'!$F$37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7" t="inlineStr">
        <is>
          <t>Leverandører af varer og tjenesteydelser</t>
        </is>
      </c>
      <c r="B61" s="8">
        <f>'balance_raw_38437011'!$B$38</f>
        <v/>
      </c>
      <c r="C61" s="8">
        <f>'balance_raw_38437011'!$C$38</f>
        <v/>
      </c>
      <c r="D61" s="8">
        <f>'balance_raw_38437011'!$D$38</f>
        <v/>
      </c>
      <c r="E61" s="8">
        <f>'balance_raw_38437011'!$E$38</f>
        <v/>
      </c>
      <c r="F61" s="8">
        <f>'balance_raw_38437011'!$F$38</f>
        <v/>
      </c>
      <c r="G61" t="inlineStr"/>
      <c r="H61" s="9">
        <f>IFERROR(B61/$B$61*100,"")</f>
        <v/>
      </c>
      <c r="I61" s="9">
        <f>IFERROR(C61/$B$61*100,"")</f>
        <v/>
      </c>
      <c r="J61" s="9">
        <f>IFERROR(D61/$B$61*100,"")</f>
        <v/>
      </c>
      <c r="K61" s="9">
        <f>IFERROR(E61/$B$61*100,"")</f>
        <v/>
      </c>
      <c r="L61" s="9">
        <f>IFERROR(F61/$B$61*100,"")</f>
        <v/>
      </c>
    </row>
    <row r="62" ht="16" customHeight="1">
      <c r="A62" s="4" t="inlineStr">
        <is>
          <t>Gæld til tilknyttede virksomheder</t>
        </is>
      </c>
      <c r="B62" s="5">
        <f>'balance_raw_38437011'!$B$39</f>
        <v/>
      </c>
      <c r="C62" s="5">
        <f>'balance_raw_38437011'!$C$39</f>
        <v/>
      </c>
      <c r="D62" s="5">
        <f>'balance_raw_38437011'!$D$39</f>
        <v/>
      </c>
      <c r="E62" s="5">
        <f>'balance_raw_38437011'!$E$39</f>
        <v/>
      </c>
      <c r="F62" s="5">
        <f>'balance_raw_38437011'!$F$39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7" t="inlineStr">
        <is>
          <t>Gæld til selskabsdeltagere og ledelse</t>
        </is>
      </c>
      <c r="B63" s="8">
        <f>'balance_raw_38437011'!$B$40</f>
        <v/>
      </c>
      <c r="C63" s="8">
        <f>'balance_raw_38437011'!$C$40</f>
        <v/>
      </c>
      <c r="D63" s="8">
        <f>'balance_raw_38437011'!$D$40</f>
        <v/>
      </c>
      <c r="E63" s="8">
        <f>'balance_raw_38437011'!$E$40</f>
        <v/>
      </c>
      <c r="F63" s="8">
        <f>'balance_raw_38437011'!$F$40</f>
        <v/>
      </c>
      <c r="G63" t="inlineStr"/>
      <c r="H63" s="9">
        <f>IFERROR(B63/$B$63*100,"")</f>
        <v/>
      </c>
      <c r="I63" s="9">
        <f>IFERROR(C63/$B$63*100,"")</f>
        <v/>
      </c>
      <c r="J63" s="9">
        <f>IFERROR(D63/$B$63*100,"")</f>
        <v/>
      </c>
      <c r="K63" s="9">
        <f>IFERROR(E63/$B$63*100,"")</f>
        <v/>
      </c>
      <c r="L63" s="9">
        <f>IFERROR(F63/$B$63*100,"")</f>
        <v/>
      </c>
    </row>
    <row r="64" ht="16" customHeight="1">
      <c r="A64" s="4" t="inlineStr">
        <is>
          <t>Selskabsskat</t>
        </is>
      </c>
      <c r="B64" s="5">
        <f>'balance_raw_38437011'!$B$41</f>
        <v/>
      </c>
      <c r="C64" s="5">
        <f>'balance_raw_38437011'!$C$41</f>
        <v/>
      </c>
      <c r="D64" s="5">
        <f>'balance_raw_38437011'!$D$41</f>
        <v/>
      </c>
      <c r="E64" s="5">
        <f>'balance_raw_38437011'!$E$41</f>
        <v/>
      </c>
      <c r="F64" s="5">
        <f>'balance_raw_38437011'!$F$41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Gæld til tilknyttede virksomheder vedr. selskabsskat</t>
        </is>
      </c>
      <c r="B65" s="8">
        <f>'balance_raw_38437011'!$B$42</f>
        <v/>
      </c>
      <c r="C65" s="8">
        <f>'balance_raw_38437011'!$C$42</f>
        <v/>
      </c>
      <c r="D65" s="8">
        <f>'balance_raw_38437011'!$D$42</f>
        <v/>
      </c>
      <c r="E65" s="8">
        <f>'balance_raw_38437011'!$E$42</f>
        <v/>
      </c>
      <c r="F65" s="8">
        <f>'balance_raw_38437011'!$F$42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Anden gæld (kortfristet)</t>
        </is>
      </c>
      <c r="B66" s="5">
        <f>'balance_raw_38437011'!$B$43</f>
        <v/>
      </c>
      <c r="C66" s="5">
        <f>'balance_raw_38437011'!$C$43</f>
        <v/>
      </c>
      <c r="D66" s="5">
        <f>'balance_raw_38437011'!$D$43</f>
        <v/>
      </c>
      <c r="E66" s="5">
        <f>'balance_raw_38437011'!$E$43</f>
        <v/>
      </c>
      <c r="F66" s="5">
        <f>'balance_raw_38437011'!$F$43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Periodeafgrænsningsposter (passiver)</t>
        </is>
      </c>
      <c r="B67" s="8">
        <f>'balance_raw_38437011'!$B$44</f>
        <v/>
      </c>
      <c r="C67" s="8">
        <f>'balance_raw_38437011'!$C$44</f>
        <v/>
      </c>
      <c r="D67" s="8">
        <f>'balance_raw_38437011'!$D$44</f>
        <v/>
      </c>
      <c r="E67" s="8">
        <f>'balance_raw_38437011'!$E$44</f>
        <v/>
      </c>
      <c r="F67" s="8">
        <f>'balance_raw_38437011'!$F$44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10" t="inlineStr">
        <is>
          <t>Kortfristede gældsforpligtelser</t>
        </is>
      </c>
      <c r="B68" s="11">
        <f>'balance_raw_38437011'!$B$45</f>
        <v/>
      </c>
      <c r="C68" s="11">
        <f>'balance_raw_38437011'!$C$45</f>
        <v/>
      </c>
      <c r="D68" s="11">
        <f>'balance_raw_38437011'!$D$45</f>
        <v/>
      </c>
      <c r="E68" s="11">
        <f>'balance_raw_38437011'!$E$45</f>
        <v/>
      </c>
      <c r="F68" s="11">
        <f>'balance_raw_38437011'!$F$45</f>
        <v/>
      </c>
      <c r="G68" t="inlineStr"/>
      <c r="H68" s="12">
        <f>IFERROR(B68/$B$68*100,"")</f>
        <v/>
      </c>
      <c r="I68" s="12">
        <f>IFERROR(C68/$B$68*100,"")</f>
        <v/>
      </c>
      <c r="J68" s="12">
        <f>IFERROR(D68/$B$68*100,"")</f>
        <v/>
      </c>
      <c r="K68" s="12">
        <f>IFERROR(E68/$B$68*100,"")</f>
        <v/>
      </c>
      <c r="L68" s="12">
        <f>IFERROR(F68/$B$68*100,"")</f>
        <v/>
      </c>
    </row>
    <row r="69" ht="16" customHeight="1">
      <c r="A69" s="10" t="inlineStr">
        <is>
          <t>Gældsforpligtelser</t>
        </is>
      </c>
      <c r="B69" s="11">
        <f>'balance_raw_38437011'!$B$46</f>
        <v/>
      </c>
      <c r="C69" s="11">
        <f>'balance_raw_38437011'!$C$46</f>
        <v/>
      </c>
      <c r="D69" s="11">
        <f>'balance_raw_38437011'!$D$46</f>
        <v/>
      </c>
      <c r="E69" s="11">
        <f>'balance_raw_38437011'!$E$46</f>
        <v/>
      </c>
      <c r="F69" s="11">
        <f>'balance_raw_38437011'!$F$46</f>
        <v/>
      </c>
      <c r="G69" t="inlineStr"/>
      <c r="H69" s="12">
        <f>IFERROR(B69/$B$69*100,"")</f>
        <v/>
      </c>
      <c r="I69" s="12">
        <f>IFERROR(C69/$B$69*100,"")</f>
        <v/>
      </c>
      <c r="J69" s="12">
        <f>IFERROR(D69/$B$69*100,"")</f>
        <v/>
      </c>
      <c r="K69" s="12">
        <f>IFERROR(E69/$B$69*100,"")</f>
        <v/>
      </c>
      <c r="L69" s="12">
        <f>IFERROR(F69/$B$69*100,"")</f>
        <v/>
      </c>
    </row>
    <row r="70" ht="16" customHeight="1">
      <c r="A70" s="10" t="inlineStr">
        <is>
          <t>Passiver</t>
        </is>
      </c>
      <c r="B70" s="11">
        <f>'balance_raw_38437011'!$B$47</f>
        <v/>
      </c>
      <c r="C70" s="11">
        <f>'balance_raw_38437011'!$C$47</f>
        <v/>
      </c>
      <c r="D70" s="11">
        <f>'balance_raw_38437011'!$D$47</f>
        <v/>
      </c>
      <c r="E70" s="11">
        <f>'balance_raw_38437011'!$E$47</f>
        <v/>
      </c>
      <c r="F70" s="11">
        <f>'balance_raw_38437011'!$F$47</f>
        <v/>
      </c>
      <c r="G70" t="inlineStr"/>
      <c r="H70" s="12">
        <f>IFERROR(B70/$B$70*100,"")</f>
        <v/>
      </c>
      <c r="I70" s="12">
        <f>IFERROR(C70/$B$70*100,"")</f>
        <v/>
      </c>
      <c r="J70" s="12">
        <f>IFERROR(D70/$B$70*100,"")</f>
        <v/>
      </c>
      <c r="K70" s="12">
        <f>IFERROR(E70/$B$70*100,"")</f>
        <v/>
      </c>
      <c r="L70" s="12">
        <f>IFERROR(F70/$B$70*100,"")</f>
        <v/>
      </c>
    </row>
    <row r="72" ht="22" customHeight="1">
      <c r="A72" s="3" t="inlineStr">
        <is>
          <t>NØGLEOPLYSNINGER</t>
        </is>
      </c>
      <c r="B72" s="3" t="n">
        <v>2021</v>
      </c>
      <c r="C72" s="3" t="n">
        <v>2022</v>
      </c>
      <c r="D72" s="3" t="n">
        <v>2023</v>
      </c>
      <c r="E72" s="3" t="n">
        <v>2024</v>
      </c>
      <c r="F72" s="3" t="n">
        <v>2025</v>
      </c>
    </row>
    <row r="73" ht="16" customHeight="1">
      <c r="A73" s="7" t="inlineStr">
        <is>
          <t>Gns. antal medarbejdere</t>
        </is>
      </c>
      <c r="B73" s="8">
        <f>'res_raw_38437011'!$B$19</f>
        <v/>
      </c>
      <c r="C73" s="8">
        <f>'res_raw_38437011'!$C$19</f>
        <v/>
      </c>
      <c r="D73" s="8">
        <f>'res_raw_38437011'!$D$19</f>
        <v/>
      </c>
      <c r="E73" s="8">
        <f>'res_raw_38437011'!$E$19</f>
        <v/>
      </c>
      <c r="F73" s="8">
        <f>'res_raw_38437011'!$F$19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4" ht="16" customHeight="1">
      <c r="A74" s="4" t="inlineStr">
        <is>
          <t>Investering i materielle anlægsaktiver</t>
        </is>
      </c>
      <c r="B74" s="5">
        <f>'res_raw_38437011'!$B$20</f>
        <v/>
      </c>
      <c r="C74" s="5">
        <f>'res_raw_38437011'!$C$20</f>
        <v/>
      </c>
      <c r="D74" s="5">
        <f>'res_raw_38437011'!$D$20</f>
        <v/>
      </c>
      <c r="E74" s="5">
        <f>'res_raw_38437011'!$E$20</f>
        <v/>
      </c>
      <c r="F74" s="5">
        <f>'res_raw_38437011'!$F$20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6" ht="22" customHeight="1">
      <c r="A76" s="3" t="inlineStr">
        <is>
          <t>NØGLETAL</t>
        </is>
      </c>
      <c r="B76" s="3" t="n">
        <v>2021</v>
      </c>
      <c r="C76" s="3" t="n">
        <v>2022</v>
      </c>
      <c r="D76" s="3" t="n">
        <v>2023</v>
      </c>
      <c r="E76" s="3" t="n">
        <v>2024</v>
      </c>
      <c r="F76" s="3" t="n">
        <v>2025</v>
      </c>
    </row>
    <row r="77" ht="16" customHeight="1">
      <c r="A77" s="7" t="inlineStr">
        <is>
          <t>Afkastningsgrad, %</t>
        </is>
      </c>
      <c r="B77" s="13">
        <f>IFERROR(($B$13+$B$15+$B$14)/$B$41*100,"")</f>
        <v/>
      </c>
      <c r="C77" s="13">
        <f>IFERROR(($C$13+$C$15+$C$14)/$C$41*100,"")</f>
        <v/>
      </c>
      <c r="D77" s="13">
        <f>IFERROR(($D$13+$D$15+$D$14)/$D$41*100,"")</f>
        <v/>
      </c>
      <c r="E77" s="13">
        <f>IFERROR(($E$13+$E$15+$E$14)/$E$41*100,"")</f>
        <v/>
      </c>
      <c r="F77" s="13">
        <f>IFERROR(($F$13+$F$15+$F$14)/$F$41*100,"")</f>
        <v/>
      </c>
    </row>
    <row r="78" ht="16" customHeight="1">
      <c r="A78" s="4" t="inlineStr">
        <is>
          <t>Overskudsgrad, %</t>
        </is>
      </c>
      <c r="B78" s="14">
        <f>IFERROR(($B$13+$B$15+$B$14)/$B$4*100,"")</f>
        <v/>
      </c>
      <c r="C78" s="14">
        <f>IFERROR(($C$13+$C$15+$C$14)/$C$4*100,"")</f>
        <v/>
      </c>
      <c r="D78" s="14">
        <f>IFERROR(($D$13+$D$15+$D$14)/$D$4*100,"")</f>
        <v/>
      </c>
      <c r="E78" s="14">
        <f>IFERROR(($E$13+$E$15+$E$14)/$E$4*100,"")</f>
        <v/>
      </c>
      <c r="F78" s="14">
        <f>IFERROR(($F$13+$F$15+$F$14)/$F$4*100,"")</f>
        <v/>
      </c>
    </row>
    <row r="79" ht="16" customHeight="1">
      <c r="A79" s="7" t="inlineStr">
        <is>
          <t>Aktivernes omsætningshastighed, gange</t>
        </is>
      </c>
      <c r="B79" s="13">
        <f>IFERROR($B$4/$B$41,"")</f>
        <v/>
      </c>
      <c r="C79" s="13">
        <f>IFERROR($C$4/$C$41,"")</f>
        <v/>
      </c>
      <c r="D79" s="13">
        <f>IFERROR($D$4/$D$41,"")</f>
        <v/>
      </c>
      <c r="E79" s="13">
        <f>IFERROR($E$4/$E$41,"")</f>
        <v/>
      </c>
      <c r="F79" s="13">
        <f>IFERROR($F$4/$F$41,"")</f>
        <v/>
      </c>
    </row>
    <row r="80" ht="16" customHeight="1">
      <c r="A80" s="4" t="inlineStr">
        <is>
          <t>Egenkapitalens forrentning, %</t>
        </is>
      </c>
      <c r="B80" s="14">
        <f>IFERROR($B$18/$B$50*100,"")</f>
        <v/>
      </c>
      <c r="C80" s="14">
        <f>IFERROR($C$18/$C$50*100,"")</f>
        <v/>
      </c>
      <c r="D80" s="14">
        <f>IFERROR($D$18/$D$50*100,"")</f>
        <v/>
      </c>
      <c r="E80" s="14">
        <f>IFERROR($E$18/$E$50*100,"")</f>
        <v/>
      </c>
      <c r="F80" s="14">
        <f>IFERROR($F$18/$F$50*100,"")</f>
        <v/>
      </c>
    </row>
    <row r="81" ht="16" customHeight="1">
      <c r="A81" s="7" t="inlineStr">
        <is>
          <t>Gældsrente, %</t>
        </is>
      </c>
      <c r="B81" s="13">
        <f>IFERROR($B$16/($B$70-$B$50)*100,"")</f>
        <v/>
      </c>
      <c r="C81" s="13">
        <f>IFERROR($C$16/($C$70-$C$50)*100,"")</f>
        <v/>
      </c>
      <c r="D81" s="13">
        <f>IFERROR($D$16/($D$70-$D$50)*100,"")</f>
        <v/>
      </c>
      <c r="E81" s="13">
        <f>IFERROR($E$16/($E$70-$E$50)*100,"")</f>
        <v/>
      </c>
      <c r="F81" s="13">
        <f>IFERROR($F$16/($F$70-$F$50)*100,"")</f>
        <v/>
      </c>
    </row>
    <row r="82" ht="16" customHeight="1">
      <c r="A82" s="4" t="inlineStr">
        <is>
          <t>Soliditetsgrad, %</t>
        </is>
      </c>
      <c r="B82" s="14">
        <f>IFERROR($B$50/$B$41*100,"")</f>
        <v/>
      </c>
      <c r="C82" s="14">
        <f>IFERROR($C$50/$C$41*100,"")</f>
        <v/>
      </c>
      <c r="D82" s="14">
        <f>IFERROR($D$50/$D$41*100,"")</f>
        <v/>
      </c>
      <c r="E82" s="14">
        <f>IFERROR($E$50/$E$41*100,"")</f>
        <v/>
      </c>
      <c r="F82" s="14">
        <f>IFERROR($F$50/$F$41*100,"")</f>
        <v/>
      </c>
    </row>
    <row r="83" ht="16" customHeight="1">
      <c r="A83" s="7" t="inlineStr">
        <is>
          <t>Gearing</t>
        </is>
      </c>
      <c r="B83" s="13">
        <f>IFERROR(($B$70-$B$50)/$B$50,"")</f>
        <v/>
      </c>
      <c r="C83" s="13">
        <f>IFERROR(($C$70-$C$50)/$C$50,"")</f>
        <v/>
      </c>
      <c r="D83" s="13">
        <f>IFERROR(($D$70-$D$50)/$D$50,"")</f>
        <v/>
      </c>
      <c r="E83" s="13">
        <f>IFERROR(($E$70-$E$50)/$E$50,"")</f>
        <v/>
      </c>
      <c r="F83" s="13">
        <f>IFERROR(($F$70-$F$50)/$F$50,"")</f>
        <v/>
      </c>
    </row>
    <row r="84" ht="16" customHeight="1">
      <c r="A84" s="4" t="inlineStr">
        <is>
          <t>Likviditetsgrad, %</t>
        </is>
      </c>
      <c r="B84" s="14">
        <f>IFERROR($B$40/$B$68*100,"")</f>
        <v/>
      </c>
      <c r="C84" s="14">
        <f>IFERROR($C$40/$C$68*100,"")</f>
        <v/>
      </c>
      <c r="D84" s="14">
        <f>IFERROR($D$40/$D$68*100,"")</f>
        <v/>
      </c>
      <c r="E84" s="14">
        <f>IFERROR($E$40/$E$68*100,"")</f>
        <v/>
      </c>
      <c r="F84" s="14">
        <f>IFERROR($F$40/$F$68*100,"")</f>
        <v/>
      </c>
    </row>
    <row r="85" ht="16" customHeight="1">
      <c r="A85" s="7" t="inlineStr">
        <is>
          <t>Rentemarginal, %</t>
        </is>
      </c>
      <c r="B85" s="13">
        <f>IFERROR(B77-B81,"")</f>
        <v/>
      </c>
      <c r="C85" s="13">
        <f>IFERROR(C77-C81,"")</f>
        <v/>
      </c>
      <c r="D85" s="13">
        <f>IFERROR(D77-D81,"")</f>
        <v/>
      </c>
      <c r="E85" s="13">
        <f>IFERROR(E77-E81,"")</f>
        <v/>
      </c>
      <c r="F85" s="13">
        <f>IFERROR(F77-F81,"")</f>
        <v/>
      </c>
    </row>
    <row r="86" ht="16" customHeight="1">
      <c r="A86" s="4" t="inlineStr">
        <is>
          <t>Gældsandel, %</t>
        </is>
      </c>
      <c r="B86" s="14">
        <f>IFERROR(($B$70-$B$50)/$B$41*100,"")</f>
        <v/>
      </c>
      <c r="C86" s="14">
        <f>IFERROR(($C$70-$C$50)/$C$41*100,"")</f>
        <v/>
      </c>
      <c r="D86" s="14">
        <f>IFERROR(($D$70-$D$50)/$D$41*100,"")</f>
        <v/>
      </c>
      <c r="E86" s="14">
        <f>IFERROR(($E$70-$E$50)/$E$41*100,"")</f>
        <v/>
      </c>
      <c r="F86" s="14">
        <f>IFERROR(($F$70-$F$50)/$F$41*100,"")</f>
        <v/>
      </c>
    </row>
    <row r="87" ht="16" customHeight="1">
      <c r="A87" s="7" t="inlineStr">
        <is>
          <t>Kapitalbindingsgrad, %</t>
        </is>
      </c>
      <c r="B87" s="13">
        <f>IFERROR($B$29/($B$50+$B$56)*100,"")</f>
        <v/>
      </c>
      <c r="C87" s="13">
        <f>IFERROR($C$29/($C$50+$C$56)*100,"")</f>
        <v/>
      </c>
      <c r="D87" s="13">
        <f>IFERROR($D$29/($D$50+$D$56)*100,"")</f>
        <v/>
      </c>
      <c r="E87" s="13">
        <f>IFERROR($E$29/($E$50+$E$56)*100,"")</f>
        <v/>
      </c>
      <c r="F87" s="13">
        <f>IFERROR($F$29/($F$50+$F$56)*100,"")</f>
        <v/>
      </c>
    </row>
    <row r="89">
      <c r="A89" s="15" t="inlineStr">
        <is>
          <t>PENGESTRØMSOPGØRELSE t.kr.</t>
        </is>
      </c>
    </row>
    <row r="90">
      <c r="A90" s="16" t="inlineStr">
        <is>
          <t>Pengestrømme fra driftsaktivitet</t>
        </is>
      </c>
      <c r="B90" s="17">
        <f>'pengestrom_raw_38437011'!$B$2</f>
        <v/>
      </c>
      <c r="C90" s="17">
        <f>'pengestrom_raw_38437011'!$C$2</f>
        <v/>
      </c>
      <c r="D90" s="17">
        <f>'pengestrom_raw_38437011'!$D$2</f>
        <v/>
      </c>
      <c r="E90" s="17">
        <f>'pengestrom_raw_38437011'!$E$2</f>
        <v/>
      </c>
      <c r="F90" s="17">
        <f>'pengestrom_raw_38437011'!$F$2</f>
        <v/>
      </c>
    </row>
    <row r="91">
      <c r="A91" s="16" t="inlineStr">
        <is>
          <t>Pengestrømme fra investeringsaktivitet</t>
        </is>
      </c>
      <c r="B91" s="17">
        <f>'pengestrom_raw_38437011'!$B$3</f>
        <v/>
      </c>
      <c r="C91" s="17">
        <f>'pengestrom_raw_38437011'!$C$3</f>
        <v/>
      </c>
      <c r="D91" s="17">
        <f>'pengestrom_raw_38437011'!$D$3</f>
        <v/>
      </c>
      <c r="E91" s="17">
        <f>'pengestrom_raw_38437011'!$E$3</f>
        <v/>
      </c>
      <c r="F91" s="17">
        <f>'pengestrom_raw_38437011'!$F$3</f>
        <v/>
      </c>
    </row>
    <row r="92">
      <c r="A92" s="16" t="inlineStr">
        <is>
          <t>Pengestrømme fra finansieringsaktivitet</t>
        </is>
      </c>
      <c r="B92" s="17">
        <f>'pengestrom_raw_38437011'!$B$4</f>
        <v/>
      </c>
      <c r="C92" s="17">
        <f>'pengestrom_raw_38437011'!$C$4</f>
        <v/>
      </c>
      <c r="D92" s="17">
        <f>'pengestrom_raw_38437011'!$D$4</f>
        <v/>
      </c>
      <c r="E92" s="17">
        <f>'pengestrom_raw_38437011'!$E$4</f>
        <v/>
      </c>
      <c r="F92" s="17">
        <f>'pengestrom_raw_38437011'!$F$4</f>
        <v/>
      </c>
    </row>
    <row r="93">
      <c r="A93" s="16" t="inlineStr">
        <is>
          <t>Årets pengestrøm (rapporteret)</t>
        </is>
      </c>
      <c r="B93" s="17">
        <f>'pengestrom_raw_38437011'!$B$5</f>
        <v/>
      </c>
      <c r="C93" s="17">
        <f>'pengestrom_raw_38437011'!$C$5</f>
        <v/>
      </c>
      <c r="D93" s="17">
        <f>'pengestrom_raw_38437011'!$D$5</f>
        <v/>
      </c>
      <c r="E93" s="17">
        <f>'pengestrom_raw_38437011'!$E$5</f>
        <v/>
      </c>
      <c r="F93" s="17">
        <f>'pengestrom_raw_38437011'!$F$5</f>
        <v/>
      </c>
    </row>
    <row r="94">
      <c r="A94" s="16" t="inlineStr">
        <is>
          <t>Krydstjek: drift + inv. + fin. = årets pengestrøm</t>
        </is>
      </c>
      <c r="B94">
        <f>IF(ABS(('pengestrom_raw_38437011'!$B$2+'pengestrom_raw_38437011'!$B$3+'pengestrom_raw_38437011'!$B$4)-'pengestrom_raw_38437011'!$B$5)&lt;=2,"✓","⚠ "&amp;TEXT(('pengestrom_raw_38437011'!$B$2+'pengestrom_raw_38437011'!$B$3+'pengestrom_raw_38437011'!$B$4)-'pengestrom_raw_38437011'!$B$5,"+#,##0;-#,##0"))</f>
        <v/>
      </c>
      <c r="C94">
        <f>IF(ABS(('pengestrom_raw_38437011'!$C$2+'pengestrom_raw_38437011'!$C$3+'pengestrom_raw_38437011'!$C$4)-'pengestrom_raw_38437011'!$C$5)&lt;=2,"✓","⚠ "&amp;TEXT(('pengestrom_raw_38437011'!$C$2+'pengestrom_raw_38437011'!$C$3+'pengestrom_raw_38437011'!$C$4)-'pengestrom_raw_38437011'!$C$5,"+#,##0;-#,##0"))</f>
        <v/>
      </c>
      <c r="D94">
        <f>IF(ABS(('pengestrom_raw_38437011'!$D$2+'pengestrom_raw_38437011'!$D$3+'pengestrom_raw_38437011'!$D$4)-'pengestrom_raw_38437011'!$D$5)&lt;=2,"✓","⚠ "&amp;TEXT(('pengestrom_raw_38437011'!$D$2+'pengestrom_raw_38437011'!$D$3+'pengestrom_raw_38437011'!$D$4)-'pengestrom_raw_38437011'!$D$5,"+#,##0;-#,##0"))</f>
        <v/>
      </c>
      <c r="E94">
        <f>IF(ABS(('pengestrom_raw_38437011'!$E$2+'pengestrom_raw_38437011'!$E$3+'pengestrom_raw_38437011'!$E$4)-'pengestrom_raw_38437011'!$E$5)&lt;=2,"✓","⚠ "&amp;TEXT(('pengestrom_raw_38437011'!$E$2+'pengestrom_raw_38437011'!$E$3+'pengestrom_raw_38437011'!$E$4)-'pengestrom_raw_38437011'!$E$5,"+#,##0;-#,##0"))</f>
        <v/>
      </c>
      <c r="F94">
        <f>IF(ABS(('pengestrom_raw_38437011'!$F$2+'pengestrom_raw_38437011'!$F$3+'pengestrom_raw_38437011'!$F$4)-'pengestrom_raw_38437011'!$F$5)&lt;=2,"✓","⚠ "&amp;TEXT(('pengestrom_raw_38437011'!$F$2+'pengestrom_raw_38437011'!$F$3+'pengestrom_raw_38437011'!$F$4)-'pengestrom_raw_38437011'!$F$5,"+#,##0;-#,##0"))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Odense Havn A/S (CVR 38437011)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Nettoomsætning</t>
        </is>
      </c>
      <c r="B2" s="17" t="n">
        <v>178845</v>
      </c>
      <c r="C2" s="17" t="n">
        <v>221362</v>
      </c>
      <c r="D2" s="17" t="n">
        <v>263614</v>
      </c>
      <c r="E2" s="17" t="n">
        <v>282587</v>
      </c>
      <c r="F2" s="17" t="n">
        <v>304743</v>
      </c>
    </row>
    <row r="3">
      <c r="A3" s="16" t="inlineStr">
        <is>
          <t>Andre driftsindtægter</t>
        </is>
      </c>
      <c r="B3" s="17" t="n">
        <v>6773</v>
      </c>
      <c r="C3" s="17" t="n">
        <v>15553</v>
      </c>
      <c r="D3" s="17" t="n">
        <v>15663</v>
      </c>
      <c r="E3" s="17" t="n">
        <v>710</v>
      </c>
      <c r="F3" s="17" t="n">
        <v>6614</v>
      </c>
    </row>
    <row r="4">
      <c r="A4" s="16" t="inlineStr">
        <is>
          <t>Vareforbrug</t>
        </is>
      </c>
      <c r="B4" s="17" t="n"/>
      <c r="C4" s="17" t="n"/>
      <c r="D4" s="17" t="n"/>
      <c r="E4" s="17" t="n"/>
      <c r="F4" s="17" t="n"/>
    </row>
    <row r="5">
      <c r="A5" s="16" t="inlineStr">
        <is>
          <t>Andre eksterne omkostninger</t>
        </is>
      </c>
      <c r="B5" s="17" t="n">
        <v>43029</v>
      </c>
      <c r="C5" s="17" t="n">
        <v>51410</v>
      </c>
      <c r="D5" s="17" t="n">
        <v>63765</v>
      </c>
      <c r="E5" s="17" t="n">
        <v>57776</v>
      </c>
      <c r="F5" s="17" t="n">
        <v>60566</v>
      </c>
    </row>
    <row r="6">
      <c r="A6" s="15" t="inlineStr">
        <is>
          <t>Bruttoresultat</t>
        </is>
      </c>
      <c r="B6" s="17" t="n">
        <v>142232</v>
      </c>
      <c r="C6" s="17" t="n">
        <v>185406</v>
      </c>
      <c r="D6" s="17" t="n">
        <v>214021</v>
      </c>
      <c r="E6" s="17" t="n">
        <v>219770</v>
      </c>
      <c r="F6" s="17" t="n">
        <v>247250</v>
      </c>
    </row>
    <row r="7">
      <c r="A7" s="16" t="inlineStr">
        <is>
          <t>Personaleomkostninger</t>
        </is>
      </c>
      <c r="B7" s="17" t="n">
        <v>48509</v>
      </c>
      <c r="C7" s="17" t="n">
        <v>54853</v>
      </c>
      <c r="D7" s="17" t="n">
        <v>64393</v>
      </c>
      <c r="E7" s="17" t="n">
        <v>69370</v>
      </c>
      <c r="F7" s="17" t="n">
        <v>68495</v>
      </c>
    </row>
    <row r="8">
      <c r="A8" s="15" t="inlineStr">
        <is>
          <t>Resultat før afskrivninger</t>
        </is>
      </c>
    </row>
    <row r="9">
      <c r="A9" s="16" t="inlineStr">
        <is>
          <t>Af- og nedskrivninger</t>
        </is>
      </c>
      <c r="B9" s="17" t="n">
        <v>59355</v>
      </c>
      <c r="C9" s="17" t="n">
        <v>65950</v>
      </c>
      <c r="D9" s="17" t="n">
        <v>68253</v>
      </c>
      <c r="E9" s="17" t="n">
        <v>68330</v>
      </c>
      <c r="F9" s="17" t="n">
        <v>73490</v>
      </c>
    </row>
    <row r="10">
      <c r="A10" s="16" t="inlineStr">
        <is>
          <t>Andre driftsomkostninger</t>
        </is>
      </c>
      <c r="B10" s="17" t="n">
        <v>357</v>
      </c>
      <c r="C10" s="17" t="n">
        <v>99</v>
      </c>
      <c r="D10" s="17" t="n">
        <v>1491</v>
      </c>
      <c r="E10" s="17" t="n">
        <v>5751</v>
      </c>
      <c r="F10" s="17" t="n">
        <v>3541</v>
      </c>
    </row>
    <row r="11">
      <c r="A11" s="15" t="inlineStr">
        <is>
          <t>Resultat af primær drift</t>
        </is>
      </c>
      <c r="B11" s="17" t="n">
        <v>34368</v>
      </c>
      <c r="C11" s="17" t="n">
        <v>64603</v>
      </c>
      <c r="D11" s="17" t="n">
        <v>81375</v>
      </c>
      <c r="E11" s="17" t="n">
        <v>82070</v>
      </c>
      <c r="F11" s="17" t="n">
        <v>105265</v>
      </c>
    </row>
    <row r="12">
      <c r="A12" s="16" t="inlineStr">
        <is>
          <t>Indtægter af kapitalandele, dattervirksomheder</t>
        </is>
      </c>
      <c r="B12" s="17" t="n">
        <v>0</v>
      </c>
      <c r="C12" s="17" t="n">
        <v>0</v>
      </c>
      <c r="D12" s="17" t="n">
        <v>0</v>
      </c>
      <c r="E12" s="17" t="n">
        <v>0</v>
      </c>
      <c r="F12" s="17" t="n">
        <v>0</v>
      </c>
    </row>
    <row r="13">
      <c r="A13" s="16" t="inlineStr">
        <is>
          <t>Finansielle indtægter</t>
        </is>
      </c>
      <c r="B13" s="17" t="n">
        <v>3235</v>
      </c>
      <c r="C13" s="17" t="n">
        <v>49176</v>
      </c>
      <c r="D13" s="17" t="n">
        <v>4407</v>
      </c>
      <c r="E13" s="17" t="n">
        <v>4825</v>
      </c>
      <c r="F13" s="17" t="n">
        <v>1770</v>
      </c>
    </row>
    <row r="14">
      <c r="A14" s="16" t="inlineStr">
        <is>
          <t>Finansielle omkostninger</t>
        </is>
      </c>
      <c r="B14" s="17" t="n">
        <v>8040</v>
      </c>
      <c r="C14" s="17" t="n">
        <v>7823</v>
      </c>
      <c r="D14" s="17" t="n">
        <v>7736</v>
      </c>
      <c r="E14" s="17" t="n">
        <v>11143</v>
      </c>
      <c r="F14" s="17" t="n">
        <v>6866</v>
      </c>
    </row>
    <row r="15">
      <c r="A15" s="15" t="inlineStr">
        <is>
          <t>Finansielle poster, netto</t>
        </is>
      </c>
      <c r="B15" s="17" t="n">
        <v>-4805</v>
      </c>
      <c r="C15" s="17" t="n">
        <v>41353</v>
      </c>
      <c r="D15" s="17" t="n">
        <v>-3329</v>
      </c>
      <c r="E15" s="17" t="n">
        <v>-6318</v>
      </c>
      <c r="F15" s="17" t="n">
        <v>-5096</v>
      </c>
    </row>
    <row r="16">
      <c r="A16" s="15" t="inlineStr">
        <is>
          <t>Resultat før skat</t>
        </is>
      </c>
      <c r="B16" s="17" t="n">
        <v>29563</v>
      </c>
      <c r="C16" s="17" t="n">
        <v>105956</v>
      </c>
      <c r="D16" s="17" t="n">
        <v>78046</v>
      </c>
      <c r="E16" s="17" t="n">
        <v>75752</v>
      </c>
      <c r="F16" s="17" t="n">
        <v>100169</v>
      </c>
    </row>
    <row r="17">
      <c r="A17" s="16" t="inlineStr">
        <is>
          <t>Skat af årets resultat</t>
        </is>
      </c>
      <c r="B17" s="17" t="n">
        <v>910</v>
      </c>
      <c r="C17" s="17" t="n">
        <v>2414</v>
      </c>
      <c r="D17" s="17" t="n">
        <v>-1174</v>
      </c>
      <c r="E17" s="17" t="n">
        <v>-596</v>
      </c>
      <c r="F17" s="17" t="n">
        <v>-672</v>
      </c>
    </row>
    <row r="18">
      <c r="A18" s="15" t="inlineStr">
        <is>
          <t>Årets resultat</t>
        </is>
      </c>
      <c r="B18" s="17" t="n">
        <v>28653</v>
      </c>
      <c r="C18" s="17" t="n">
        <v>103542</v>
      </c>
      <c r="D18" s="17" t="n">
        <v>79220</v>
      </c>
      <c r="E18" s="17" t="n">
        <v>76348</v>
      </c>
      <c r="F18" s="17" t="n">
        <v>100841</v>
      </c>
    </row>
    <row r="19">
      <c r="A19" s="16" t="inlineStr">
        <is>
          <t>Gns. antal medarbejdere</t>
        </is>
      </c>
      <c r="B19" s="17" t="n">
        <v>71</v>
      </c>
      <c r="C19" s="17" t="n">
        <v>82</v>
      </c>
      <c r="D19" s="17" t="n">
        <v>94</v>
      </c>
      <c r="E19" s="17" t="n">
        <v>95</v>
      </c>
      <c r="F19" s="17" t="n">
        <v>89</v>
      </c>
    </row>
    <row r="20">
      <c r="A20" s="16" t="inlineStr">
        <is>
          <t>Investering i materielle anlægsaktiver</t>
        </is>
      </c>
      <c r="B20" s="17" t="n">
        <v>48158</v>
      </c>
      <c r="C20" s="17" t="n">
        <v>233465</v>
      </c>
      <c r="D20" s="17" t="n">
        <v>126606</v>
      </c>
      <c r="E20" s="17" t="n">
        <v>138132</v>
      </c>
      <c r="F20" s="17" t="n">
        <v>154932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Odense Havn A/S (CVR 38437011)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Grunde og bygninger</t>
        </is>
      </c>
      <c r="B2" s="17" t="n">
        <v>1180977</v>
      </c>
      <c r="C2" s="17" t="n">
        <v>1220443</v>
      </c>
      <c r="D2" s="17" t="n">
        <v>1343810</v>
      </c>
      <c r="E2" s="17" t="n">
        <v>1380044</v>
      </c>
      <c r="F2" s="17" t="n">
        <v>1508263</v>
      </c>
    </row>
    <row r="3">
      <c r="A3" s="16" t="inlineStr">
        <is>
          <t>Produktionsanlæg og maskiner</t>
        </is>
      </c>
      <c r="B3" s="17" t="n"/>
      <c r="C3" s="17" t="n"/>
      <c r="D3" s="17" t="n"/>
      <c r="E3" s="17" t="n"/>
      <c r="F3" s="17" t="n"/>
    </row>
    <row r="4">
      <c r="A4" s="16" t="inlineStr">
        <is>
          <t>Driftsmateriel og inventar</t>
        </is>
      </c>
      <c r="B4" s="17" t="n">
        <v>104101</v>
      </c>
      <c r="C4" s="17" t="n">
        <v>99209</v>
      </c>
      <c r="D4" s="17" t="n">
        <v>128049</v>
      </c>
      <c r="E4" s="17" t="n">
        <v>119653</v>
      </c>
      <c r="F4" s="17" t="n">
        <v>116351</v>
      </c>
    </row>
    <row r="5">
      <c r="A5" s="16" t="inlineStr">
        <is>
          <t>Indretning af lejede lokaler</t>
        </is>
      </c>
      <c r="B5" s="17" t="n"/>
      <c r="C5" s="17" t="n"/>
      <c r="D5" s="17" t="n"/>
      <c r="E5" s="17" t="n"/>
      <c r="F5" s="17" t="n"/>
    </row>
    <row r="6">
      <c r="A6" s="16" t="inlineStr">
        <is>
          <t>Forudbetaling og anlægsaktiver under opførelse</t>
        </is>
      </c>
      <c r="B6" s="17" t="n">
        <v>17869</v>
      </c>
      <c r="C6" s="17" t="n">
        <v>137288</v>
      </c>
      <c r="D6" s="17" t="n">
        <v>48599</v>
      </c>
      <c r="E6" s="17" t="n">
        <v>93821</v>
      </c>
      <c r="F6" s="17" t="n">
        <v>56655</v>
      </c>
    </row>
    <row r="7">
      <c r="A7" s="15" t="inlineStr">
        <is>
          <t>Materielle anlægsaktiver</t>
        </is>
      </c>
      <c r="B7" s="17" t="n">
        <v>1625932</v>
      </c>
      <c r="C7" s="17" t="n">
        <v>1777951</v>
      </c>
      <c r="D7" s="17" t="n">
        <v>1836290</v>
      </c>
      <c r="E7" s="17" t="n">
        <v>1906093</v>
      </c>
      <c r="F7" s="17" t="n">
        <v>1987537</v>
      </c>
    </row>
    <row r="8">
      <c r="A8" s="15" t="inlineStr">
        <is>
          <t>Anlægsaktiver</t>
        </is>
      </c>
      <c r="B8" s="17" t="n">
        <v>1625932</v>
      </c>
      <c r="C8" s="17" t="n">
        <v>1777951</v>
      </c>
      <c r="D8" s="17" t="n">
        <v>1836290</v>
      </c>
      <c r="E8" s="17" t="n">
        <v>1906093</v>
      </c>
      <c r="F8" s="17" t="n">
        <v>1987537</v>
      </c>
    </row>
    <row r="9">
      <c r="A9" s="16" t="inlineStr">
        <is>
          <t>Tilgodehavender fra salg og tjenesteydelser</t>
        </is>
      </c>
      <c r="B9" s="17" t="n">
        <v>37474</v>
      </c>
      <c r="C9" s="17" t="n">
        <v>45188</v>
      </c>
      <c r="D9" s="17" t="n">
        <v>46127</v>
      </c>
      <c r="E9" s="17" t="n">
        <v>61275</v>
      </c>
      <c r="F9" s="17" t="n">
        <v>71160</v>
      </c>
    </row>
    <row r="10">
      <c r="A10" s="16" t="inlineStr">
        <is>
          <t>Tilgodehavender hos tilknyttede virksomheder</t>
        </is>
      </c>
      <c r="B10" s="17" t="n">
        <v>0</v>
      </c>
      <c r="C10" s="17" t="n">
        <v>0</v>
      </c>
      <c r="D10" s="17" t="n">
        <v>0</v>
      </c>
      <c r="E10" s="17" t="n">
        <v>0</v>
      </c>
      <c r="F10" s="17" t="n">
        <v>0</v>
      </c>
    </row>
    <row r="11">
      <c r="A11" s="16" t="inlineStr">
        <is>
          <t>Andre tilgodehavender</t>
        </is>
      </c>
      <c r="B11" s="17" t="n">
        <v>5393</v>
      </c>
      <c r="C11" s="17" t="n"/>
      <c r="D11" s="17" t="n"/>
      <c r="E11" s="17" t="n">
        <v>654</v>
      </c>
      <c r="F11" s="17" t="n">
        <v>669</v>
      </c>
    </row>
    <row r="12">
      <c r="A12" s="16" t="inlineStr">
        <is>
          <t>Periodeafgrænsningsposter (aktiver)</t>
        </is>
      </c>
      <c r="B12" s="17" t="n">
        <v>0</v>
      </c>
      <c r="C12" s="17" t="n">
        <v>12020</v>
      </c>
      <c r="D12" s="17" t="n">
        <v>5024</v>
      </c>
      <c r="E12" s="17" t="n">
        <v>7882</v>
      </c>
      <c r="F12" s="17" t="n">
        <v>9710</v>
      </c>
    </row>
    <row r="13">
      <c r="A13" s="16" t="inlineStr">
        <is>
          <t>Udskudt skatteaktiv</t>
        </is>
      </c>
      <c r="B13" s="17" t="n">
        <v>486</v>
      </c>
      <c r="C13" s="17" t="n">
        <v>505</v>
      </c>
      <c r="D13" s="17" t="n">
        <v>1679</v>
      </c>
      <c r="E13" s="17" t="n"/>
      <c r="F13" s="17" t="n">
        <v>2947</v>
      </c>
    </row>
    <row r="14">
      <c r="A14" s="16" t="inlineStr">
        <is>
          <t>Tilgodehavende skat hos tilknyttede virksomheder</t>
        </is>
      </c>
      <c r="B14" s="17" t="n"/>
      <c r="C14" s="17" t="n"/>
      <c r="D14" s="17" t="n"/>
      <c r="E14" s="17" t="n"/>
      <c r="F14" s="17" t="n"/>
    </row>
    <row r="15">
      <c r="A15" s="16" t="inlineStr">
        <is>
          <t>Kortfristede skattetilgodehavender</t>
        </is>
      </c>
      <c r="B15" s="17" t="n">
        <v>347</v>
      </c>
      <c r="C15" s="17" t="n">
        <v>0</v>
      </c>
      <c r="D15" s="17" t="n">
        <v>276</v>
      </c>
      <c r="E15" s="17" t="n">
        <v>2855</v>
      </c>
      <c r="F15" s="17" t="n">
        <v>564</v>
      </c>
    </row>
    <row r="16">
      <c r="A16" s="15" t="inlineStr">
        <is>
          <t>Tilgodehavender</t>
        </is>
      </c>
      <c r="B16" s="17" t="n">
        <v>43700</v>
      </c>
      <c r="C16" s="17" t="n">
        <v>57713</v>
      </c>
      <c r="D16" s="17" t="n">
        <v>53106</v>
      </c>
      <c r="E16" s="17" t="n">
        <v>72666</v>
      </c>
      <c r="F16" s="17" t="n">
        <v>85050</v>
      </c>
    </row>
    <row r="17">
      <c r="A17" s="16" t="inlineStr">
        <is>
          <t>Værdipapirer</t>
        </is>
      </c>
      <c r="B17" s="17" t="n">
        <v>27603</v>
      </c>
      <c r="C17" s="17" t="n">
        <v>0</v>
      </c>
      <c r="D17" s="17" t="n"/>
      <c r="E17" s="17" t="n">
        <v>0</v>
      </c>
      <c r="F17" s="17" t="n"/>
    </row>
    <row r="18">
      <c r="A18" s="16" t="inlineStr">
        <is>
          <t>Likvide beholdninger</t>
        </is>
      </c>
      <c r="B18" s="17" t="n">
        <v>238907</v>
      </c>
      <c r="C18" s="17" t="n">
        <v>181850</v>
      </c>
      <c r="D18" s="17" t="n">
        <v>139099</v>
      </c>
      <c r="E18" s="17" t="n">
        <v>132559</v>
      </c>
      <c r="F18" s="17" t="n">
        <v>82655</v>
      </c>
    </row>
    <row r="19">
      <c r="A19" s="15" t="inlineStr">
        <is>
          <t>Omsætningsaktiver</t>
        </is>
      </c>
      <c r="B19" s="17" t="n">
        <v>310210</v>
      </c>
      <c r="C19" s="17" t="n">
        <v>239563</v>
      </c>
      <c r="D19" s="17" t="n">
        <v>192205</v>
      </c>
      <c r="E19" s="17" t="n">
        <v>205225</v>
      </c>
      <c r="F19" s="17" t="n">
        <v>167705</v>
      </c>
    </row>
    <row r="20">
      <c r="A20" s="15" t="inlineStr">
        <is>
          <t>Aktiver</t>
        </is>
      </c>
      <c r="B20" s="17" t="n">
        <v>1936142</v>
      </c>
      <c r="C20" s="17" t="n">
        <v>2017514</v>
      </c>
      <c r="D20" s="17" t="n">
        <v>2028495</v>
      </c>
      <c r="E20" s="17" t="n">
        <v>2111318</v>
      </c>
      <c r="F20" s="17" t="n">
        <v>2155242</v>
      </c>
    </row>
    <row r="21">
      <c r="A21" s="16" t="inlineStr">
        <is>
          <t>Selskabskapital</t>
        </is>
      </c>
      <c r="B21" s="17" t="n">
        <v>100000</v>
      </c>
      <c r="C21" s="17" t="n">
        <v>100000</v>
      </c>
      <c r="D21" s="17" t="n">
        <v>100000</v>
      </c>
      <c r="E21" s="17" t="n">
        <v>100000</v>
      </c>
      <c r="F21" s="17" t="n">
        <v>100000</v>
      </c>
    </row>
    <row r="22">
      <c r="A22" s="16" t="inlineStr">
        <is>
          <t>Reserve for nettoopskrivning (indre værdis metode)</t>
        </is>
      </c>
      <c r="B22" s="17" t="n"/>
      <c r="C22" s="17" t="n"/>
      <c r="D22" s="17" t="n"/>
      <c r="E22" s="17" t="n"/>
      <c r="F22" s="17" t="n"/>
    </row>
    <row r="23">
      <c r="A23" s="16" t="inlineStr">
        <is>
          <t>Reserve for udviklingsomkostninger</t>
        </is>
      </c>
      <c r="B23" s="17" t="n"/>
      <c r="C23" s="17" t="n"/>
      <c r="D23" s="17" t="n"/>
      <c r="E23" s="17" t="n"/>
      <c r="F23" s="17" t="n"/>
    </row>
    <row r="24">
      <c r="A24" s="16" t="inlineStr">
        <is>
          <t>Reserve for sikringstransaktioner</t>
        </is>
      </c>
      <c r="B24" s="17" t="n"/>
      <c r="C24" s="17" t="n"/>
      <c r="D24" s="17" t="n"/>
      <c r="E24" s="17" t="n"/>
      <c r="F24" s="17" t="n"/>
    </row>
    <row r="25">
      <c r="A25" s="16" t="inlineStr">
        <is>
          <t>Andre reserver</t>
        </is>
      </c>
      <c r="B25" s="17" t="n">
        <v>1150362</v>
      </c>
      <c r="C25" s="17" t="n">
        <v>1257910</v>
      </c>
      <c r="D25" s="17" t="n">
        <v>1322678</v>
      </c>
      <c r="E25" s="17" t="n">
        <v>1388026</v>
      </c>
      <c r="F25" s="17" t="n">
        <v>1474934</v>
      </c>
    </row>
    <row r="26">
      <c r="A26" s="16" t="inlineStr">
        <is>
          <t>Overført resultat</t>
        </is>
      </c>
      <c r="B26" s="17" t="n"/>
      <c r="C26" s="17" t="n"/>
      <c r="D26" s="17" t="n"/>
      <c r="E26" s="17" t="n"/>
      <c r="F26" s="17" t="n"/>
    </row>
    <row r="27">
      <c r="A27" s="15" t="inlineStr">
        <is>
          <t>Egenkapital i alt</t>
        </is>
      </c>
      <c r="B27" s="17" t="n">
        <v>1261362</v>
      </c>
      <c r="C27" s="17" t="n">
        <v>1261362</v>
      </c>
      <c r="D27" s="17" t="n">
        <v>1433678</v>
      </c>
      <c r="E27" s="17" t="n">
        <v>1433678</v>
      </c>
      <c r="F27" s="17" t="n">
        <v>1585934</v>
      </c>
    </row>
    <row r="28">
      <c r="A28" s="15" t="inlineStr">
        <is>
          <t>Hensatte forpligtelser</t>
        </is>
      </c>
      <c r="B28" s="17" t="n">
        <v>69374</v>
      </c>
      <c r="C28" s="17" t="n">
        <v>50806</v>
      </c>
      <c r="D28" s="17" t="n">
        <v>50632</v>
      </c>
      <c r="E28" s="17" t="n">
        <v>47052</v>
      </c>
      <c r="F28" s="17" t="n">
        <v>46019</v>
      </c>
    </row>
    <row r="29">
      <c r="A29" s="16" t="inlineStr">
        <is>
          <t>Ansvarlig lånekapital (langfristet)</t>
        </is>
      </c>
      <c r="B29" s="17" t="n"/>
      <c r="C29" s="17" t="n"/>
      <c r="D29" s="17" t="n"/>
      <c r="E29" s="17" t="n"/>
      <c r="F29" s="17" t="n"/>
    </row>
    <row r="30">
      <c r="A30" s="16" t="inlineStr">
        <is>
          <t>Langfristede lån</t>
        </is>
      </c>
      <c r="B30" s="17" t="n">
        <v>465494</v>
      </c>
      <c r="C30" s="17" t="n">
        <v>410684</v>
      </c>
      <c r="D30" s="17" t="n">
        <v>388219</v>
      </c>
      <c r="E30" s="17" t="n">
        <v>365414</v>
      </c>
      <c r="F30" s="17" t="n">
        <v>342261</v>
      </c>
    </row>
    <row r="31">
      <c r="A31" s="16" t="inlineStr">
        <is>
          <t>Leasingforpligtelser (langfristet)</t>
        </is>
      </c>
      <c r="B31" s="17" t="n"/>
      <c r="C31" s="17" t="n"/>
      <c r="D31" s="17" t="n"/>
      <c r="E31" s="17" t="n"/>
      <c r="F31" s="17" t="n"/>
    </row>
    <row r="32">
      <c r="A32" s="16" t="inlineStr">
        <is>
          <t>Anden gæld (langfristet)</t>
        </is>
      </c>
      <c r="B32" s="17" t="n">
        <v>28938</v>
      </c>
      <c r="C32" s="17" t="n">
        <v>41545</v>
      </c>
      <c r="D32" s="17" t="n">
        <v>50259</v>
      </c>
      <c r="E32" s="17" t="n">
        <v>50812</v>
      </c>
      <c r="F32" s="17" t="n">
        <v>57730</v>
      </c>
    </row>
    <row r="33">
      <c r="A33" s="15" t="inlineStr">
        <is>
          <t>Langfristede gældsforpligtelser</t>
        </is>
      </c>
      <c r="B33" s="17" t="n">
        <v>508339</v>
      </c>
      <c r="C33" s="17" t="n">
        <v>472732</v>
      </c>
      <c r="D33" s="17" t="n">
        <v>458359</v>
      </c>
      <c r="E33" s="17" t="n">
        <v>435557</v>
      </c>
      <c r="F33" s="17" t="n">
        <v>418772</v>
      </c>
    </row>
    <row r="34">
      <c r="A34" s="16" t="inlineStr">
        <is>
          <t>Ansvarlig lånekapital (kortfristet)</t>
        </is>
      </c>
      <c r="B34" s="17" t="n"/>
      <c r="C34" s="17" t="n"/>
      <c r="D34" s="17" t="n"/>
      <c r="E34" s="17" t="n"/>
      <c r="F34" s="17" t="n"/>
    </row>
    <row r="35">
      <c r="A35" s="16" t="inlineStr">
        <is>
          <t>Kortfristet del af langfristede gældsforpligtelser</t>
        </is>
      </c>
      <c r="B35" s="17" t="n"/>
      <c r="C35" s="17" t="n"/>
      <c r="D35" s="17" t="n"/>
      <c r="E35" s="17" t="n"/>
      <c r="F35" s="17" t="n"/>
    </row>
    <row r="36">
      <c r="A36" s="16" t="inlineStr">
        <is>
          <t>Kreditinstitutter</t>
        </is>
      </c>
      <c r="B36" s="17" t="n">
        <v>27737</v>
      </c>
      <c r="C36" s="17" t="n">
        <v>22083</v>
      </c>
      <c r="D36" s="17" t="n">
        <v>22419</v>
      </c>
      <c r="E36" s="17" t="n">
        <v>22760</v>
      </c>
      <c r="F36" s="17" t="n">
        <v>23107</v>
      </c>
    </row>
    <row r="37">
      <c r="A37" s="16" t="inlineStr">
        <is>
          <t>Leasingforpligtelser (kortfristet)</t>
        </is>
      </c>
      <c r="B37" s="17" t="n"/>
      <c r="C37" s="17" t="n"/>
      <c r="D37" s="17" t="n"/>
      <c r="E37" s="17" t="n"/>
      <c r="F37" s="17" t="n"/>
    </row>
    <row r="38">
      <c r="A38" s="16" t="inlineStr">
        <is>
          <t>Leverandører af varer og tjenesteydelser</t>
        </is>
      </c>
      <c r="B38" s="17" t="n">
        <v>8149</v>
      </c>
      <c r="C38" s="17" t="n">
        <v>30298</v>
      </c>
      <c r="D38" s="17" t="n">
        <v>7301</v>
      </c>
      <c r="E38" s="17" t="n">
        <v>36893</v>
      </c>
      <c r="F38" s="17" t="n">
        <v>12937</v>
      </c>
    </row>
    <row r="39">
      <c r="A39" s="16" t="inlineStr">
        <is>
          <t>Gæld til tilknyttede virksomheder</t>
        </is>
      </c>
      <c r="B39" s="17" t="n">
        <v>0</v>
      </c>
      <c r="C39" s="17" t="n">
        <v>0</v>
      </c>
      <c r="D39" s="17" t="n"/>
      <c r="E39" s="17" t="n">
        <v>0</v>
      </c>
      <c r="F39" s="17" t="n">
        <v>0</v>
      </c>
    </row>
    <row r="40">
      <c r="A40" s="16" t="inlineStr">
        <is>
          <t>Gæld til selskabsdeltagere og ledelse</t>
        </is>
      </c>
      <c r="B40" s="17" t="n"/>
      <c r="C40" s="17" t="n"/>
      <c r="D40" s="17" t="n"/>
      <c r="E40" s="17" t="n"/>
      <c r="F40" s="17" t="n"/>
    </row>
    <row r="41">
      <c r="A41" s="16" t="inlineStr">
        <is>
          <t>Selskabsskat</t>
        </is>
      </c>
      <c r="B41" s="17" t="n">
        <v>0</v>
      </c>
      <c r="C41" s="17" t="n">
        <v>2306</v>
      </c>
      <c r="D41" s="17" t="n">
        <v>0</v>
      </c>
      <c r="E41" s="17" t="n"/>
      <c r="F41" s="17" t="n"/>
    </row>
    <row r="42">
      <c r="A42" s="16" t="inlineStr">
        <is>
          <t>Gæld til tilknyttede virksomheder vedr. selskabsskat</t>
        </is>
      </c>
      <c r="B42" s="17" t="n"/>
      <c r="C42" s="17" t="n"/>
      <c r="D42" s="17" t="n"/>
      <c r="E42" s="17" t="n"/>
      <c r="F42" s="17" t="n"/>
    </row>
    <row r="43">
      <c r="A43" s="16" t="inlineStr">
        <is>
          <t>Anden gæld (kortfristet)</t>
        </is>
      </c>
      <c r="B43" s="17" t="n">
        <v>34920</v>
      </c>
      <c r="C43" s="17" t="n">
        <v>36843</v>
      </c>
      <c r="D43" s="17" t="n">
        <v>16208</v>
      </c>
      <c r="E43" s="17" t="n">
        <v>22441</v>
      </c>
      <c r="F43" s="17" t="n">
        <v>19224</v>
      </c>
    </row>
    <row r="44">
      <c r="A44" s="16" t="inlineStr">
        <is>
          <t>Periodeafgrænsningsposter (passiver)</t>
        </is>
      </c>
      <c r="B44" s="17" t="n">
        <v>17493</v>
      </c>
      <c r="C44" s="17" t="n">
        <v>21507</v>
      </c>
      <c r="D44" s="17" t="n">
        <v>27152</v>
      </c>
      <c r="E44" s="17" t="n">
        <v>29309</v>
      </c>
      <c r="F44" s="17" t="n">
        <v>31851</v>
      </c>
    </row>
    <row r="45">
      <c r="A45" s="15" t="inlineStr">
        <is>
          <t>Kortfristede gældsforpligtelser</t>
        </is>
      </c>
      <c r="B45" s="17" t="n">
        <v>97067</v>
      </c>
      <c r="C45" s="17" t="n">
        <v>125066</v>
      </c>
      <c r="D45" s="17" t="n">
        <v>85826</v>
      </c>
      <c r="E45" s="17" t="n">
        <v>129683</v>
      </c>
      <c r="F45" s="17" t="n">
        <v>104517</v>
      </c>
    </row>
    <row r="46">
      <c r="A46" s="15" t="inlineStr">
        <is>
          <t>Gældsforpligtelser</t>
        </is>
      </c>
      <c r="B46" s="17" t="n">
        <v>605406</v>
      </c>
      <c r="C46" s="17" t="n">
        <v>597798</v>
      </c>
      <c r="D46" s="17" t="n">
        <v>544185</v>
      </c>
      <c r="E46" s="17" t="n">
        <v>565240</v>
      </c>
      <c r="F46" s="17" t="n">
        <v>523289</v>
      </c>
    </row>
    <row r="47">
      <c r="A47" s="15" t="inlineStr">
        <is>
          <t>Passiver</t>
        </is>
      </c>
      <c r="B47" s="17" t="n">
        <v>1936142</v>
      </c>
      <c r="C47" s="17" t="n">
        <v>2017514</v>
      </c>
      <c r="D47" s="17" t="n">
        <v>2028495</v>
      </c>
      <c r="E47" s="17" t="n">
        <v>2111318</v>
      </c>
      <c r="F47" s="17" t="n">
        <v>2155242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Odense Havn A/S (CVR 38437011) — Pengestrømsopgørelse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Pengestrømme fra driftsaktivitet</t>
        </is>
      </c>
      <c r="B2" s="17" t="n">
        <v>76093</v>
      </c>
      <c r="C2" s="17" t="n">
        <v>121810</v>
      </c>
      <c r="D2" s="17" t="n">
        <v>114733</v>
      </c>
      <c r="E2" s="17" t="n">
        <v>138724</v>
      </c>
      <c r="F2" s="17" t="n">
        <v>132943</v>
      </c>
    </row>
    <row r="3">
      <c r="A3" s="16" t="inlineStr">
        <is>
          <t>Pengestrømme fra investeringsaktivitet</t>
        </is>
      </c>
      <c r="B3" s="17" t="n">
        <v>318209</v>
      </c>
      <c r="C3" s="17" t="n">
        <v>-152326</v>
      </c>
      <c r="D3" s="17" t="n">
        <v>-120815</v>
      </c>
      <c r="E3" s="17" t="n">
        <v>-108116</v>
      </c>
      <c r="F3" s="17" t="n">
        <v>-145075</v>
      </c>
    </row>
    <row r="4">
      <c r="A4" s="16" t="inlineStr">
        <is>
          <t>Pengestrømme fra finansieringsaktivitet</t>
        </is>
      </c>
      <c r="B4" s="17" t="n">
        <v>-162290</v>
      </c>
      <c r="C4" s="17" t="n">
        <v>-26540</v>
      </c>
      <c r="D4" s="17" t="n">
        <v>-36669</v>
      </c>
      <c r="E4" s="17" t="n">
        <v>-37148</v>
      </c>
      <c r="F4" s="17" t="n">
        <v>-37772</v>
      </c>
    </row>
    <row r="5">
      <c r="A5" s="16" t="inlineStr">
        <is>
          <t>Årets pengestrøm</t>
        </is>
      </c>
      <c r="B5" s="17" t="n"/>
      <c r="C5" s="17" t="n"/>
      <c r="D5" s="17" t="n"/>
      <c r="E5" s="17" t="n"/>
      <c r="F5" s="1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Odense Havn A/S (CVR 38437011) — Regnskabs- og nøgletal (CVR: 38437011)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'res_raw_38437011'!$F$2</f>
        <v/>
      </c>
      <c r="C5" s="24">
        <f>'res_raw_38437011'!$E$2</f>
        <v/>
      </c>
      <c r="D5" s="24">
        <f>'res_raw_38437011'!$D$2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'res_raw_38437011'!$F$3</f>
        <v/>
      </c>
      <c r="C6" s="24">
        <f>'res_raw_38437011'!$E$3</f>
        <v/>
      </c>
      <c r="D6" s="24">
        <f>'res_raw_38437011'!$D$3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-'res_raw_38437011'!$F$4</f>
        <v/>
      </c>
      <c r="C7" s="24">
        <f>-'res_raw_38437011'!$E$4</f>
        <v/>
      </c>
      <c r="D7" s="24">
        <f>-'res_raw_38437011'!$D$4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-'res_raw_38437011'!$F$5</f>
        <v/>
      </c>
      <c r="C8" s="24">
        <f>-'res_raw_38437011'!$E$5</f>
        <v/>
      </c>
      <c r="D8" s="24">
        <f>-'res_raw_38437011'!$D$5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IF(ABS((SUM(B5:B8))-'res_raw_38437011'!$F$6)&lt;=2,SUM(B5:B8),'res_raw_38437011'!$F$6)</f>
        <v/>
      </c>
      <c r="C9" s="27">
        <f>IF(ABS((SUM(C5:C8))-'res_raw_38437011'!$E$6)&lt;=2,SUM(C5:C8),'res_raw_38437011'!$E$6)</f>
        <v/>
      </c>
      <c r="D9" s="27">
        <f>IF(ABS((SUM(D5:D8))-'res_raw_38437011'!$D$6)&lt;=2,SUM(D5:D8),'res_raw_38437011'!$D$6)</f>
        <v/>
      </c>
      <c r="F9" s="28" t="inlineStr">
        <is>
          <t>Beregnet: Nettoomsætning + Andre driftsindt. − Vareforbrug − Andre ext. omk. Er komponenterne ikke indberettet, vises rapporteret bruttoresultat (fsa:GrossResult) direkte.</t>
        </is>
      </c>
    </row>
    <row r="10">
      <c r="A10" s="23" t="inlineStr">
        <is>
          <t>Personaleomkostninger</t>
        </is>
      </c>
      <c r="B10" s="24">
        <f>-'res_raw_38437011'!$F$7</f>
        <v/>
      </c>
      <c r="C10" s="24">
        <f>-'res_raw_38437011'!$E$7</f>
        <v/>
      </c>
      <c r="D10" s="24">
        <f>-'res_raw_38437011'!$D$7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-'res_raw_38437011'!$F$9</f>
        <v/>
      </c>
      <c r="C11" s="24">
        <f>-'res_raw_38437011'!$E$9</f>
        <v/>
      </c>
      <c r="D11" s="24">
        <f>-'res_raw_38437011'!$D$9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-'res_raw_38437011'!$F$10</f>
        <v/>
      </c>
      <c r="C12" s="24">
        <f>-'res_raw_38437011'!$E$10</f>
        <v/>
      </c>
      <c r="D12" s="24">
        <f>-'res_raw_38437011'!$D$10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IF(ABS((SUM(B9:B12))-'res_raw_38437011'!$F$11)&lt;=2,SUM(B9:B12),'res_raw_38437011'!$F$11)</f>
        <v/>
      </c>
      <c r="C13" s="27">
        <f>IF(ABS((SUM(C9:C12))-'res_raw_38437011'!$E$11)&lt;=2,SUM(C9:C12),'res_raw_38437011'!$E$11)</f>
        <v/>
      </c>
      <c r="D13" s="27">
        <f>IF(ABS((SUM(D9:D12))-'res_raw_38437011'!$D$11)&lt;=2,SUM(D9:D12),'res_raw_38437011'!$D$11)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N('res_raw_38437011'!$F$12)+N('res_raw_38437011'!$F$13)</f>
        <v/>
      </c>
      <c r="C14" s="24">
        <f>N('res_raw_38437011'!$E$12)+N('res_raw_38437011'!$E$13)</f>
        <v/>
      </c>
      <c r="D14" s="24">
        <f>N('res_raw_38437011'!$D$12)+N('res_raw_38437011'!$D$13)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-'res_raw_38437011'!$F$14</f>
        <v/>
      </c>
      <c r="C15" s="24">
        <f>-'res_raw_38437011'!$E$14</f>
        <v/>
      </c>
      <c r="D15" s="24">
        <f>-'res_raw_38437011'!$D$14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IF(ABS((SUM(B13:B15))-'res_raw_38437011'!$F$16)&lt;=2,SUM(B13:B15),'res_raw_38437011'!$F$16)</f>
        <v/>
      </c>
      <c r="C16" s="27">
        <f>IF(ABS((SUM(C13:C15))-'res_raw_38437011'!$E$16)&lt;=2,SUM(C13:C15),'res_raw_38437011'!$E$16)</f>
        <v/>
      </c>
      <c r="D16" s="27">
        <f>IF(ABS((SUM(D13:D15))-'res_raw_38437011'!$D$16)&lt;=2,SUM(D13:D15),'res_raw_38437011'!$D$16)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'balance_raw_38437011'!$F$8</f>
        <v/>
      </c>
      <c r="C19" s="24">
        <f>'balance_raw_38437011'!$E$8</f>
        <v/>
      </c>
      <c r="D19" s="24">
        <f>'balance_raw_38437011'!$D$8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'balance_raw_38437011'!$F$19</f>
        <v/>
      </c>
      <c r="C20" s="24">
        <f>'balance_raw_38437011'!$E$19</f>
        <v/>
      </c>
      <c r="D20" s="24">
        <f>'balance_raw_38437011'!$D$19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'balance_raw_38437011'!$F$27</f>
        <v/>
      </c>
      <c r="C23" s="24">
        <f>'balance_raw_38437011'!$E$27</f>
        <v/>
      </c>
      <c r="D23" s="24">
        <f>'balance_raw_38437011'!$D$27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'balance_raw_38437011'!$F$47-'balance_raw_38437011'!$F$27</f>
        <v/>
      </c>
      <c r="C24" s="24">
        <f>'balance_raw_38437011'!$E$47-'balance_raw_38437011'!$E$27</f>
        <v/>
      </c>
      <c r="D24" s="24">
        <f>'balance_raw_38437011'!$D$47-'balance_raw_38437011'!$D$27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9" t="n"/>
      <c r="C28" s="29" t="n"/>
      <c r="D28" s="29" t="n"/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'balance_raw_38437011'!$F$9</f>
        <v/>
      </c>
      <c r="C29" s="24">
        <f>'balance_raw_38437011'!$E$9</f>
        <v/>
      </c>
      <c r="D29" s="24">
        <f>'balance_raw_38437011'!$D$9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'balance_raw_38437011'!$F$45</f>
        <v/>
      </c>
      <c r="C30" s="24">
        <f>'balance_raw_38437011'!$E$45</f>
        <v/>
      </c>
      <c r="D30" s="24">
        <f>'balance_raw_38437011'!$D$45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IF('balance_raw_38437011'!$F$20="","—",IF(ABS(B21-'balance_raw_38437011'!$F$20)&lt;=1,"✓ OK","❌ "&amp;TEXT(B21-'balance_raw_38437011'!$F$20,"+#,##0;-#,##0")&amp;" t.kr."))</f>
        <v/>
      </c>
      <c r="C61" s="29">
        <f>IF('balance_raw_38437011'!$E$20="","—",IF(ABS(C21-'balance_raw_38437011'!$E$20)&lt;=1,"✓ OK","❌ "&amp;TEXT(C21-'balance_raw_38437011'!$E$20,"+#,##0;-#,##0")&amp;" t.kr."))</f>
        <v/>
      </c>
      <c r="D61" s="29">
        <f>IF('balance_raw_38437011'!$D$20="","—",IF(ABS(D21-'balance_raw_38437011'!$D$20)&lt;=1,"✓ OK","❌ "&amp;TEXT(D21-'balance_raw_38437011'!$D$20,"+#,##0;-#,##0")&amp;"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IF('balance_raw_38437011'!$F$47="","—",IF(ABS(B25-'balance_raw_38437011'!$F$47)&lt;=1,"✓ OK","❌ "&amp;TEXT(B25-'balance_raw_38437011'!$F$47,"+#,##0;-#,##0")&amp;" t.kr."))</f>
        <v/>
      </c>
      <c r="C62" s="29">
        <f>IF('balance_raw_38437011'!$E$47="","—",IF(ABS(C25-'balance_raw_38437011'!$E$47)&lt;=1,"✓ OK","❌ "&amp;TEXT(C25-'balance_raw_38437011'!$E$47,"+#,##0;-#,##0")&amp;" t.kr."))</f>
        <v/>
      </c>
      <c r="D62" s="29">
        <f>IF('balance_raw_38437011'!$D$47="","—",IF(ABS(D25-'balance_raw_38437011'!$D$47)&lt;=1,"✓ OK","❌ "&amp;TEXT(D25-'balance_raw_38437011'!$D$47,"+#,##0;-#,##0")&amp;"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IF('res_raw_38437011'!$F$6="","—",IF(ABS(B9-'res_raw_38437011'!$F$6)&lt;=1,"✓ OK","❌ "&amp;TEXT(B9-'res_raw_38437011'!$F$6,"+#,##0;-#,##0")&amp;" t.kr."))</f>
        <v/>
      </c>
      <c r="C64" s="29">
        <f>IF('res_raw_38437011'!$E$6="","—",IF(ABS(C9-'res_raw_38437011'!$E$6)&lt;=1,"✓ OK","❌ "&amp;TEXT(C9-'res_raw_38437011'!$E$6,"+#,##0;-#,##0")&amp;" t.kr."))</f>
        <v/>
      </c>
      <c r="D64" s="29">
        <f>IF('res_raw_38437011'!$D$6="","—",IF(ABS(D9-'res_raw_38437011'!$D$6)&lt;=1,"✓ OK","❌ "&amp;TEXT(D9-'res_raw_38437011'!$D$6,"+#,##0;-#,##0")&amp;"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IF('res_raw_38437011'!$F$11="","—",IF(ABS(B13-'res_raw_38437011'!$F$11)&lt;=1,"✓ OK","❌ "&amp;TEXT(B13-'res_raw_38437011'!$F$11,"+#,##0;-#,##0")&amp;" t.kr."))</f>
        <v/>
      </c>
      <c r="C65" s="29">
        <f>IF('res_raw_38437011'!$E$11="","—",IF(ABS(C13-'res_raw_38437011'!$E$11)&lt;=1,"✓ OK","❌ "&amp;TEXT(C13-'res_raw_38437011'!$E$11,"+#,##0;-#,##0")&amp;" t.kr."))</f>
        <v/>
      </c>
      <c r="D65" s="29">
        <f>IF('res_raw_38437011'!$D$11="","—",IF(ABS(D13-'res_raw_38437011'!$D$11)&lt;=1,"✓ OK","❌ "&amp;TEXT(D13-'res_raw_38437011'!$D$11,"+#,##0;-#,##0")&amp;"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IF('res_raw_38437011'!$F$16="","—",IF(ABS(B16-'res_raw_38437011'!$F$16)&lt;=1,"✓ OK","❌ "&amp;TEXT(B16-'res_raw_38437011'!$F$16,"+#,##0;-#,##0")&amp;" t.kr."))</f>
        <v/>
      </c>
      <c r="C66" s="29">
        <f>IF('res_raw_38437011'!$E$16="","—",IF(ABS(C16-'res_raw_38437011'!$E$16)&lt;=1,"✓ OK","❌ "&amp;TEXT(C16-'res_raw_38437011'!$E$16,"+#,##0;-#,##0")&amp;" t.kr."))</f>
        <v/>
      </c>
      <c r="D66" s="29">
        <f>IF('res_raw_38437011'!$D$16="","—",IF(ABS(D16-'res_raw_38437011'!$D$16)&lt;=1,"✓ OK","❌ "&amp;TEXT(D16-'res_raw_38437011'!$D$16,"+#,##0;-#,##0")&amp;"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Odense Havn A/S (CVR 38437011)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fsa:AccountingValueOfPropertyPlantAndEquipmentWhichWasRecognisedIfRevaluationHadNotBeenMade</t>
        </is>
      </c>
      <c r="C3" s="34" t="inlineStr">
        <is>
          <t>fsa:AccountingValueOfPropertyPlantAndEquipmentWhichWasRecognisedIfRevaluationHadNotBeenMade</t>
        </is>
      </c>
      <c r="D3" s="35" t="n"/>
      <c r="E3" s="35" t="n"/>
      <c r="F3" s="35" t="n">
        <v>1836290</v>
      </c>
      <c r="G3" s="35" t="n"/>
      <c r="H3" s="35" t="n"/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fsa:CashFlowsStatement</t>
        </is>
      </c>
      <c r="C4" s="37" t="inlineStr">
        <is>
          <t>fsa:CashFlowsStatement</t>
        </is>
      </c>
      <c r="D4" s="38" t="n"/>
      <c r="E4" s="38" t="n"/>
      <c r="F4" s="38" t="n"/>
      <c r="G4" s="38" t="n">
        <v>2</v>
      </c>
      <c r="H4" s="38" t="n"/>
      <c r="I4" s="39" t="inlineStr">
        <is>
          <t>Ingen forklaring tilgængelig.</t>
        </is>
      </c>
    </row>
    <row r="5" ht="30" customHeight="1">
      <c r="A5" s="34" t="inlineStr">
        <is>
          <t>Øvrige (ukendt)</t>
        </is>
      </c>
      <c r="B5" s="34" t="inlineStr">
        <is>
          <t>fsa:DepositsShorttermLiabilitiesOtherThanProvisions</t>
        </is>
      </c>
      <c r="C5" s="34" t="inlineStr">
        <is>
          <t>fsa:DepositsShorttermLiabilitiesOtherThanProvisions</t>
        </is>
      </c>
      <c r="D5" s="35" t="n">
        <v>8768</v>
      </c>
      <c r="E5" s="35" t="n">
        <v>12029</v>
      </c>
      <c r="F5" s="35" t="n">
        <v>12746</v>
      </c>
      <c r="G5" s="35" t="n">
        <v>18280</v>
      </c>
      <c r="H5" s="35" t="n">
        <v>17398</v>
      </c>
      <c r="I5" s="36" t="inlineStr">
        <is>
          <t>Ingen forklaring tilgængelig.</t>
        </is>
      </c>
    </row>
    <row r="6" ht="30" customHeight="1">
      <c r="A6" s="37" t="inlineStr">
        <is>
          <t>Øvrige (ukendt)</t>
        </is>
      </c>
      <c r="B6" s="37" t="inlineStr">
        <is>
          <t>fsa:ExchangeRateAdjustmentsOtherFinanceExpenses</t>
        </is>
      </c>
      <c r="C6" s="37" t="inlineStr">
        <is>
          <t>fsa:ExchangeRateAdjustmentsOtherFinanceExpenses</t>
        </is>
      </c>
      <c r="D6" s="38" t="n">
        <v>379</v>
      </c>
      <c r="E6" s="38" t="n"/>
      <c r="F6" s="38" t="n"/>
      <c r="G6" s="38" t="n"/>
      <c r="H6" s="38" t="n"/>
      <c r="I6" s="39" t="inlineStr">
        <is>
          <t>Ingen forklaring tilgængelig.</t>
        </is>
      </c>
    </row>
    <row r="7" ht="30" customHeight="1">
      <c r="A7" s="34" t="inlineStr">
        <is>
          <t>Øvrige (ukendt)</t>
        </is>
      </c>
      <c r="B7" s="34" t="inlineStr">
        <is>
          <t>fsa:FeesForAuditorsPerformingOtherAssuranceReports</t>
        </is>
      </c>
      <c r="C7" s="34" t="inlineStr">
        <is>
          <t>fsa:FeesForAuditorsPerformingOtherAssuranceReports</t>
        </is>
      </c>
      <c r="D7" s="35" t="n">
        <v>0</v>
      </c>
      <c r="E7" s="35" t="n"/>
      <c r="F7" s="35" t="n"/>
      <c r="G7" s="35" t="n">
        <v>80</v>
      </c>
      <c r="H7" s="35" t="n"/>
      <c r="I7" s="36" t="inlineStr">
        <is>
          <t>Ingen forklaring tilgængelig.</t>
        </is>
      </c>
    </row>
    <row r="8" ht="30" customHeight="1">
      <c r="A8" s="37" t="inlineStr">
        <is>
          <t>Øvrige (ukendt)</t>
        </is>
      </c>
      <c r="B8" s="37" t="inlineStr">
        <is>
          <t>fsa:GainsLossesFromCurrentValueAdjustmentsOfFinancialInstrumentsFinanceIncome</t>
        </is>
      </c>
      <c r="C8" s="37" t="inlineStr">
        <is>
          <t>fsa:GainsLossesFromCurrentValueAdjustmentsOfFinancialInstrumentsFinanceIncome</t>
        </is>
      </c>
      <c r="D8" s="38" t="n">
        <v>1090</v>
      </c>
      <c r="E8" s="38" t="n"/>
      <c r="F8" s="38" t="n"/>
      <c r="G8" s="38" t="n"/>
      <c r="H8" s="38" t="n"/>
      <c r="I8" s="39" t="inlineStr">
        <is>
          <t>Ingen forklaring tilgængelig.</t>
        </is>
      </c>
    </row>
    <row r="9" ht="30" customHeight="1">
      <c r="A9" s="34" t="inlineStr">
        <is>
          <t>Øvrige (ukendt)</t>
        </is>
      </c>
      <c r="B9" s="34" t="inlineStr">
        <is>
          <t>fsa:LongtermDeferredIncome</t>
        </is>
      </c>
      <c r="C9" s="34" t="inlineStr">
        <is>
          <t>fsa:LongtermDeferredIncome</t>
        </is>
      </c>
      <c r="D9" s="35" t="n">
        <v>13907</v>
      </c>
      <c r="E9" s="35" t="n">
        <v>20503</v>
      </c>
      <c r="F9" s="35" t="n">
        <v>19881</v>
      </c>
      <c r="G9" s="35" t="n">
        <v>19331</v>
      </c>
      <c r="H9" s="35" t="n">
        <v>18781</v>
      </c>
      <c r="I9" s="36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2026-10-01T22:19:04Z</dcterms:created>
  <dcterms:modified xmlns:dcterms="http://purl.org/dc/terms/" xmlns:xsi="http://www.w3.org/2001/XMLSchema-instance" xsi:type="dcterms:W3CDTF">2026-10-01T22:19:05Z</dcterms:modified>
</cp:coreProperties>
</file>