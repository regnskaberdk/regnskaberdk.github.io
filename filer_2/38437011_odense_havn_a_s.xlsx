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37011" sheetId="1" state="visible" r:id="rId1"/>
    <sheet xmlns:r="http://schemas.openxmlformats.org/officeDocument/2006/relationships" name="res_raw_38437011" sheetId="2" state="visible" r:id="rId2"/>
    <sheet xmlns:r="http://schemas.openxmlformats.org/officeDocument/2006/relationships" name="balance_raw_38437011" sheetId="3" state="visible" r:id="rId3"/>
    <sheet xmlns:r="http://schemas.openxmlformats.org/officeDocument/2006/relationships" name="pengestrom_raw_384370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Havn A/S (CVR 38437011)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'res_raw_38437011'!$B$2</f>
        <v/>
      </c>
      <c r="C4" s="5">
        <f>'res_raw_38437011'!$C$2</f>
        <v/>
      </c>
      <c r="D4" s="5">
        <f>'res_raw_38437011'!$D$2</f>
        <v/>
      </c>
      <c r="E4" s="5">
        <f>'res_raw_38437011'!$E$2</f>
        <v/>
      </c>
      <c r="F4" s="5">
        <f>'res_raw_38437011'!$F$2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'res_raw_38437011'!$B$3</f>
        <v/>
      </c>
      <c r="C5" s="8">
        <f>'res_raw_38437011'!$C$3</f>
        <v/>
      </c>
      <c r="D5" s="8">
        <f>'res_raw_38437011'!$D$3</f>
        <v/>
      </c>
      <c r="E5" s="8">
        <f>'res_raw_38437011'!$E$3</f>
        <v/>
      </c>
      <c r="F5" s="8">
        <f>'res_raw_38437011'!$F$3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'res_raw_38437011'!$B$4</f>
        <v/>
      </c>
      <c r="C6" s="5">
        <f>'res_raw_38437011'!$C$4</f>
        <v/>
      </c>
      <c r="D6" s="5">
        <f>'res_raw_38437011'!$D$4</f>
        <v/>
      </c>
      <c r="E6" s="5">
        <f>'res_raw_38437011'!$E$4</f>
        <v/>
      </c>
      <c r="F6" s="5">
        <f>'res_raw_38437011'!$F$4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'res_raw_38437011'!$B$5</f>
        <v/>
      </c>
      <c r="C7" s="8">
        <f>'res_raw_38437011'!$C$5</f>
        <v/>
      </c>
      <c r="D7" s="8">
        <f>'res_raw_38437011'!$D$5</f>
        <v/>
      </c>
      <c r="E7" s="8">
        <f>'res_raw_38437011'!$E$5</f>
        <v/>
      </c>
      <c r="F7" s="8">
        <f>'res_raw_38437011'!$F$5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'res_raw_38437011'!$B$6</f>
        <v/>
      </c>
      <c r="C8" s="11">
        <f>'res_raw_38437011'!$C$6</f>
        <v/>
      </c>
      <c r="D8" s="11">
        <f>'res_raw_38437011'!$D$6</f>
        <v/>
      </c>
      <c r="E8" s="11">
        <f>'res_raw_38437011'!$E$6</f>
        <v/>
      </c>
      <c r="F8" s="11">
        <f>'res_raw_38437011'!$F$6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'res_raw_38437011'!$B$7</f>
        <v/>
      </c>
      <c r="C9" s="8">
        <f>'res_raw_38437011'!$C$7</f>
        <v/>
      </c>
      <c r="D9" s="8">
        <f>'res_raw_38437011'!$D$7</f>
        <v/>
      </c>
      <c r="E9" s="8">
        <f>'res_raw_38437011'!$E$7</f>
        <v/>
      </c>
      <c r="F9" s="8">
        <f>'res_raw_38437011'!$F$7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'res_raw_38437011'!$B$9</f>
        <v/>
      </c>
      <c r="C11" s="8">
        <f>'res_raw_38437011'!$C$9</f>
        <v/>
      </c>
      <c r="D11" s="8">
        <f>'res_raw_38437011'!$D$9</f>
        <v/>
      </c>
      <c r="E11" s="8">
        <f>'res_raw_38437011'!$E$9</f>
        <v/>
      </c>
      <c r="F11" s="8">
        <f>'res_raw_38437011'!$F$9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'res_raw_38437011'!$B$10</f>
        <v/>
      </c>
      <c r="C12" s="5">
        <f>'res_raw_38437011'!$C$10</f>
        <v/>
      </c>
      <c r="D12" s="5">
        <f>'res_raw_38437011'!$D$10</f>
        <v/>
      </c>
      <c r="E12" s="5">
        <f>'res_raw_38437011'!$E$10</f>
        <v/>
      </c>
      <c r="F12" s="5">
        <f>'res_raw_38437011'!$F$10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'res_raw_38437011'!$B$11</f>
        <v/>
      </c>
      <c r="C13" s="11">
        <f>'res_raw_38437011'!$C$11</f>
        <v/>
      </c>
      <c r="D13" s="11">
        <f>'res_raw_38437011'!$D$11</f>
        <v/>
      </c>
      <c r="E13" s="11">
        <f>'res_raw_38437011'!$E$11</f>
        <v/>
      </c>
      <c r="F13" s="11">
        <f>'res_raw_38437011'!$F$11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'res_raw_38437011'!$B$12</f>
        <v/>
      </c>
      <c r="C14" s="5">
        <f>'res_raw_38437011'!$C$12</f>
        <v/>
      </c>
      <c r="D14" s="5">
        <f>'res_raw_38437011'!$D$12</f>
        <v/>
      </c>
      <c r="E14" s="5">
        <f>'res_raw_38437011'!$E$12</f>
        <v/>
      </c>
      <c r="F14" s="5">
        <f>'res_raw_38437011'!$F$12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'res_raw_38437011'!$B$13</f>
        <v/>
      </c>
      <c r="C15" s="8">
        <f>'res_raw_38437011'!$C$13</f>
        <v/>
      </c>
      <c r="D15" s="8">
        <f>'res_raw_38437011'!$D$13</f>
        <v/>
      </c>
      <c r="E15" s="8">
        <f>'res_raw_38437011'!$E$13</f>
        <v/>
      </c>
      <c r="F15" s="8">
        <f>'res_raw_38437011'!$F$13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'res_raw_38437011'!$B$14</f>
        <v/>
      </c>
      <c r="C16" s="5">
        <f>'res_raw_38437011'!$C$14</f>
        <v/>
      </c>
      <c r="D16" s="5">
        <f>'res_raw_38437011'!$D$14</f>
        <v/>
      </c>
      <c r="E16" s="5">
        <f>'res_raw_38437011'!$E$14</f>
        <v/>
      </c>
      <c r="F16" s="5">
        <f>'res_raw_38437011'!$F$14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'res_raw_38437011'!$B$15</f>
        <v/>
      </c>
      <c r="C17" s="11">
        <f>'res_raw_38437011'!$C$15</f>
        <v/>
      </c>
      <c r="D17" s="11">
        <f>'res_raw_38437011'!$D$15</f>
        <v/>
      </c>
      <c r="E17" s="11">
        <f>'res_raw_38437011'!$E$15</f>
        <v/>
      </c>
      <c r="F17" s="11">
        <f>'res_raw_38437011'!$F$15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'res_raw_38437011'!$B$16</f>
        <v/>
      </c>
      <c r="C18" s="11">
        <f>'res_raw_38437011'!$C$16</f>
        <v/>
      </c>
      <c r="D18" s="11">
        <f>'res_raw_38437011'!$D$16</f>
        <v/>
      </c>
      <c r="E18" s="11">
        <f>'res_raw_38437011'!$E$16</f>
        <v/>
      </c>
      <c r="F18" s="11">
        <f>'res_raw_38437011'!$F$16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'res_raw_38437011'!$B$17</f>
        <v/>
      </c>
      <c r="C19" s="8">
        <f>'res_raw_38437011'!$C$17</f>
        <v/>
      </c>
      <c r="D19" s="8">
        <f>'res_raw_38437011'!$D$17</f>
        <v/>
      </c>
      <c r="E19" s="8">
        <f>'res_raw_38437011'!$E$17</f>
        <v/>
      </c>
      <c r="F19" s="8">
        <f>'res_raw_38437011'!$F$17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'res_raw_38437011'!$B$18</f>
        <v/>
      </c>
      <c r="C20" s="11">
        <f>'res_raw_38437011'!$C$18</f>
        <v/>
      </c>
      <c r="D20" s="11">
        <f>'res_raw_38437011'!$D$18</f>
        <v/>
      </c>
      <c r="E20" s="11">
        <f>'res_raw_38437011'!$E$18</f>
        <v/>
      </c>
      <c r="F20" s="11">
        <f>'res_raw_38437011'!$F$18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'balance_raw_38437011'!$B$2</f>
        <v/>
      </c>
      <c r="C23" s="8">
        <f>'balance_raw_38437011'!$C$2</f>
        <v/>
      </c>
      <c r="D23" s="8">
        <f>'balance_raw_38437011'!$D$2</f>
        <v/>
      </c>
      <c r="E23" s="8">
        <f>'balance_raw_38437011'!$E$2</f>
        <v/>
      </c>
      <c r="F23" s="8">
        <f>'balance_raw_38437011'!$F$2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'balance_raw_38437011'!$B$3</f>
        <v/>
      </c>
      <c r="C24" s="5">
        <f>'balance_raw_38437011'!$C$3</f>
        <v/>
      </c>
      <c r="D24" s="5">
        <f>'balance_raw_38437011'!$D$3</f>
        <v/>
      </c>
      <c r="E24" s="5">
        <f>'balance_raw_38437011'!$E$3</f>
        <v/>
      </c>
      <c r="F24" s="5">
        <f>'balance_raw_38437011'!$F$3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'balance_raw_38437011'!$B$4</f>
        <v/>
      </c>
      <c r="C25" s="8">
        <f>'balance_raw_38437011'!$C$4</f>
        <v/>
      </c>
      <c r="D25" s="8">
        <f>'balance_raw_38437011'!$D$4</f>
        <v/>
      </c>
      <c r="E25" s="8">
        <f>'balance_raw_38437011'!$E$4</f>
        <v/>
      </c>
      <c r="F25" s="8">
        <f>'balance_raw_38437011'!$F$4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'balance_raw_38437011'!$B$5</f>
        <v/>
      </c>
      <c r="C26" s="5">
        <f>'balance_raw_38437011'!$C$5</f>
        <v/>
      </c>
      <c r="D26" s="5">
        <f>'balance_raw_38437011'!$D$5</f>
        <v/>
      </c>
      <c r="E26" s="5">
        <f>'balance_raw_38437011'!$E$5</f>
        <v/>
      </c>
      <c r="F26" s="5">
        <f>'balance_raw_38437011'!$F$5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'balance_raw_38437011'!$B$6</f>
        <v/>
      </c>
      <c r="C27" s="8">
        <f>'balance_raw_38437011'!$C$6</f>
        <v/>
      </c>
      <c r="D27" s="8">
        <f>'balance_raw_38437011'!$D$6</f>
        <v/>
      </c>
      <c r="E27" s="8">
        <f>'balance_raw_38437011'!$E$6</f>
        <v/>
      </c>
      <c r="F27" s="8">
        <f>'balance_raw_38437011'!$F$6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'balance_raw_38437011'!$B$7</f>
        <v/>
      </c>
      <c r="C28" s="11">
        <f>'balance_raw_38437011'!$C$7</f>
        <v/>
      </c>
      <c r="D28" s="11">
        <f>'balance_raw_38437011'!$D$7</f>
        <v/>
      </c>
      <c r="E28" s="11">
        <f>'balance_raw_38437011'!$E$7</f>
        <v/>
      </c>
      <c r="F28" s="11">
        <f>'balance_raw_38437011'!$F$7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'balance_raw_38437011'!$B$8</f>
        <v/>
      </c>
      <c r="C29" s="11">
        <f>'balance_raw_38437011'!$C$8</f>
        <v/>
      </c>
      <c r="D29" s="11">
        <f>'balance_raw_38437011'!$D$8</f>
        <v/>
      </c>
      <c r="E29" s="11">
        <f>'balance_raw_38437011'!$E$8</f>
        <v/>
      </c>
      <c r="F29" s="11">
        <f>'balance_raw_38437011'!$F$8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'balance_raw_38437011'!$B$9</f>
        <v/>
      </c>
      <c r="C30" s="5">
        <f>'balance_raw_38437011'!$C$9</f>
        <v/>
      </c>
      <c r="D30" s="5">
        <f>'balance_raw_38437011'!$D$9</f>
        <v/>
      </c>
      <c r="E30" s="5">
        <f>'balance_raw_38437011'!$E$9</f>
        <v/>
      </c>
      <c r="F30" s="5">
        <f>'balance_raw_38437011'!$F$9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'balance_raw_38437011'!$B$10</f>
        <v/>
      </c>
      <c r="C31" s="8">
        <f>'balance_raw_38437011'!$C$10</f>
        <v/>
      </c>
      <c r="D31" s="8">
        <f>'balance_raw_38437011'!$D$10</f>
        <v/>
      </c>
      <c r="E31" s="8">
        <f>'balance_raw_38437011'!$E$10</f>
        <v/>
      </c>
      <c r="F31" s="8">
        <f>'balance_raw_38437011'!$F$10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'balance_raw_38437011'!$B$11</f>
        <v/>
      </c>
      <c r="C32" s="5">
        <f>'balance_raw_38437011'!$C$11</f>
        <v/>
      </c>
      <c r="D32" s="5">
        <f>'balance_raw_38437011'!$D$11</f>
        <v/>
      </c>
      <c r="E32" s="5">
        <f>'balance_raw_38437011'!$E$11</f>
        <v/>
      </c>
      <c r="F32" s="5">
        <f>'balance_raw_38437011'!$F$11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'balance_raw_38437011'!$B$12</f>
        <v/>
      </c>
      <c r="C33" s="8">
        <f>'balance_raw_38437011'!$C$12</f>
        <v/>
      </c>
      <c r="D33" s="8">
        <f>'balance_raw_38437011'!$D$12</f>
        <v/>
      </c>
      <c r="E33" s="8">
        <f>'balance_raw_38437011'!$E$12</f>
        <v/>
      </c>
      <c r="F33" s="8">
        <f>'balance_raw_38437011'!$F$12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'balance_raw_38437011'!$B$13</f>
        <v/>
      </c>
      <c r="C34" s="5">
        <f>'balance_raw_38437011'!$C$13</f>
        <v/>
      </c>
      <c r="D34" s="5">
        <f>'balance_raw_38437011'!$D$13</f>
        <v/>
      </c>
      <c r="E34" s="5">
        <f>'balance_raw_38437011'!$E$13</f>
        <v/>
      </c>
      <c r="F34" s="5">
        <f>'balance_raw_38437011'!$F$13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'balance_raw_38437011'!$B$14</f>
        <v/>
      </c>
      <c r="C35" s="8">
        <f>'balance_raw_38437011'!$C$14</f>
        <v/>
      </c>
      <c r="D35" s="8">
        <f>'balance_raw_38437011'!$D$14</f>
        <v/>
      </c>
      <c r="E35" s="8">
        <f>'balance_raw_38437011'!$E$14</f>
        <v/>
      </c>
      <c r="F35" s="8">
        <f>'balance_raw_38437011'!$F$14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'balance_raw_38437011'!$B$15</f>
        <v/>
      </c>
      <c r="C36" s="5">
        <f>'balance_raw_38437011'!$C$15</f>
        <v/>
      </c>
      <c r="D36" s="5">
        <f>'balance_raw_38437011'!$D$15</f>
        <v/>
      </c>
      <c r="E36" s="5">
        <f>'balance_raw_38437011'!$E$15</f>
        <v/>
      </c>
      <c r="F36" s="5">
        <f>'balance_raw_38437011'!$F$15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'balance_raw_38437011'!$B$16</f>
        <v/>
      </c>
      <c r="C37" s="11">
        <f>'balance_raw_38437011'!$C$16</f>
        <v/>
      </c>
      <c r="D37" s="11">
        <f>'balance_raw_38437011'!$D$16</f>
        <v/>
      </c>
      <c r="E37" s="11">
        <f>'balance_raw_38437011'!$E$16</f>
        <v/>
      </c>
      <c r="F37" s="11">
        <f>'balance_raw_38437011'!$F$16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'balance_raw_38437011'!$B$17</f>
        <v/>
      </c>
      <c r="C38" s="5">
        <f>'balance_raw_38437011'!$C$17</f>
        <v/>
      </c>
      <c r="D38" s="5">
        <f>'balance_raw_38437011'!$D$17</f>
        <v/>
      </c>
      <c r="E38" s="5">
        <f>'balance_raw_38437011'!$E$17</f>
        <v/>
      </c>
      <c r="F38" s="5">
        <f>'balance_raw_38437011'!$F$17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'balance_raw_38437011'!$B$18</f>
        <v/>
      </c>
      <c r="C39" s="8">
        <f>'balance_raw_38437011'!$C$18</f>
        <v/>
      </c>
      <c r="D39" s="8">
        <f>'balance_raw_38437011'!$D$18</f>
        <v/>
      </c>
      <c r="E39" s="8">
        <f>'balance_raw_38437011'!$E$18</f>
        <v/>
      </c>
      <c r="F39" s="8">
        <f>'balance_raw_38437011'!$F$18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'balance_raw_38437011'!$B$19</f>
        <v/>
      </c>
      <c r="C40" s="11">
        <f>'balance_raw_38437011'!$C$19</f>
        <v/>
      </c>
      <c r="D40" s="11">
        <f>'balance_raw_38437011'!$D$19</f>
        <v/>
      </c>
      <c r="E40" s="11">
        <f>'balance_raw_38437011'!$E$19</f>
        <v/>
      </c>
      <c r="F40" s="11">
        <f>'balance_raw_38437011'!$F$19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'balance_raw_38437011'!$B$20</f>
        <v/>
      </c>
      <c r="C41" s="11">
        <f>'balance_raw_38437011'!$C$20</f>
        <v/>
      </c>
      <c r="D41" s="11">
        <f>'balance_raw_38437011'!$D$20</f>
        <v/>
      </c>
      <c r="E41" s="11">
        <f>'balance_raw_38437011'!$E$20</f>
        <v/>
      </c>
      <c r="F41" s="11">
        <f>'balance_raw_38437011'!$F$20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'balance_raw_38437011'!$B$21</f>
        <v/>
      </c>
      <c r="C44" s="5">
        <f>'balance_raw_38437011'!$C$21</f>
        <v/>
      </c>
      <c r="D44" s="5">
        <f>'balance_raw_38437011'!$D$21</f>
        <v/>
      </c>
      <c r="E44" s="5">
        <f>'balance_raw_38437011'!$E$21</f>
        <v/>
      </c>
      <c r="F44" s="5">
        <f>'balance_raw_38437011'!$F$21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'balance_raw_38437011'!$B$22</f>
        <v/>
      </c>
      <c r="C45" s="8">
        <f>'balance_raw_38437011'!$C$22</f>
        <v/>
      </c>
      <c r="D45" s="8">
        <f>'balance_raw_38437011'!$D$22</f>
        <v/>
      </c>
      <c r="E45" s="8">
        <f>'balance_raw_38437011'!$E$22</f>
        <v/>
      </c>
      <c r="F45" s="8">
        <f>'balance_raw_38437011'!$F$22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'balance_raw_38437011'!$B$23</f>
        <v/>
      </c>
      <c r="C46" s="5">
        <f>'balance_raw_38437011'!$C$23</f>
        <v/>
      </c>
      <c r="D46" s="5">
        <f>'balance_raw_38437011'!$D$23</f>
        <v/>
      </c>
      <c r="E46" s="5">
        <f>'balance_raw_38437011'!$E$23</f>
        <v/>
      </c>
      <c r="F46" s="5">
        <f>'balance_raw_38437011'!$F$23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'balance_raw_38437011'!$B$24</f>
        <v/>
      </c>
      <c r="C47" s="8">
        <f>'balance_raw_38437011'!$C$24</f>
        <v/>
      </c>
      <c r="D47" s="8">
        <f>'balance_raw_38437011'!$D$24</f>
        <v/>
      </c>
      <c r="E47" s="8">
        <f>'balance_raw_38437011'!$E$24</f>
        <v/>
      </c>
      <c r="F47" s="8">
        <f>'balance_raw_38437011'!$F$24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'balance_raw_38437011'!$B$25</f>
        <v/>
      </c>
      <c r="C48" s="5">
        <f>'balance_raw_38437011'!$C$25</f>
        <v/>
      </c>
      <c r="D48" s="5">
        <f>'balance_raw_38437011'!$D$25</f>
        <v/>
      </c>
      <c r="E48" s="5">
        <f>'balance_raw_38437011'!$E$25</f>
        <v/>
      </c>
      <c r="F48" s="5">
        <f>'balance_raw_38437011'!$F$25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'balance_raw_38437011'!$B$26</f>
        <v/>
      </c>
      <c r="C49" s="8">
        <f>'balance_raw_38437011'!$C$26</f>
        <v/>
      </c>
      <c r="D49" s="8">
        <f>'balance_raw_38437011'!$D$26</f>
        <v/>
      </c>
      <c r="E49" s="8">
        <f>'balance_raw_38437011'!$E$26</f>
        <v/>
      </c>
      <c r="F49" s="8">
        <f>'balance_raw_38437011'!$F$26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'balance_raw_38437011'!$B$27</f>
        <v/>
      </c>
      <c r="C50" s="11">
        <f>'balance_raw_38437011'!$C$27</f>
        <v/>
      </c>
      <c r="D50" s="11">
        <f>'balance_raw_38437011'!$D$27</f>
        <v/>
      </c>
      <c r="E50" s="11">
        <f>'balance_raw_38437011'!$E$27</f>
        <v/>
      </c>
      <c r="F50" s="11">
        <f>'balance_raw_38437011'!$F$27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'balance_raw_38437011'!$B$28</f>
        <v/>
      </c>
      <c r="C51" s="11">
        <f>'balance_raw_38437011'!$C$28</f>
        <v/>
      </c>
      <c r="D51" s="11">
        <f>'balance_raw_38437011'!$D$28</f>
        <v/>
      </c>
      <c r="E51" s="11">
        <f>'balance_raw_38437011'!$E$28</f>
        <v/>
      </c>
      <c r="F51" s="11">
        <f>'balance_raw_38437011'!$F$28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'balance_raw_38437011'!$B$29</f>
        <v/>
      </c>
      <c r="C52" s="5">
        <f>'balance_raw_38437011'!$C$29</f>
        <v/>
      </c>
      <c r="D52" s="5">
        <f>'balance_raw_38437011'!$D$29</f>
        <v/>
      </c>
      <c r="E52" s="5">
        <f>'balance_raw_38437011'!$E$29</f>
        <v/>
      </c>
      <c r="F52" s="5">
        <f>'balance_raw_38437011'!$F$29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'balance_raw_38437011'!$B$30</f>
        <v/>
      </c>
      <c r="C53" s="8">
        <f>'balance_raw_38437011'!$C$30</f>
        <v/>
      </c>
      <c r="D53" s="8">
        <f>'balance_raw_38437011'!$D$30</f>
        <v/>
      </c>
      <c r="E53" s="8">
        <f>'balance_raw_38437011'!$E$30</f>
        <v/>
      </c>
      <c r="F53" s="8">
        <f>'balance_raw_38437011'!$F$30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'balance_raw_38437011'!$B$31</f>
        <v/>
      </c>
      <c r="C54" s="5">
        <f>'balance_raw_38437011'!$C$31</f>
        <v/>
      </c>
      <c r="D54" s="5">
        <f>'balance_raw_38437011'!$D$31</f>
        <v/>
      </c>
      <c r="E54" s="5">
        <f>'balance_raw_38437011'!$E$31</f>
        <v/>
      </c>
      <c r="F54" s="5">
        <f>'balance_raw_38437011'!$F$31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'balance_raw_38437011'!$B$32</f>
        <v/>
      </c>
      <c r="C55" s="8">
        <f>'balance_raw_38437011'!$C$32</f>
        <v/>
      </c>
      <c r="D55" s="8">
        <f>'balance_raw_38437011'!$D$32</f>
        <v/>
      </c>
      <c r="E55" s="8">
        <f>'balance_raw_38437011'!$E$32</f>
        <v/>
      </c>
      <c r="F55" s="8">
        <f>'balance_raw_38437011'!$F$32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'balance_raw_38437011'!$B$33</f>
        <v/>
      </c>
      <c r="C56" s="11">
        <f>'balance_raw_38437011'!$C$33</f>
        <v/>
      </c>
      <c r="D56" s="11">
        <f>'balance_raw_38437011'!$D$33</f>
        <v/>
      </c>
      <c r="E56" s="11">
        <f>'balance_raw_38437011'!$E$33</f>
        <v/>
      </c>
      <c r="F56" s="11">
        <f>'balance_raw_38437011'!$F$33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'balance_raw_38437011'!$B$34</f>
        <v/>
      </c>
      <c r="C57" s="8">
        <f>'balance_raw_38437011'!$C$34</f>
        <v/>
      </c>
      <c r="D57" s="8">
        <f>'balance_raw_38437011'!$D$34</f>
        <v/>
      </c>
      <c r="E57" s="8">
        <f>'balance_raw_38437011'!$E$34</f>
        <v/>
      </c>
      <c r="F57" s="8">
        <f>'balance_raw_38437011'!$F$34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'balance_raw_38437011'!$B$35</f>
        <v/>
      </c>
      <c r="C58" s="5">
        <f>'balance_raw_38437011'!$C$35</f>
        <v/>
      </c>
      <c r="D58" s="5">
        <f>'balance_raw_38437011'!$D$35</f>
        <v/>
      </c>
      <c r="E58" s="5">
        <f>'balance_raw_38437011'!$E$35</f>
        <v/>
      </c>
      <c r="F58" s="5">
        <f>'balance_raw_38437011'!$F$35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'balance_raw_38437011'!$B$36</f>
        <v/>
      </c>
      <c r="C59" s="8">
        <f>'balance_raw_38437011'!$C$36</f>
        <v/>
      </c>
      <c r="D59" s="8">
        <f>'balance_raw_38437011'!$D$36</f>
        <v/>
      </c>
      <c r="E59" s="8">
        <f>'balance_raw_38437011'!$E$36</f>
        <v/>
      </c>
      <c r="F59" s="8">
        <f>'balance_raw_38437011'!$F$36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'balance_raw_38437011'!$B$37</f>
        <v/>
      </c>
      <c r="C60" s="5">
        <f>'balance_raw_38437011'!$C$37</f>
        <v/>
      </c>
      <c r="D60" s="5">
        <f>'balance_raw_38437011'!$D$37</f>
        <v/>
      </c>
      <c r="E60" s="5">
        <f>'balance_raw_38437011'!$E$37</f>
        <v/>
      </c>
      <c r="F60" s="5">
        <f>'balance_raw_38437011'!$F$37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'balance_raw_38437011'!$B$38</f>
        <v/>
      </c>
      <c r="C61" s="8">
        <f>'balance_raw_38437011'!$C$38</f>
        <v/>
      </c>
      <c r="D61" s="8">
        <f>'balance_raw_38437011'!$D$38</f>
        <v/>
      </c>
      <c r="E61" s="8">
        <f>'balance_raw_38437011'!$E$38</f>
        <v/>
      </c>
      <c r="F61" s="8">
        <f>'balance_raw_38437011'!$F$38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'balance_raw_38437011'!$B$39</f>
        <v/>
      </c>
      <c r="C62" s="5">
        <f>'balance_raw_38437011'!$C$39</f>
        <v/>
      </c>
      <c r="D62" s="5">
        <f>'balance_raw_38437011'!$D$39</f>
        <v/>
      </c>
      <c r="E62" s="5">
        <f>'balance_raw_38437011'!$E$39</f>
        <v/>
      </c>
      <c r="F62" s="5">
        <f>'balance_raw_38437011'!$F$39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'balance_raw_38437011'!$B$40</f>
        <v/>
      </c>
      <c r="C63" s="8">
        <f>'balance_raw_38437011'!$C$40</f>
        <v/>
      </c>
      <c r="D63" s="8">
        <f>'balance_raw_38437011'!$D$40</f>
        <v/>
      </c>
      <c r="E63" s="8">
        <f>'balance_raw_38437011'!$E$40</f>
        <v/>
      </c>
      <c r="F63" s="8">
        <f>'balance_raw_38437011'!$F$40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'balance_raw_38437011'!$B$41</f>
        <v/>
      </c>
      <c r="C64" s="5">
        <f>'balance_raw_38437011'!$C$41</f>
        <v/>
      </c>
      <c r="D64" s="5">
        <f>'balance_raw_38437011'!$D$41</f>
        <v/>
      </c>
      <c r="E64" s="5">
        <f>'balance_raw_38437011'!$E$41</f>
        <v/>
      </c>
      <c r="F64" s="5">
        <f>'balance_raw_38437011'!$F$41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'balance_raw_38437011'!$B$42</f>
        <v/>
      </c>
      <c r="C65" s="8">
        <f>'balance_raw_38437011'!$C$42</f>
        <v/>
      </c>
      <c r="D65" s="8">
        <f>'balance_raw_38437011'!$D$42</f>
        <v/>
      </c>
      <c r="E65" s="8">
        <f>'balance_raw_38437011'!$E$42</f>
        <v/>
      </c>
      <c r="F65" s="8">
        <f>'balance_raw_38437011'!$F$42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'balance_raw_38437011'!$B$43</f>
        <v/>
      </c>
      <c r="C66" s="5">
        <f>'balance_raw_38437011'!$C$43</f>
        <v/>
      </c>
      <c r="D66" s="5">
        <f>'balance_raw_38437011'!$D$43</f>
        <v/>
      </c>
      <c r="E66" s="5">
        <f>'balance_raw_38437011'!$E$43</f>
        <v/>
      </c>
      <c r="F66" s="5">
        <f>'balance_raw_38437011'!$F$43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'balance_raw_38437011'!$B$44</f>
        <v/>
      </c>
      <c r="C67" s="8">
        <f>'balance_raw_38437011'!$C$44</f>
        <v/>
      </c>
      <c r="D67" s="8">
        <f>'balance_raw_38437011'!$D$44</f>
        <v/>
      </c>
      <c r="E67" s="8">
        <f>'balance_raw_38437011'!$E$44</f>
        <v/>
      </c>
      <c r="F67" s="8">
        <f>'balance_raw_38437011'!$F$44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'balance_raw_38437011'!$B$45</f>
        <v/>
      </c>
      <c r="C68" s="11">
        <f>'balance_raw_38437011'!$C$45</f>
        <v/>
      </c>
      <c r="D68" s="11">
        <f>'balance_raw_38437011'!$D$45</f>
        <v/>
      </c>
      <c r="E68" s="11">
        <f>'balance_raw_38437011'!$E$45</f>
        <v/>
      </c>
      <c r="F68" s="11">
        <f>'balance_raw_38437011'!$F$45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'balance_raw_38437011'!$B$46</f>
        <v/>
      </c>
      <c r="C69" s="11">
        <f>'balance_raw_38437011'!$C$46</f>
        <v/>
      </c>
      <c r="D69" s="11">
        <f>'balance_raw_38437011'!$D$46</f>
        <v/>
      </c>
      <c r="E69" s="11">
        <f>'balance_raw_38437011'!$E$46</f>
        <v/>
      </c>
      <c r="F69" s="11">
        <f>'balance_raw_38437011'!$F$46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'balance_raw_38437011'!$B$47</f>
        <v/>
      </c>
      <c r="C70" s="11">
        <f>'balance_raw_38437011'!$C$47</f>
        <v/>
      </c>
      <c r="D70" s="11">
        <f>'balance_raw_38437011'!$D$47</f>
        <v/>
      </c>
      <c r="E70" s="11">
        <f>'balance_raw_38437011'!$E$47</f>
        <v/>
      </c>
      <c r="F70" s="11">
        <f>'balance_raw_38437011'!$F$47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Gns. antal medarbejdere</t>
        </is>
      </c>
      <c r="B73" s="8">
        <f>'res_raw_38437011'!$B$19</f>
        <v/>
      </c>
      <c r="C73" s="8">
        <f>'res_raw_38437011'!$C$19</f>
        <v/>
      </c>
      <c r="D73" s="8">
        <f>'res_raw_38437011'!$D$19</f>
        <v/>
      </c>
      <c r="E73" s="8">
        <f>'res_raw_38437011'!$E$19</f>
        <v/>
      </c>
      <c r="F73" s="8">
        <f>'res_raw_38437011'!$F$19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'res_raw_38437011'!$B$20</f>
        <v/>
      </c>
      <c r="C74" s="5">
        <f>'res_raw_38437011'!$C$20</f>
        <v/>
      </c>
      <c r="D74" s="5">
        <f>'res_raw_38437011'!$D$20</f>
        <v/>
      </c>
      <c r="E74" s="5">
        <f>'res_raw_38437011'!$E$20</f>
        <v/>
      </c>
      <c r="F74" s="5">
        <f>'res_raw_38437011'!$F$20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IFERROR($B$29/($B$50+$B$56)*100,"")</f>
        <v/>
      </c>
      <c r="C87" s="13">
        <f>IFERROR($C$29/($C$50+$C$56)*100,"")</f>
        <v/>
      </c>
      <c r="D87" s="13">
        <f>IFERROR($D$29/($D$50+$D$56)*100,"")</f>
        <v/>
      </c>
      <c r="E87" s="13">
        <f>IFERROR($E$29/($E$50+$E$56)*100,"")</f>
        <v/>
      </c>
      <c r="F87" s="13">
        <f>IFERROR($F$29/($F$50+$F$56)*100,"")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'pengestrom_raw_38437011'!$B$2</f>
        <v/>
      </c>
      <c r="C90" s="17">
        <f>'pengestrom_raw_38437011'!$C$2</f>
        <v/>
      </c>
      <c r="D90" s="17">
        <f>'pengestrom_raw_38437011'!$D$2</f>
        <v/>
      </c>
      <c r="E90" s="17">
        <f>'pengestrom_raw_38437011'!$E$2</f>
        <v/>
      </c>
      <c r="F90" s="17">
        <f>'pengestrom_raw_38437011'!$F$2</f>
        <v/>
      </c>
    </row>
    <row r="91">
      <c r="A91" s="16" t="inlineStr">
        <is>
          <t>Pengestrømme fra investeringsaktivitet</t>
        </is>
      </c>
      <c r="B91" s="17">
        <f>'pengestrom_raw_38437011'!$B$3</f>
        <v/>
      </c>
      <c r="C91" s="17">
        <f>'pengestrom_raw_38437011'!$C$3</f>
        <v/>
      </c>
      <c r="D91" s="17">
        <f>'pengestrom_raw_38437011'!$D$3</f>
        <v/>
      </c>
      <c r="E91" s="17">
        <f>'pengestrom_raw_38437011'!$E$3</f>
        <v/>
      </c>
      <c r="F91" s="17">
        <f>'pengestrom_raw_38437011'!$F$3</f>
        <v/>
      </c>
    </row>
    <row r="92">
      <c r="A92" s="16" t="inlineStr">
        <is>
          <t>Pengestrømme fra finansieringsaktivitet</t>
        </is>
      </c>
      <c r="B92" s="17">
        <f>'pengestrom_raw_38437011'!$B$4</f>
        <v/>
      </c>
      <c r="C92" s="17">
        <f>'pengestrom_raw_38437011'!$C$4</f>
        <v/>
      </c>
      <c r="D92" s="17">
        <f>'pengestrom_raw_38437011'!$D$4</f>
        <v/>
      </c>
      <c r="E92" s="17">
        <f>'pengestrom_raw_38437011'!$E$4</f>
        <v/>
      </c>
      <c r="F92" s="17">
        <f>'pengestrom_raw_38437011'!$F$4</f>
        <v/>
      </c>
    </row>
    <row r="93">
      <c r="A93" s="16" t="inlineStr">
        <is>
          <t>Årets pengestrøm (rapporteret)</t>
        </is>
      </c>
      <c r="B93" s="17">
        <f>'pengestrom_raw_38437011'!$B$5</f>
        <v/>
      </c>
      <c r="C93" s="17">
        <f>'pengestrom_raw_38437011'!$C$5</f>
        <v/>
      </c>
      <c r="D93" s="17">
        <f>'pengestrom_raw_38437011'!$D$5</f>
        <v/>
      </c>
      <c r="E93" s="17">
        <f>'pengestrom_raw_38437011'!$E$5</f>
        <v/>
      </c>
      <c r="F93" s="17">
        <f>'pengestrom_raw_38437011'!$F$5</f>
        <v/>
      </c>
    </row>
    <row r="94">
      <c r="A94" s="16" t="inlineStr">
        <is>
          <t>Krydstjek: drift + inv. + fin. = årets pengestrøm</t>
        </is>
      </c>
      <c r="B94">
        <f>IF(ABS(('pengestrom_raw_38437011'!$B$2+'pengestrom_raw_38437011'!$B$3+'pengestrom_raw_38437011'!$B$4)-'pengestrom_raw_38437011'!$B$5)&lt;=2,"✓","⚠ "&amp;TEXT(('pengestrom_raw_38437011'!$B$2+'pengestrom_raw_38437011'!$B$3+'pengestrom_raw_38437011'!$B$4)-'pengestrom_raw_38437011'!$B$5,"+#,##0;-#,##0"))</f>
        <v/>
      </c>
      <c r="C94">
        <f>IF(ABS(('pengestrom_raw_38437011'!$C$2+'pengestrom_raw_38437011'!$C$3+'pengestrom_raw_38437011'!$C$4)-'pengestrom_raw_38437011'!$C$5)&lt;=2,"✓","⚠ "&amp;TEXT(('pengestrom_raw_38437011'!$C$2+'pengestrom_raw_38437011'!$C$3+'pengestrom_raw_38437011'!$C$4)-'pengestrom_raw_38437011'!$C$5,"+#,##0;-#,##0"))</f>
        <v/>
      </c>
      <c r="D94">
        <f>IF(ABS(('pengestrom_raw_38437011'!$D$2+'pengestrom_raw_38437011'!$D$3+'pengestrom_raw_38437011'!$D$4)-'pengestrom_raw_38437011'!$D$5)&lt;=2,"✓","⚠ "&amp;TEXT(('pengestrom_raw_38437011'!$D$2+'pengestrom_raw_38437011'!$D$3+'pengestrom_raw_38437011'!$D$4)-'pengestrom_raw_38437011'!$D$5,"+#,##0;-#,##0"))</f>
        <v/>
      </c>
      <c r="E94">
        <f>IF(ABS(('pengestrom_raw_38437011'!$E$2+'pengestrom_raw_38437011'!$E$3+'pengestrom_raw_38437011'!$E$4)-'pengestrom_raw_38437011'!$E$5)&lt;=2,"✓","⚠ "&amp;TEXT(('pengestrom_raw_38437011'!$E$2+'pengestrom_raw_38437011'!$E$3+'pengestrom_raw_38437011'!$E$4)-'pengestrom_raw_38437011'!$E$5,"+#,##0;-#,##0"))</f>
        <v/>
      </c>
      <c r="F94">
        <f>IF(ABS(('pengestrom_raw_38437011'!$F$2+'pengestrom_raw_38437011'!$F$3+'pengestrom_raw_38437011'!$F$4)-'pengestrom_raw_38437011'!$F$5)&lt;=2,"✓","⚠ "&amp;TEXT(('pengestrom_raw_38437011'!$F$2+'pengestrom_raw_38437011'!$F$3+'pengestrom_raw_38437011'!$F$4)-'pengestrom_raw_38437011'!$F$5,"+#,##0;-#,##0"))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178845</v>
      </c>
      <c r="C2" s="17" t="n">
        <v>221362</v>
      </c>
      <c r="D2" s="17" t="n">
        <v>263614</v>
      </c>
      <c r="E2" s="17" t="n">
        <v>282587</v>
      </c>
      <c r="F2" s="17" t="n">
        <v>304743</v>
      </c>
    </row>
    <row r="3">
      <c r="A3" s="16" t="inlineStr">
        <is>
          <t>Andre driftsindtægter</t>
        </is>
      </c>
      <c r="B3" s="17" t="n">
        <v>6773</v>
      </c>
      <c r="C3" s="17" t="n">
        <v>15553</v>
      </c>
      <c r="D3" s="17" t="n">
        <v>15663</v>
      </c>
      <c r="E3" s="17" t="n">
        <v>710</v>
      </c>
      <c r="F3" s="17" t="n">
        <v>6614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43029</v>
      </c>
      <c r="C5" s="17" t="n">
        <v>51410</v>
      </c>
      <c r="D5" s="17" t="n">
        <v>63765</v>
      </c>
      <c r="E5" s="17" t="n">
        <v>57776</v>
      </c>
      <c r="F5" s="17" t="n">
        <v>60566</v>
      </c>
    </row>
    <row r="6">
      <c r="A6" s="15" t="inlineStr">
        <is>
          <t>Bruttoresultat</t>
        </is>
      </c>
      <c r="B6" s="17" t="n">
        <v>142232</v>
      </c>
      <c r="C6" s="17" t="n">
        <v>185406</v>
      </c>
      <c r="D6" s="17" t="n">
        <v>214021</v>
      </c>
      <c r="E6" s="17" t="n">
        <v>219770</v>
      </c>
      <c r="F6" s="17" t="n">
        <v>247250</v>
      </c>
    </row>
    <row r="7">
      <c r="A7" s="16" t="inlineStr">
        <is>
          <t>Personaleomkostninger</t>
        </is>
      </c>
      <c r="B7" s="17" t="n">
        <v>48509</v>
      </c>
      <c r="C7" s="17" t="n">
        <v>54853</v>
      </c>
      <c r="D7" s="17" t="n">
        <v>64393</v>
      </c>
      <c r="E7" s="17" t="n">
        <v>69370</v>
      </c>
      <c r="F7" s="17" t="n">
        <v>68495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59355</v>
      </c>
      <c r="C9" s="17" t="n">
        <v>65950</v>
      </c>
      <c r="D9" s="17" t="n">
        <v>68253</v>
      </c>
      <c r="E9" s="17" t="n">
        <v>68330</v>
      </c>
      <c r="F9" s="17" t="n">
        <v>73490</v>
      </c>
    </row>
    <row r="10">
      <c r="A10" s="16" t="inlineStr">
        <is>
          <t>Andre driftsomkostninger</t>
        </is>
      </c>
      <c r="B10" s="17" t="n">
        <v>357</v>
      </c>
      <c r="C10" s="17" t="n">
        <v>99</v>
      </c>
      <c r="D10" s="17" t="n">
        <v>1491</v>
      </c>
      <c r="E10" s="17" t="n">
        <v>5751</v>
      </c>
      <c r="F10" s="17" t="n">
        <v>3541</v>
      </c>
    </row>
    <row r="11">
      <c r="A11" s="15" t="inlineStr">
        <is>
          <t>Resultat af primær drift</t>
        </is>
      </c>
      <c r="B11" s="17" t="n">
        <v>34368</v>
      </c>
      <c r="C11" s="17" t="n">
        <v>64603</v>
      </c>
      <c r="D11" s="17" t="n">
        <v>81375</v>
      </c>
      <c r="E11" s="17" t="n">
        <v>82070</v>
      </c>
      <c r="F11" s="17" t="n">
        <v>105265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3235</v>
      </c>
      <c r="C13" s="17" t="n">
        <v>49176</v>
      </c>
      <c r="D13" s="17" t="n">
        <v>4407</v>
      </c>
      <c r="E13" s="17" t="n">
        <v>4825</v>
      </c>
      <c r="F13" s="17" t="n">
        <v>1770</v>
      </c>
    </row>
    <row r="14">
      <c r="A14" s="16" t="inlineStr">
        <is>
          <t>Finansielle omkostninger</t>
        </is>
      </c>
      <c r="B14" s="17" t="n">
        <v>8040</v>
      </c>
      <c r="C14" s="17" t="n">
        <v>7823</v>
      </c>
      <c r="D14" s="17" t="n">
        <v>7736</v>
      </c>
      <c r="E14" s="17" t="n">
        <v>11143</v>
      </c>
      <c r="F14" s="17" t="n">
        <v>6866</v>
      </c>
    </row>
    <row r="15">
      <c r="A15" s="15" t="inlineStr">
        <is>
          <t>Finansielle poster, netto</t>
        </is>
      </c>
      <c r="B15" s="17" t="n"/>
      <c r="C15" s="17" t="n">
        <v>41353</v>
      </c>
      <c r="D15" s="17" t="n">
        <v>-3329</v>
      </c>
      <c r="E15" s="17" t="n">
        <v>-6318</v>
      </c>
      <c r="F15" s="17" t="n">
        <v>-5096</v>
      </c>
    </row>
    <row r="16">
      <c r="A16" s="15" t="inlineStr">
        <is>
          <t>Resultat før skat</t>
        </is>
      </c>
      <c r="B16" s="17" t="n">
        <v>29563</v>
      </c>
      <c r="C16" s="17" t="n">
        <v>105956</v>
      </c>
      <c r="D16" s="17" t="n">
        <v>78046</v>
      </c>
      <c r="E16" s="17" t="n">
        <v>75752</v>
      </c>
      <c r="F16" s="17" t="n">
        <v>100169</v>
      </c>
    </row>
    <row r="17">
      <c r="A17" s="16" t="inlineStr">
        <is>
          <t>Skat af årets resultat</t>
        </is>
      </c>
      <c r="B17" s="17" t="n">
        <v>910</v>
      </c>
      <c r="C17" s="17" t="n">
        <v>2414</v>
      </c>
      <c r="D17" s="17" t="n">
        <v>-1174</v>
      </c>
      <c r="E17" s="17" t="n">
        <v>-596</v>
      </c>
      <c r="F17" s="17" t="n">
        <v>-672</v>
      </c>
    </row>
    <row r="18">
      <c r="A18" s="15" t="inlineStr">
        <is>
          <t>Årets resultat</t>
        </is>
      </c>
      <c r="B18" s="17" t="n">
        <v>28653</v>
      </c>
      <c r="C18" s="17" t="n">
        <v>103542</v>
      </c>
      <c r="D18" s="17" t="n">
        <v>79220</v>
      </c>
      <c r="E18" s="17" t="n">
        <v>76348</v>
      </c>
      <c r="F18" s="17" t="n">
        <v>100841</v>
      </c>
    </row>
    <row r="19">
      <c r="A19" s="16" t="inlineStr">
        <is>
          <t>Gns. antal medarbejdere</t>
        </is>
      </c>
      <c r="B19" s="17" t="n">
        <v>71</v>
      </c>
      <c r="C19" s="17" t="n">
        <v>82</v>
      </c>
      <c r="D19" s="17" t="n">
        <v>94</v>
      </c>
      <c r="E19" s="17" t="n">
        <v>95</v>
      </c>
      <c r="F19" s="17" t="n">
        <v>89</v>
      </c>
    </row>
    <row r="20">
      <c r="A20" s="16" t="inlineStr">
        <is>
          <t>Investering i materielle anlægsaktiver</t>
        </is>
      </c>
      <c r="B20" s="17" t="n">
        <v>48158</v>
      </c>
      <c r="C20" s="17" t="n">
        <v>233465</v>
      </c>
      <c r="D20" s="17" t="n">
        <v>126606</v>
      </c>
      <c r="E20" s="17" t="n">
        <v>138132</v>
      </c>
      <c r="F20" s="17" t="n">
        <v>154932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1180977</v>
      </c>
      <c r="C2" s="17" t="n">
        <v>1220443</v>
      </c>
      <c r="D2" s="17" t="n">
        <v>1343810</v>
      </c>
      <c r="E2" s="17" t="n">
        <v>1380044</v>
      </c>
      <c r="F2" s="17" t="n">
        <v>1508263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104101</v>
      </c>
      <c r="C4" s="17" t="n">
        <v>99209</v>
      </c>
      <c r="D4" s="17" t="n">
        <v>128049</v>
      </c>
      <c r="E4" s="17" t="n">
        <v>119653</v>
      </c>
      <c r="F4" s="17" t="n">
        <v>116351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17869</v>
      </c>
      <c r="C6" s="17" t="n">
        <v>137288</v>
      </c>
      <c r="D6" s="17" t="n">
        <v>48599</v>
      </c>
      <c r="E6" s="17" t="n">
        <v>93821</v>
      </c>
      <c r="F6" s="17" t="n">
        <v>56655</v>
      </c>
    </row>
    <row r="7">
      <c r="A7" s="15" t="inlineStr">
        <is>
          <t>Materielle anlægsaktiver</t>
        </is>
      </c>
      <c r="B7" s="17" t="n">
        <v>1625932</v>
      </c>
      <c r="C7" s="17" t="n">
        <v>1777951</v>
      </c>
      <c r="D7" s="17" t="n">
        <v>1836290</v>
      </c>
      <c r="E7" s="17" t="n">
        <v>1906093</v>
      </c>
      <c r="F7" s="17" t="n">
        <v>1987537</v>
      </c>
    </row>
    <row r="8">
      <c r="A8" s="15" t="inlineStr">
        <is>
          <t>Anlægsaktiver</t>
        </is>
      </c>
      <c r="B8" s="17" t="n">
        <v>1625932</v>
      </c>
      <c r="C8" s="17" t="n">
        <v>1777951</v>
      </c>
      <c r="D8" s="17" t="n">
        <v>1836290</v>
      </c>
      <c r="E8" s="17" t="n">
        <v>1906093</v>
      </c>
      <c r="F8" s="17" t="n">
        <v>1987537</v>
      </c>
    </row>
    <row r="9">
      <c r="A9" s="16" t="inlineStr">
        <is>
          <t>Tilgodehavender fra salg og tjenesteydelser</t>
        </is>
      </c>
      <c r="B9" s="17" t="n">
        <v>37474</v>
      </c>
      <c r="C9" s="17" t="n">
        <v>45188</v>
      </c>
      <c r="D9" s="17" t="n">
        <v>46127</v>
      </c>
      <c r="E9" s="17" t="n">
        <v>61275</v>
      </c>
      <c r="F9" s="17" t="n">
        <v>71160</v>
      </c>
    </row>
    <row r="10">
      <c r="A10" s="16" t="inlineStr">
        <is>
          <t>Tilgodehavender hos tilknyttede 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Andre tilgodehavender</t>
        </is>
      </c>
      <c r="B11" s="17" t="n">
        <v>5393</v>
      </c>
      <c r="C11" s="17" t="n"/>
      <c r="D11" s="17" t="n"/>
      <c r="E11" s="17" t="n">
        <v>654</v>
      </c>
      <c r="F11" s="17" t="n">
        <v>669</v>
      </c>
    </row>
    <row r="12">
      <c r="A12" s="16" t="inlineStr">
        <is>
          <t>Periodeafgrænsningsposter (aktiver)</t>
        </is>
      </c>
      <c r="B12" s="17" t="n">
        <v>0</v>
      </c>
      <c r="C12" s="17" t="n">
        <v>12020</v>
      </c>
      <c r="D12" s="17" t="n">
        <v>5024</v>
      </c>
      <c r="E12" s="17" t="n">
        <v>7882</v>
      </c>
      <c r="F12" s="17" t="n">
        <v>9710</v>
      </c>
    </row>
    <row r="13">
      <c r="A13" s="16" t="inlineStr">
        <is>
          <t>Udskudt skatteaktiv</t>
        </is>
      </c>
      <c r="B13" s="17" t="n">
        <v>486</v>
      </c>
      <c r="C13" s="17" t="n">
        <v>505</v>
      </c>
      <c r="D13" s="17" t="n">
        <v>1679</v>
      </c>
      <c r="E13" s="17" t="n"/>
      <c r="F13" s="17" t="n">
        <v>2947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347</v>
      </c>
      <c r="C15" s="17" t="n">
        <v>0</v>
      </c>
      <c r="D15" s="17" t="n">
        <v>276</v>
      </c>
      <c r="E15" s="17" t="n">
        <v>2855</v>
      </c>
      <c r="F15" s="17" t="n">
        <v>564</v>
      </c>
    </row>
    <row r="16">
      <c r="A16" s="15" t="inlineStr">
        <is>
          <t>Tilgodehavender</t>
        </is>
      </c>
      <c r="B16" s="17" t="n">
        <v>43700</v>
      </c>
      <c r="C16" s="17" t="n">
        <v>57713</v>
      </c>
      <c r="D16" s="17" t="n">
        <v>53106</v>
      </c>
      <c r="E16" s="17" t="n">
        <v>72666</v>
      </c>
      <c r="F16" s="17" t="n">
        <v>85050</v>
      </c>
    </row>
    <row r="17">
      <c r="A17" s="16" t="inlineStr">
        <is>
          <t>Værdipapirer</t>
        </is>
      </c>
      <c r="B17" s="17" t="n">
        <v>27603</v>
      </c>
      <c r="C17" s="17" t="n">
        <v>0</v>
      </c>
      <c r="D17" s="17" t="n"/>
      <c r="E17" s="17" t="n">
        <v>0</v>
      </c>
      <c r="F17" s="17" t="n"/>
    </row>
    <row r="18">
      <c r="A18" s="16" t="inlineStr">
        <is>
          <t>Likvide beholdninger</t>
        </is>
      </c>
      <c r="B18" s="17" t="n">
        <v>238907</v>
      </c>
      <c r="C18" s="17" t="n">
        <v>181850</v>
      </c>
      <c r="D18" s="17" t="n">
        <v>139099</v>
      </c>
      <c r="E18" s="17" t="n">
        <v>132559</v>
      </c>
      <c r="F18" s="17" t="n">
        <v>82655</v>
      </c>
    </row>
    <row r="19">
      <c r="A19" s="15" t="inlineStr">
        <is>
          <t>Omsætningsaktiver</t>
        </is>
      </c>
      <c r="B19" s="17" t="n">
        <v>310210</v>
      </c>
      <c r="C19" s="17" t="n">
        <v>239563</v>
      </c>
      <c r="D19" s="17" t="n">
        <v>192205</v>
      </c>
      <c r="E19" s="17" t="n">
        <v>205225</v>
      </c>
      <c r="F19" s="17" t="n">
        <v>167705</v>
      </c>
    </row>
    <row r="20">
      <c r="A20" s="15" t="inlineStr">
        <is>
          <t>Aktiver</t>
        </is>
      </c>
      <c r="B20" s="17" t="n">
        <v>1936142</v>
      </c>
      <c r="C20" s="17" t="n">
        <v>2017514</v>
      </c>
      <c r="D20" s="17" t="n">
        <v>2028495</v>
      </c>
      <c r="E20" s="17" t="n">
        <v>2111318</v>
      </c>
      <c r="F20" s="17" t="n">
        <v>2155242</v>
      </c>
    </row>
    <row r="21">
      <c r="A21" s="16" t="inlineStr">
        <is>
          <t>Selskabskapital</t>
        </is>
      </c>
      <c r="B21" s="17" t="n">
        <v>100000</v>
      </c>
      <c r="C21" s="17" t="n">
        <v>100000</v>
      </c>
      <c r="D21" s="17" t="n">
        <v>100000</v>
      </c>
      <c r="E21" s="17" t="n">
        <v>100000</v>
      </c>
      <c r="F21" s="17" t="n">
        <v>100000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1150362</v>
      </c>
      <c r="C25" s="17" t="n">
        <v>1257910</v>
      </c>
      <c r="D25" s="17" t="n">
        <v>1322678</v>
      </c>
      <c r="E25" s="17" t="n">
        <v>1388026</v>
      </c>
      <c r="F25" s="17" t="n">
        <v>1474934</v>
      </c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1261362</v>
      </c>
      <c r="C27" s="17" t="n">
        <v>1261362</v>
      </c>
      <c r="D27" s="17" t="n">
        <v>1433678</v>
      </c>
      <c r="E27" s="17" t="n">
        <v>1433678</v>
      </c>
      <c r="F27" s="17" t="n">
        <v>1585934</v>
      </c>
    </row>
    <row r="28">
      <c r="A28" s="15" t="inlineStr">
        <is>
          <t>Hensatte forpligtelser</t>
        </is>
      </c>
      <c r="B28" s="17" t="n">
        <v>69374</v>
      </c>
      <c r="C28" s="17" t="n">
        <v>50806</v>
      </c>
      <c r="D28" s="17" t="n">
        <v>50632</v>
      </c>
      <c r="E28" s="17" t="n">
        <v>47052</v>
      </c>
      <c r="F28" s="17" t="n">
        <v>46019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>
        <v>465494</v>
      </c>
      <c r="C30" s="17" t="n">
        <v>410684</v>
      </c>
      <c r="D30" s="17" t="n">
        <v>388219</v>
      </c>
      <c r="E30" s="17" t="n">
        <v>365414</v>
      </c>
      <c r="F30" s="17" t="n">
        <v>342261</v>
      </c>
    </row>
    <row r="31">
      <c r="A31" s="16" t="inlineStr">
        <is>
          <t>Leasingforpligtelser (langfristet)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Anden gæld (langfristet)</t>
        </is>
      </c>
      <c r="B32" s="17" t="n">
        <v>28938</v>
      </c>
      <c r="C32" s="17" t="n">
        <v>41545</v>
      </c>
      <c r="D32" s="17" t="n">
        <v>50259</v>
      </c>
      <c r="E32" s="17" t="n">
        <v>50812</v>
      </c>
      <c r="F32" s="17" t="n">
        <v>57730</v>
      </c>
    </row>
    <row r="33">
      <c r="A33" s="15" t="inlineStr">
        <is>
          <t>Langfristede gældsforpligtelser</t>
        </is>
      </c>
      <c r="B33" s="17" t="n">
        <v>508339</v>
      </c>
      <c r="C33" s="17" t="n">
        <v>472732</v>
      </c>
      <c r="D33" s="17" t="n">
        <v>458359</v>
      </c>
      <c r="E33" s="17" t="n">
        <v>435557</v>
      </c>
      <c r="F33" s="17" t="n">
        <v>418772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>
        <v>27737</v>
      </c>
      <c r="C36" s="17" t="n">
        <v>22083</v>
      </c>
      <c r="D36" s="17" t="n">
        <v>22419</v>
      </c>
      <c r="E36" s="17" t="n">
        <v>22760</v>
      </c>
      <c r="F36" s="17" t="n">
        <v>23107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8149</v>
      </c>
      <c r="C38" s="17" t="n">
        <v>30298</v>
      </c>
      <c r="D38" s="17" t="n">
        <v>7301</v>
      </c>
      <c r="E38" s="17" t="n">
        <v>36893</v>
      </c>
      <c r="F38" s="17" t="n">
        <v>12937</v>
      </c>
    </row>
    <row r="39">
      <c r="A39" s="16" t="inlineStr">
        <is>
          <t>Gæld til tilknyttede virksomheder</t>
        </is>
      </c>
      <c r="B39" s="17" t="n">
        <v>0</v>
      </c>
      <c r="C39" s="17" t="n">
        <v>0</v>
      </c>
      <c r="D39" s="17" t="n"/>
      <c r="E39" s="17" t="n">
        <v>0</v>
      </c>
      <c r="F39" s="17" t="n">
        <v>0</v>
      </c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>
        <v>0</v>
      </c>
      <c r="C41" s="17" t="n">
        <v>2306</v>
      </c>
      <c r="D41" s="17" t="n">
        <v>0</v>
      </c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34920</v>
      </c>
      <c r="C43" s="17" t="n">
        <v>36843</v>
      </c>
      <c r="D43" s="17" t="n">
        <v>16208</v>
      </c>
      <c r="E43" s="17" t="n">
        <v>22441</v>
      </c>
      <c r="F43" s="17" t="n">
        <v>19224</v>
      </c>
    </row>
    <row r="44">
      <c r="A44" s="16" t="inlineStr">
        <is>
          <t>Periodeafgrænsningsposter (passiver)</t>
        </is>
      </c>
      <c r="B44" s="17" t="n">
        <v>17493</v>
      </c>
      <c r="C44" s="17" t="n">
        <v>21507</v>
      </c>
      <c r="D44" s="17" t="n">
        <v>27152</v>
      </c>
      <c r="E44" s="17" t="n">
        <v>29309</v>
      </c>
      <c r="F44" s="17" t="n">
        <v>31851</v>
      </c>
    </row>
    <row r="45">
      <c r="A45" s="15" t="inlineStr">
        <is>
          <t>Kortfristede gældsforpligtelser</t>
        </is>
      </c>
      <c r="B45" s="17" t="n">
        <v>97067</v>
      </c>
      <c r="C45" s="17" t="n">
        <v>125066</v>
      </c>
      <c r="D45" s="17" t="n">
        <v>85826</v>
      </c>
      <c r="E45" s="17" t="n">
        <v>129683</v>
      </c>
      <c r="F45" s="17" t="n">
        <v>104517</v>
      </c>
    </row>
    <row r="46">
      <c r="A46" s="15" t="inlineStr">
        <is>
          <t>Gældsforpligtelser</t>
        </is>
      </c>
      <c r="B46" s="17" t="n">
        <v>605406</v>
      </c>
      <c r="C46" s="17" t="n">
        <v>597798</v>
      </c>
      <c r="D46" s="17" t="n">
        <v>544185</v>
      </c>
      <c r="E46" s="17" t="n">
        <v>565240</v>
      </c>
      <c r="F46" s="17" t="n">
        <v>523289</v>
      </c>
    </row>
    <row r="47">
      <c r="A47" s="15" t="inlineStr">
        <is>
          <t>Passiver</t>
        </is>
      </c>
      <c r="B47" s="17" t="n">
        <v>1936142</v>
      </c>
      <c r="C47" s="17" t="n">
        <v>2017514</v>
      </c>
      <c r="D47" s="17" t="n">
        <v>2028495</v>
      </c>
      <c r="E47" s="17" t="n">
        <v>2111318</v>
      </c>
      <c r="F47" s="17" t="n">
        <v>2155242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76093</v>
      </c>
      <c r="C2" s="17" t="n">
        <v>121810</v>
      </c>
      <c r="D2" s="17" t="n">
        <v>114733</v>
      </c>
      <c r="E2" s="17" t="n">
        <v>138724</v>
      </c>
      <c r="F2" s="17" t="n">
        <v>132943</v>
      </c>
    </row>
    <row r="3">
      <c r="A3" s="16" t="inlineStr">
        <is>
          <t>Pengestrømme fra investeringsaktivitet</t>
        </is>
      </c>
      <c r="B3" s="17" t="n">
        <v>318209</v>
      </c>
      <c r="C3" s="17" t="n">
        <v>-152326</v>
      </c>
      <c r="D3" s="17" t="n">
        <v>-120815</v>
      </c>
      <c r="E3" s="17" t="n">
        <v>-108116</v>
      </c>
      <c r="F3" s="17" t="n">
        <v>-145075</v>
      </c>
    </row>
    <row r="4">
      <c r="A4" s="16" t="inlineStr">
        <is>
          <t>Pengestrømme fra finansieringsaktivitet</t>
        </is>
      </c>
      <c r="B4" s="17" t="n">
        <v>-162290</v>
      </c>
      <c r="C4" s="17" t="n">
        <v>-26540</v>
      </c>
      <c r="D4" s="17" t="n">
        <v>-36669</v>
      </c>
      <c r="E4" s="17" t="n">
        <v>-37148</v>
      </c>
      <c r="F4" s="17" t="n">
        <v>-37772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Havn A/S (CVR 38437011) — Regnskabs- og nøgletal (CVR: 38437011)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'res_raw_38437011'!$F$2</f>
        <v/>
      </c>
      <c r="C5" s="24">
        <f>'res_raw_38437011'!$E$2</f>
        <v/>
      </c>
      <c r="D5" s="24">
        <f>'res_raw_38437011'!$D$2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'res_raw_38437011'!$F$3</f>
        <v/>
      </c>
      <c r="C6" s="24">
        <f>'res_raw_38437011'!$E$3</f>
        <v/>
      </c>
      <c r="D6" s="24">
        <f>'res_raw_38437011'!$D$3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-'res_raw_38437011'!$F$4</f>
        <v/>
      </c>
      <c r="C7" s="24">
        <f>-'res_raw_38437011'!$E$4</f>
        <v/>
      </c>
      <c r="D7" s="24">
        <f>-'res_raw_38437011'!$D$4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-'res_raw_38437011'!$F$5</f>
        <v/>
      </c>
      <c r="C8" s="24">
        <f>-'res_raw_38437011'!$E$5</f>
        <v/>
      </c>
      <c r="D8" s="24">
        <f>-'res_raw_38437011'!$D$5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-'res_raw_38437011'!$F$7</f>
        <v/>
      </c>
      <c r="C10" s="24">
        <f>-'res_raw_38437011'!$E$7</f>
        <v/>
      </c>
      <c r="D10" s="24">
        <f>-'res_raw_38437011'!$D$7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-'res_raw_38437011'!$F$9</f>
        <v/>
      </c>
      <c r="C11" s="24">
        <f>-'res_raw_38437011'!$E$9</f>
        <v/>
      </c>
      <c r="D11" s="24">
        <f>-'res_raw_38437011'!$D$9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-'res_raw_38437011'!$F$10</f>
        <v/>
      </c>
      <c r="C12" s="24">
        <f>-'res_raw_38437011'!$E$10</f>
        <v/>
      </c>
      <c r="D12" s="24">
        <f>-'res_raw_38437011'!$D$10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N('res_raw_38437011'!$F$12)+N('res_raw_38437011'!$F$13)</f>
        <v/>
      </c>
      <c r="C14" s="24">
        <f>N('res_raw_38437011'!$E$12)+N('res_raw_38437011'!$E$13)</f>
        <v/>
      </c>
      <c r="D14" s="24">
        <f>N('res_raw_38437011'!$D$12)+N('res_raw_38437011'!$D$13)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-'res_raw_38437011'!$F$14</f>
        <v/>
      </c>
      <c r="C15" s="24">
        <f>-'res_raw_38437011'!$E$14</f>
        <v/>
      </c>
      <c r="D15" s="24">
        <f>-'res_raw_38437011'!$D$14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'balance_raw_38437011'!$F$8</f>
        <v/>
      </c>
      <c r="C19" s="24">
        <f>'balance_raw_38437011'!$E$8</f>
        <v/>
      </c>
      <c r="D19" s="24">
        <f>'balance_raw_38437011'!$D$8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'balance_raw_38437011'!$F$19</f>
        <v/>
      </c>
      <c r="C20" s="24">
        <f>'balance_raw_38437011'!$E$19</f>
        <v/>
      </c>
      <c r="D20" s="24">
        <f>'balance_raw_38437011'!$D$19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'balance_raw_38437011'!$F$27</f>
        <v/>
      </c>
      <c r="C23" s="24">
        <f>'balance_raw_38437011'!$E$27</f>
        <v/>
      </c>
      <c r="D23" s="24">
        <f>'balance_raw_38437011'!$D$27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'balance_raw_38437011'!$F$47-'balance_raw_38437011'!$F$27</f>
        <v/>
      </c>
      <c r="C24" s="24">
        <f>'balance_raw_38437011'!$E$47-'balance_raw_38437011'!$E$27</f>
        <v/>
      </c>
      <c r="D24" s="24">
        <f>'balance_raw_38437011'!$D$47-'balance_raw_38437011'!$D$27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'balance_raw_38437011'!$F$9</f>
        <v/>
      </c>
      <c r="C29" s="24">
        <f>'balance_raw_38437011'!$E$9</f>
        <v/>
      </c>
      <c r="D29" s="24">
        <f>'balance_raw_38437011'!$D$9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'balance_raw_38437011'!$F$45</f>
        <v/>
      </c>
      <c r="C30" s="24">
        <f>'balance_raw_38437011'!$E$45</f>
        <v/>
      </c>
      <c r="D30" s="24">
        <f>'balance_raw_38437011'!$D$45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IF('balance_raw_38437011'!$F$20="","—",IF(ABS(B21-'balance_raw_38437011'!$F$20)&lt;=1,"✓ OK","❌ "&amp;TEXT(B21-'balance_raw_38437011'!$F$20,"+#,##0;-#,##0")&amp;" t.kr."))</f>
        <v/>
      </c>
      <c r="C61" s="29">
        <f>IF('balance_raw_38437011'!$E$20="","—",IF(ABS(C21-'balance_raw_38437011'!$E$20)&lt;=1,"✓ OK","❌ "&amp;TEXT(C21-'balance_raw_38437011'!$E$20,"+#,##0;-#,##0")&amp;" t.kr."))</f>
        <v/>
      </c>
      <c r="D61" s="29">
        <f>IF('balance_raw_38437011'!$D$20="","—",IF(ABS(D21-'balance_raw_38437011'!$D$20)&lt;=1,"✓ OK","❌ "&amp;TEXT(D21-'balance_raw_38437011'!$D$20,"+#,##0;-#,##0")&amp;"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IF('balance_raw_38437011'!$F$47="","—",IF(ABS(B25-'balance_raw_38437011'!$F$47)&lt;=1,"✓ OK","❌ "&amp;TEXT(B25-'balance_raw_38437011'!$F$47,"+#,##0;-#,##0")&amp;" t.kr."))</f>
        <v/>
      </c>
      <c r="C62" s="29">
        <f>IF('balance_raw_38437011'!$E$47="","—",IF(ABS(C25-'balance_raw_38437011'!$E$47)&lt;=1,"✓ OK","❌ "&amp;TEXT(C25-'balance_raw_38437011'!$E$47,"+#,##0;-#,##0")&amp;" t.kr."))</f>
        <v/>
      </c>
      <c r="D62" s="29">
        <f>IF('balance_raw_38437011'!$D$47="","—",IF(ABS(D25-'balance_raw_38437011'!$D$47)&lt;=1,"✓ OK","❌ "&amp;TEXT(D25-'balance_raw_38437011'!$D$47,"+#,##0;-#,##0")&amp;"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IF('res_raw_38437011'!$F$6="","—",IF(ABS(B9-'res_raw_38437011'!$F$6)&lt;=1,"✓ OK","❌ "&amp;TEXT(B9-'res_raw_38437011'!$F$6,"+#,##0;-#,##0")&amp;" t.kr."))</f>
        <v/>
      </c>
      <c r="C64" s="29">
        <f>IF('res_raw_38437011'!$E$6="","—",IF(ABS(C9-'res_raw_38437011'!$E$6)&lt;=1,"✓ OK","❌ "&amp;TEXT(C9-'res_raw_38437011'!$E$6,"+#,##0;-#,##0")&amp;" t.kr."))</f>
        <v/>
      </c>
      <c r="D64" s="29">
        <f>IF('res_raw_38437011'!$D$6="","—",IF(ABS(D9-'res_raw_38437011'!$D$6)&lt;=1,"✓ OK","❌ "&amp;TEXT(D9-'res_raw_38437011'!$D$6,"+#,##0;-#,##0")&amp;"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IF('res_raw_38437011'!$F$11="","—",IF(ABS(B13-'res_raw_38437011'!$F$11)&lt;=1,"✓ OK","❌ "&amp;TEXT(B13-'res_raw_38437011'!$F$11,"+#,##0;-#,##0")&amp;" t.kr."))</f>
        <v/>
      </c>
      <c r="C65" s="29">
        <f>IF('res_raw_38437011'!$E$11="","—",IF(ABS(C13-'res_raw_38437011'!$E$11)&lt;=1,"✓ OK","❌ "&amp;TEXT(C13-'res_raw_38437011'!$E$11,"+#,##0;-#,##0")&amp;" t.kr."))</f>
        <v/>
      </c>
      <c r="D65" s="29">
        <f>IF('res_raw_38437011'!$D$11="","—",IF(ABS(D13-'res_raw_38437011'!$D$11)&lt;=1,"✓ OK","❌ "&amp;TEXT(D13-'res_raw_38437011'!$D$11,"+#,##0;-#,##0")&amp;"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IF('res_raw_38437011'!$F$16="","—",IF(ABS(B16-'res_raw_38437011'!$F$16)&lt;=1,"✓ OK","❌ "&amp;TEXT(B16-'res_raw_38437011'!$F$16,"+#,##0;-#,##0")&amp;" t.kr."))</f>
        <v/>
      </c>
      <c r="C66" s="29">
        <f>IF('res_raw_38437011'!$E$16="","—",IF(ABS(C16-'res_raw_38437011'!$E$16)&lt;=1,"✓ OK","❌ "&amp;TEXT(C16-'res_raw_38437011'!$E$16,"+#,##0;-#,##0")&amp;" t.kr."))</f>
        <v/>
      </c>
      <c r="D66" s="29">
        <f>IF('res_raw_38437011'!$D$16="","—",IF(ABS(D16-'res_raw_38437011'!$D$16)&lt;=1,"✓ OK","❌ "&amp;TEXT(D16-'res_raw_38437011'!$D$16,"+#,##0;-#,##0")&amp;"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Havn A/S (CVR 38437011)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fsa:AccountingValueOfPropertyPlantAndEquipmentWhichWasRecognisedIfRevaluationHadNotBeenMade</t>
        </is>
      </c>
      <c r="C3" s="34" t="inlineStr">
        <is>
          <t>fsa:AccountingValueOfPropertyPlantAndEquipmentWhichWasRecognisedIfRevaluationHadNotBeenMade</t>
        </is>
      </c>
      <c r="D3" s="35" t="n"/>
      <c r="E3" s="35" t="n"/>
      <c r="F3" s="35" t="n">
        <v>1836290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/>
      <c r="E4" s="38" t="n"/>
      <c r="F4" s="38" t="n"/>
      <c r="G4" s="38" t="n">
        <v>2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8768</v>
      </c>
      <c r="E5" s="35" t="n">
        <v>12029</v>
      </c>
      <c r="F5" s="35" t="n">
        <v>12746</v>
      </c>
      <c r="G5" s="35" t="n">
        <v>18280</v>
      </c>
      <c r="H5" s="35" t="n">
        <v>17398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fsa:ExchangeRateAdjustmentsOtherFinanceExpenses</t>
        </is>
      </c>
      <c r="C6" s="37" t="inlineStr">
        <is>
          <t>fsa:ExchangeRateAdjustmentsOtherFinanceExpenses</t>
        </is>
      </c>
      <c r="D6" s="38" t="n">
        <v>379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0</v>
      </c>
      <c r="E7" s="35" t="n"/>
      <c r="F7" s="35" t="n"/>
      <c r="G7" s="35" t="n">
        <v>80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fsa:GainsLossesFromCurrentValueAdjustmentsOfFinancialInstrumentsFinanceIncome</t>
        </is>
      </c>
      <c r="C8" s="37" t="inlineStr">
        <is>
          <t>fsa:GainsLossesFromCurrentValueAdjustmentsOfFinancialInstrumentsFinanceIncome</t>
        </is>
      </c>
      <c r="D8" s="38" t="n">
        <v>1090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fsa:LongtermDeferredIncome</t>
        </is>
      </c>
      <c r="C9" s="34" t="inlineStr">
        <is>
          <t>fsa:LongtermDeferredIncome</t>
        </is>
      </c>
      <c r="D9" s="35" t="n">
        <v>13907</v>
      </c>
      <c r="E9" s="35" t="n">
        <v>20503</v>
      </c>
      <c r="F9" s="35" t="n">
        <v>19881</v>
      </c>
      <c r="G9" s="35" t="n">
        <v>19331</v>
      </c>
      <c r="H9" s="35" t="n">
        <v>18781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2026-09-15T19:48:21Z</dcterms:created>
  <dcterms:modified xmlns:dcterms="http://purl.org/dc/terms/" xmlns:xsi="http://www.w3.org/2001/XMLSchema-instance" xsi:type="dcterms:W3CDTF">2026-09-15T19:48:21Z</dcterms:modified>
</cp:coreProperties>
</file>