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037974" sheetId="1" state="visible" r:id="rId1"/>
    <sheet xmlns:r="http://schemas.openxmlformats.org/officeDocument/2006/relationships" name="res_raw_37037974" sheetId="2" state="visible" r:id="rId2"/>
    <sheet xmlns:r="http://schemas.openxmlformats.org/officeDocument/2006/relationships" name="balance_raw_37037974" sheetId="3" state="visible" r:id="rId3"/>
    <sheet xmlns:r="http://schemas.openxmlformats.org/officeDocument/2006/relationships" name="pengestrom_raw_37037974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Alefarm Brewing A/S (CVR 37037974)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'res_raw_37037974'!$B$2</f>
        <v/>
      </c>
      <c r="C4" s="5">
        <f>'res_raw_37037974'!$C$2</f>
        <v/>
      </c>
      <c r="D4" s="5">
        <f>'res_raw_37037974'!$D$2</f>
        <v/>
      </c>
      <c r="E4" s="5">
        <f>'res_raw_37037974'!$E$2</f>
        <v/>
      </c>
      <c r="F4" s="5">
        <f>'res_raw_37037974'!$F$2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'res_raw_37037974'!$B$3</f>
        <v/>
      </c>
      <c r="C5" s="8">
        <f>'res_raw_37037974'!$C$3</f>
        <v/>
      </c>
      <c r="D5" s="8">
        <f>'res_raw_37037974'!$D$3</f>
        <v/>
      </c>
      <c r="E5" s="8">
        <f>'res_raw_37037974'!$E$3</f>
        <v/>
      </c>
      <c r="F5" s="8">
        <f>'res_raw_37037974'!$F$3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'res_raw_37037974'!$B$4</f>
        <v/>
      </c>
      <c r="C6" s="5">
        <f>'res_raw_37037974'!$C$4</f>
        <v/>
      </c>
      <c r="D6" s="5">
        <f>'res_raw_37037974'!$D$4</f>
        <v/>
      </c>
      <c r="E6" s="5">
        <f>'res_raw_37037974'!$E$4</f>
        <v/>
      </c>
      <c r="F6" s="5">
        <f>'res_raw_37037974'!$F$4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'res_raw_37037974'!$B$5</f>
        <v/>
      </c>
      <c r="C7" s="8">
        <f>'res_raw_37037974'!$C$5</f>
        <v/>
      </c>
      <c r="D7" s="8">
        <f>'res_raw_37037974'!$D$5</f>
        <v/>
      </c>
      <c r="E7" s="8">
        <f>'res_raw_37037974'!$E$5</f>
        <v/>
      </c>
      <c r="F7" s="8">
        <f>'res_raw_37037974'!$F$5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'res_raw_37037974'!$B$6</f>
        <v/>
      </c>
      <c r="C8" s="11">
        <f>'res_raw_37037974'!$C$6</f>
        <v/>
      </c>
      <c r="D8" s="11">
        <f>'res_raw_37037974'!$D$6</f>
        <v/>
      </c>
      <c r="E8" s="11">
        <f>'res_raw_37037974'!$E$6</f>
        <v/>
      </c>
      <c r="F8" s="11">
        <f>'res_raw_37037974'!$F$6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'res_raw_37037974'!$B$7</f>
        <v/>
      </c>
      <c r="C9" s="8">
        <f>'res_raw_37037974'!$C$7</f>
        <v/>
      </c>
      <c r="D9" s="8">
        <f>'res_raw_37037974'!$D$7</f>
        <v/>
      </c>
      <c r="E9" s="8">
        <f>'res_raw_37037974'!$E$7</f>
        <v/>
      </c>
      <c r="F9" s="8">
        <f>'res_raw_37037974'!$F$7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'res_raw_37037974'!$B$9</f>
        <v/>
      </c>
      <c r="C11" s="8">
        <f>'res_raw_37037974'!$C$9</f>
        <v/>
      </c>
      <c r="D11" s="8">
        <f>'res_raw_37037974'!$D$9</f>
        <v/>
      </c>
      <c r="E11" s="8">
        <f>'res_raw_37037974'!$E$9</f>
        <v/>
      </c>
      <c r="F11" s="8">
        <f>'res_raw_37037974'!$F$9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'res_raw_37037974'!$B$10</f>
        <v/>
      </c>
      <c r="C12" s="5">
        <f>'res_raw_37037974'!$C$10</f>
        <v/>
      </c>
      <c r="D12" s="5">
        <f>'res_raw_37037974'!$D$10</f>
        <v/>
      </c>
      <c r="E12" s="5">
        <f>'res_raw_37037974'!$E$10</f>
        <v/>
      </c>
      <c r="F12" s="5">
        <f>'res_raw_37037974'!$F$10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'res_raw_37037974'!$B$11</f>
        <v/>
      </c>
      <c r="C13" s="11">
        <f>'res_raw_37037974'!$C$11</f>
        <v/>
      </c>
      <c r="D13" s="11">
        <f>'res_raw_37037974'!$D$11</f>
        <v/>
      </c>
      <c r="E13" s="11">
        <f>'res_raw_37037974'!$E$11</f>
        <v/>
      </c>
      <c r="F13" s="11">
        <f>'res_raw_37037974'!$F$11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'res_raw_37037974'!$B$12</f>
        <v/>
      </c>
      <c r="C14" s="5">
        <f>'res_raw_37037974'!$C$12</f>
        <v/>
      </c>
      <c r="D14" s="5">
        <f>'res_raw_37037974'!$D$12</f>
        <v/>
      </c>
      <c r="E14" s="5">
        <f>'res_raw_37037974'!$E$12</f>
        <v/>
      </c>
      <c r="F14" s="5">
        <f>'res_raw_37037974'!$F$12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'res_raw_37037974'!$B$13</f>
        <v/>
      </c>
      <c r="C15" s="8">
        <f>'res_raw_37037974'!$C$13</f>
        <v/>
      </c>
      <c r="D15" s="8">
        <f>'res_raw_37037974'!$D$13</f>
        <v/>
      </c>
      <c r="E15" s="8">
        <f>'res_raw_37037974'!$E$13</f>
        <v/>
      </c>
      <c r="F15" s="8">
        <f>'res_raw_37037974'!$F$13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'res_raw_37037974'!$B$14</f>
        <v/>
      </c>
      <c r="C16" s="5">
        <f>'res_raw_37037974'!$C$14</f>
        <v/>
      </c>
      <c r="D16" s="5">
        <f>'res_raw_37037974'!$D$14</f>
        <v/>
      </c>
      <c r="E16" s="5">
        <f>'res_raw_37037974'!$E$14</f>
        <v/>
      </c>
      <c r="F16" s="5">
        <f>'res_raw_37037974'!$F$14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'res_raw_37037974'!$B$15</f>
        <v/>
      </c>
      <c r="C17" s="11">
        <f>'res_raw_37037974'!$C$15</f>
        <v/>
      </c>
      <c r="D17" s="11">
        <f>'res_raw_37037974'!$D$15</f>
        <v/>
      </c>
      <c r="E17" s="11">
        <f>'res_raw_37037974'!$E$15</f>
        <v/>
      </c>
      <c r="F17" s="11">
        <f>'res_raw_37037974'!$F$15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'res_raw_37037974'!$B$16</f>
        <v/>
      </c>
      <c r="C18" s="11">
        <f>'res_raw_37037974'!$C$16</f>
        <v/>
      </c>
      <c r="D18" s="11">
        <f>'res_raw_37037974'!$D$16</f>
        <v/>
      </c>
      <c r="E18" s="11">
        <f>'res_raw_37037974'!$E$16</f>
        <v/>
      </c>
      <c r="F18" s="11">
        <f>'res_raw_37037974'!$F$16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'res_raw_37037974'!$B$17</f>
        <v/>
      </c>
      <c r="C19" s="8">
        <f>'res_raw_37037974'!$C$17</f>
        <v/>
      </c>
      <c r="D19" s="8">
        <f>'res_raw_37037974'!$D$17</f>
        <v/>
      </c>
      <c r="E19" s="8">
        <f>'res_raw_37037974'!$E$17</f>
        <v/>
      </c>
      <c r="F19" s="8">
        <f>'res_raw_37037974'!$F$17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'res_raw_37037974'!$B$18</f>
        <v/>
      </c>
      <c r="C20" s="11">
        <f>'res_raw_37037974'!$C$18</f>
        <v/>
      </c>
      <c r="D20" s="11">
        <f>'res_raw_37037974'!$D$18</f>
        <v/>
      </c>
      <c r="E20" s="11">
        <f>'res_raw_37037974'!$E$18</f>
        <v/>
      </c>
      <c r="F20" s="11">
        <f>'res_raw_37037974'!$F$18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'balance_raw_37037974'!$B$2</f>
        <v/>
      </c>
      <c r="C23" s="8">
        <f>'balance_raw_37037974'!$C$2</f>
        <v/>
      </c>
      <c r="D23" s="8">
        <f>'balance_raw_37037974'!$D$2</f>
        <v/>
      </c>
      <c r="E23" s="8">
        <f>'balance_raw_37037974'!$E$2</f>
        <v/>
      </c>
      <c r="F23" s="8">
        <f>'balance_raw_37037974'!$F$2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'balance_raw_37037974'!$B$3</f>
        <v/>
      </c>
      <c r="C24" s="5">
        <f>'balance_raw_37037974'!$C$3</f>
        <v/>
      </c>
      <c r="D24" s="5">
        <f>'balance_raw_37037974'!$D$3</f>
        <v/>
      </c>
      <c r="E24" s="5">
        <f>'balance_raw_37037974'!$E$3</f>
        <v/>
      </c>
      <c r="F24" s="5">
        <f>'balance_raw_37037974'!$F$3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'balance_raw_37037974'!$B$4</f>
        <v/>
      </c>
      <c r="C25" s="8">
        <f>'balance_raw_37037974'!$C$4</f>
        <v/>
      </c>
      <c r="D25" s="8">
        <f>'balance_raw_37037974'!$D$4</f>
        <v/>
      </c>
      <c r="E25" s="8">
        <f>'balance_raw_37037974'!$E$4</f>
        <v/>
      </c>
      <c r="F25" s="8">
        <f>'balance_raw_37037974'!$F$4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'balance_raw_37037974'!$B$5</f>
        <v/>
      </c>
      <c r="C26" s="11">
        <f>'balance_raw_37037974'!$C$5</f>
        <v/>
      </c>
      <c r="D26" s="11">
        <f>'balance_raw_37037974'!$D$5</f>
        <v/>
      </c>
      <c r="E26" s="11">
        <f>'balance_raw_37037974'!$E$5</f>
        <v/>
      </c>
      <c r="F26" s="11">
        <f>'balance_raw_37037974'!$F$5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'balance_raw_37037974'!$B$6</f>
        <v/>
      </c>
      <c r="C27" s="8">
        <f>'balance_raw_37037974'!$C$6</f>
        <v/>
      </c>
      <c r="D27" s="8">
        <f>'balance_raw_37037974'!$D$6</f>
        <v/>
      </c>
      <c r="E27" s="8">
        <f>'balance_raw_37037974'!$E$6</f>
        <v/>
      </c>
      <c r="F27" s="8">
        <f>'balance_raw_37037974'!$F$6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'balance_raw_37037974'!$B$7</f>
        <v/>
      </c>
      <c r="C28" s="5">
        <f>'balance_raw_37037974'!$C$7</f>
        <v/>
      </c>
      <c r="D28" s="5">
        <f>'balance_raw_37037974'!$D$7</f>
        <v/>
      </c>
      <c r="E28" s="5">
        <f>'balance_raw_37037974'!$E$7</f>
        <v/>
      </c>
      <c r="F28" s="5">
        <f>'balance_raw_37037974'!$F$7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'balance_raw_37037974'!$B$8</f>
        <v/>
      </c>
      <c r="C29" s="8">
        <f>'balance_raw_37037974'!$C$8</f>
        <v/>
      </c>
      <c r="D29" s="8">
        <f>'balance_raw_37037974'!$D$8</f>
        <v/>
      </c>
      <c r="E29" s="8">
        <f>'balance_raw_37037974'!$E$8</f>
        <v/>
      </c>
      <c r="F29" s="8">
        <f>'balance_raw_37037974'!$F$8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'balance_raw_37037974'!$B$9</f>
        <v/>
      </c>
      <c r="C30" s="5">
        <f>'balance_raw_37037974'!$C$9</f>
        <v/>
      </c>
      <c r="D30" s="5">
        <f>'balance_raw_37037974'!$D$9</f>
        <v/>
      </c>
      <c r="E30" s="5">
        <f>'balance_raw_37037974'!$E$9</f>
        <v/>
      </c>
      <c r="F30" s="5">
        <f>'balance_raw_37037974'!$F$9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'balance_raw_37037974'!$B$10</f>
        <v/>
      </c>
      <c r="C31" s="8">
        <f>'balance_raw_37037974'!$C$10</f>
        <v/>
      </c>
      <c r="D31" s="8">
        <f>'balance_raw_37037974'!$D$10</f>
        <v/>
      </c>
      <c r="E31" s="8">
        <f>'balance_raw_37037974'!$E$10</f>
        <v/>
      </c>
      <c r="F31" s="8">
        <f>'balance_raw_37037974'!$F$10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'balance_raw_37037974'!$B$11</f>
        <v/>
      </c>
      <c r="C32" s="11">
        <f>'balance_raw_37037974'!$C$11</f>
        <v/>
      </c>
      <c r="D32" s="11">
        <f>'balance_raw_37037974'!$D$11</f>
        <v/>
      </c>
      <c r="E32" s="11">
        <f>'balance_raw_37037974'!$E$11</f>
        <v/>
      </c>
      <c r="F32" s="11">
        <f>'balance_raw_37037974'!$F$11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'balance_raw_37037974'!$B$12</f>
        <v/>
      </c>
      <c r="C33" s="8">
        <f>'balance_raw_37037974'!$C$12</f>
        <v/>
      </c>
      <c r="D33" s="8">
        <f>'balance_raw_37037974'!$D$12</f>
        <v/>
      </c>
      <c r="E33" s="8">
        <f>'balance_raw_37037974'!$E$12</f>
        <v/>
      </c>
      <c r="F33" s="8">
        <f>'balance_raw_37037974'!$F$12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'balance_raw_37037974'!$B$13</f>
        <v/>
      </c>
      <c r="C34" s="5">
        <f>'balance_raw_37037974'!$C$13</f>
        <v/>
      </c>
      <c r="D34" s="5">
        <f>'balance_raw_37037974'!$D$13</f>
        <v/>
      </c>
      <c r="E34" s="5">
        <f>'balance_raw_37037974'!$E$13</f>
        <v/>
      </c>
      <c r="F34" s="5">
        <f>'balance_raw_37037974'!$F$13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'balance_raw_37037974'!$B$14</f>
        <v/>
      </c>
      <c r="C35" s="11">
        <f>'balance_raw_37037974'!$C$14</f>
        <v/>
      </c>
      <c r="D35" s="11">
        <f>'balance_raw_37037974'!$D$14</f>
        <v/>
      </c>
      <c r="E35" s="11">
        <f>'balance_raw_37037974'!$E$14</f>
        <v/>
      </c>
      <c r="F35" s="11">
        <f>'balance_raw_37037974'!$F$14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'balance_raw_37037974'!$B$15</f>
        <v/>
      </c>
      <c r="C36" s="11">
        <f>'balance_raw_37037974'!$C$15</f>
        <v/>
      </c>
      <c r="D36" s="11">
        <f>'balance_raw_37037974'!$D$15</f>
        <v/>
      </c>
      <c r="E36" s="11">
        <f>'balance_raw_37037974'!$E$15</f>
        <v/>
      </c>
      <c r="F36" s="11">
        <f>'balance_raw_37037974'!$F$15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'balance_raw_37037974'!$B$16</f>
        <v/>
      </c>
      <c r="C37" s="8">
        <f>'balance_raw_37037974'!$C$16</f>
        <v/>
      </c>
      <c r="D37" s="8">
        <f>'balance_raw_37037974'!$D$16</f>
        <v/>
      </c>
      <c r="E37" s="8">
        <f>'balance_raw_37037974'!$E$16</f>
        <v/>
      </c>
      <c r="F37" s="8">
        <f>'balance_raw_37037974'!$F$16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'balance_raw_37037974'!$B$17</f>
        <v/>
      </c>
      <c r="C38" s="5">
        <f>'balance_raw_37037974'!$C$17</f>
        <v/>
      </c>
      <c r="D38" s="5">
        <f>'balance_raw_37037974'!$D$17</f>
        <v/>
      </c>
      <c r="E38" s="5">
        <f>'balance_raw_37037974'!$E$17</f>
        <v/>
      </c>
      <c r="F38" s="5">
        <f>'balance_raw_37037974'!$F$17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'balance_raw_37037974'!$B$18</f>
        <v/>
      </c>
      <c r="C39" s="8">
        <f>'balance_raw_37037974'!$C$18</f>
        <v/>
      </c>
      <c r="D39" s="8">
        <f>'balance_raw_37037974'!$D$18</f>
        <v/>
      </c>
      <c r="E39" s="8">
        <f>'balance_raw_37037974'!$E$18</f>
        <v/>
      </c>
      <c r="F39" s="8">
        <f>'balance_raw_37037974'!$F$18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'balance_raw_37037974'!$B$19</f>
        <v/>
      </c>
      <c r="C40" s="11">
        <f>'balance_raw_37037974'!$C$19</f>
        <v/>
      </c>
      <c r="D40" s="11">
        <f>'balance_raw_37037974'!$D$19</f>
        <v/>
      </c>
      <c r="E40" s="11">
        <f>'balance_raw_37037974'!$E$19</f>
        <v/>
      </c>
      <c r="F40" s="11">
        <f>'balance_raw_37037974'!$F$19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'balance_raw_37037974'!$B$20</f>
        <v/>
      </c>
      <c r="C41" s="8">
        <f>'balance_raw_37037974'!$C$20</f>
        <v/>
      </c>
      <c r="D41" s="8">
        <f>'balance_raw_37037974'!$D$20</f>
        <v/>
      </c>
      <c r="E41" s="8">
        <f>'balance_raw_37037974'!$E$20</f>
        <v/>
      </c>
      <c r="F41" s="8">
        <f>'balance_raw_37037974'!$F$20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'balance_raw_37037974'!$B$21</f>
        <v/>
      </c>
      <c r="C42" s="5">
        <f>'balance_raw_37037974'!$C$21</f>
        <v/>
      </c>
      <c r="D42" s="5">
        <f>'balance_raw_37037974'!$D$21</f>
        <v/>
      </c>
      <c r="E42" s="5">
        <f>'balance_raw_37037974'!$E$21</f>
        <v/>
      </c>
      <c r="F42" s="5">
        <f>'balance_raw_37037974'!$F$21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'balance_raw_37037974'!$B$22</f>
        <v/>
      </c>
      <c r="C43" s="8">
        <f>'balance_raw_37037974'!$C$22</f>
        <v/>
      </c>
      <c r="D43" s="8">
        <f>'balance_raw_37037974'!$D$22</f>
        <v/>
      </c>
      <c r="E43" s="8">
        <f>'balance_raw_37037974'!$E$22</f>
        <v/>
      </c>
      <c r="F43" s="8">
        <f>'balance_raw_37037974'!$F$22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'balance_raw_37037974'!$B$23</f>
        <v/>
      </c>
      <c r="C44" s="5">
        <f>'balance_raw_37037974'!$C$23</f>
        <v/>
      </c>
      <c r="D44" s="5">
        <f>'balance_raw_37037974'!$D$23</f>
        <v/>
      </c>
      <c r="E44" s="5">
        <f>'balance_raw_37037974'!$E$23</f>
        <v/>
      </c>
      <c r="F44" s="5">
        <f>'balance_raw_37037974'!$F$23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'balance_raw_37037974'!$B$24</f>
        <v/>
      </c>
      <c r="C45" s="8">
        <f>'balance_raw_37037974'!$C$24</f>
        <v/>
      </c>
      <c r="D45" s="8">
        <f>'balance_raw_37037974'!$D$24</f>
        <v/>
      </c>
      <c r="E45" s="8">
        <f>'balance_raw_37037974'!$E$24</f>
        <v/>
      </c>
      <c r="F45" s="8">
        <f>'balance_raw_37037974'!$F$24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'balance_raw_37037974'!$B$25</f>
        <v/>
      </c>
      <c r="C46" s="5">
        <f>'balance_raw_37037974'!$C$25</f>
        <v/>
      </c>
      <c r="D46" s="5">
        <f>'balance_raw_37037974'!$D$25</f>
        <v/>
      </c>
      <c r="E46" s="5">
        <f>'balance_raw_37037974'!$E$25</f>
        <v/>
      </c>
      <c r="F46" s="5">
        <f>'balance_raw_37037974'!$F$25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'balance_raw_37037974'!$B$26</f>
        <v/>
      </c>
      <c r="C47" s="8">
        <f>'balance_raw_37037974'!$C$26</f>
        <v/>
      </c>
      <c r="D47" s="8">
        <f>'balance_raw_37037974'!$D$26</f>
        <v/>
      </c>
      <c r="E47" s="8">
        <f>'balance_raw_37037974'!$E$26</f>
        <v/>
      </c>
      <c r="F47" s="8">
        <f>'balance_raw_37037974'!$F$26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'balance_raw_37037974'!$B$27</f>
        <v/>
      </c>
      <c r="C48" s="11">
        <f>'balance_raw_37037974'!$C$27</f>
        <v/>
      </c>
      <c r="D48" s="11">
        <f>'balance_raw_37037974'!$D$27</f>
        <v/>
      </c>
      <c r="E48" s="11">
        <f>'balance_raw_37037974'!$E$27</f>
        <v/>
      </c>
      <c r="F48" s="11">
        <f>'balance_raw_37037974'!$F$27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'balance_raw_37037974'!$B$28</f>
        <v/>
      </c>
      <c r="C49" s="8">
        <f>'balance_raw_37037974'!$C$28</f>
        <v/>
      </c>
      <c r="D49" s="8">
        <f>'balance_raw_37037974'!$D$28</f>
        <v/>
      </c>
      <c r="E49" s="8">
        <f>'balance_raw_37037974'!$E$28</f>
        <v/>
      </c>
      <c r="F49" s="8">
        <f>'balance_raw_37037974'!$F$28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'balance_raw_37037974'!$B$29</f>
        <v/>
      </c>
      <c r="C50" s="5">
        <f>'balance_raw_37037974'!$C$29</f>
        <v/>
      </c>
      <c r="D50" s="5">
        <f>'balance_raw_37037974'!$D$29</f>
        <v/>
      </c>
      <c r="E50" s="5">
        <f>'balance_raw_37037974'!$E$29</f>
        <v/>
      </c>
      <c r="F50" s="5">
        <f>'balance_raw_37037974'!$F$29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'balance_raw_37037974'!$B$30</f>
        <v/>
      </c>
      <c r="C51" s="11">
        <f>'balance_raw_37037974'!$C$30</f>
        <v/>
      </c>
      <c r="D51" s="11">
        <f>'balance_raw_37037974'!$D$30</f>
        <v/>
      </c>
      <c r="E51" s="11">
        <f>'balance_raw_37037974'!$E$30</f>
        <v/>
      </c>
      <c r="F51" s="11">
        <f>'balance_raw_37037974'!$F$30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'balance_raw_37037974'!$B$31</f>
        <v/>
      </c>
      <c r="C52" s="11">
        <f>'balance_raw_37037974'!$C$31</f>
        <v/>
      </c>
      <c r="D52" s="11">
        <f>'balance_raw_37037974'!$D$31</f>
        <v/>
      </c>
      <c r="E52" s="11">
        <f>'balance_raw_37037974'!$E$31</f>
        <v/>
      </c>
      <c r="F52" s="11">
        <f>'balance_raw_37037974'!$F$31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'balance_raw_37037974'!$B$32</f>
        <v/>
      </c>
      <c r="C55" s="8">
        <f>'balance_raw_37037974'!$C$32</f>
        <v/>
      </c>
      <c r="D55" s="8">
        <f>'balance_raw_37037974'!$D$32</f>
        <v/>
      </c>
      <c r="E55" s="8">
        <f>'balance_raw_37037974'!$E$32</f>
        <v/>
      </c>
      <c r="F55" s="8">
        <f>'balance_raw_37037974'!$F$32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'balance_raw_37037974'!$B$33</f>
        <v/>
      </c>
      <c r="C56" s="5">
        <f>'balance_raw_37037974'!$C$33</f>
        <v/>
      </c>
      <c r="D56" s="5">
        <f>'balance_raw_37037974'!$D$33</f>
        <v/>
      </c>
      <c r="E56" s="5">
        <f>'balance_raw_37037974'!$E$33</f>
        <v/>
      </c>
      <c r="F56" s="5">
        <f>'balance_raw_37037974'!$F$33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'balance_raw_37037974'!$B$34</f>
        <v/>
      </c>
      <c r="C57" s="8">
        <f>'balance_raw_37037974'!$C$34</f>
        <v/>
      </c>
      <c r="D57" s="8">
        <f>'balance_raw_37037974'!$D$34</f>
        <v/>
      </c>
      <c r="E57" s="8">
        <f>'balance_raw_37037974'!$E$34</f>
        <v/>
      </c>
      <c r="F57" s="8">
        <f>'balance_raw_37037974'!$F$34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'balance_raw_37037974'!$B$35</f>
        <v/>
      </c>
      <c r="C58" s="5">
        <f>'balance_raw_37037974'!$C$35</f>
        <v/>
      </c>
      <c r="D58" s="5">
        <f>'balance_raw_37037974'!$D$35</f>
        <v/>
      </c>
      <c r="E58" s="5">
        <f>'balance_raw_37037974'!$E$35</f>
        <v/>
      </c>
      <c r="F58" s="5">
        <f>'balance_raw_37037974'!$F$35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'balance_raw_37037974'!$B$36</f>
        <v/>
      </c>
      <c r="C59" s="8">
        <f>'balance_raw_37037974'!$C$36</f>
        <v/>
      </c>
      <c r="D59" s="8">
        <f>'balance_raw_37037974'!$D$36</f>
        <v/>
      </c>
      <c r="E59" s="8">
        <f>'balance_raw_37037974'!$E$36</f>
        <v/>
      </c>
      <c r="F59" s="8">
        <f>'balance_raw_37037974'!$F$36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'balance_raw_37037974'!$B$37</f>
        <v/>
      </c>
      <c r="C60" s="5">
        <f>'balance_raw_37037974'!$C$37</f>
        <v/>
      </c>
      <c r="D60" s="5">
        <f>'balance_raw_37037974'!$D$37</f>
        <v/>
      </c>
      <c r="E60" s="5">
        <f>'balance_raw_37037974'!$E$37</f>
        <v/>
      </c>
      <c r="F60" s="5">
        <f>'balance_raw_37037974'!$F$37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'balance_raw_37037974'!$B$38</f>
        <v/>
      </c>
      <c r="C61" s="11">
        <f>'balance_raw_37037974'!$C$38</f>
        <v/>
      </c>
      <c r="D61" s="11">
        <f>'balance_raw_37037974'!$D$38</f>
        <v/>
      </c>
      <c r="E61" s="11">
        <f>'balance_raw_37037974'!$E$38</f>
        <v/>
      </c>
      <c r="F61" s="11">
        <f>'balance_raw_37037974'!$F$38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'balance_raw_37037974'!$B$39</f>
        <v/>
      </c>
      <c r="C62" s="5">
        <f>'balance_raw_37037974'!$C$39</f>
        <v/>
      </c>
      <c r="D62" s="5">
        <f>'balance_raw_37037974'!$D$39</f>
        <v/>
      </c>
      <c r="E62" s="5">
        <f>'balance_raw_37037974'!$E$39</f>
        <v/>
      </c>
      <c r="F62" s="5">
        <f>'balance_raw_37037974'!$F$39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'balance_raw_37037974'!$B$40</f>
        <v/>
      </c>
      <c r="C63" s="8">
        <f>'balance_raw_37037974'!$C$40</f>
        <v/>
      </c>
      <c r="D63" s="8">
        <f>'balance_raw_37037974'!$D$40</f>
        <v/>
      </c>
      <c r="E63" s="8">
        <f>'balance_raw_37037974'!$E$40</f>
        <v/>
      </c>
      <c r="F63" s="8">
        <f>'balance_raw_37037974'!$F$40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'balance_raw_37037974'!$B$41</f>
        <v/>
      </c>
      <c r="C64" s="5">
        <f>'balance_raw_37037974'!$C$41</f>
        <v/>
      </c>
      <c r="D64" s="5">
        <f>'balance_raw_37037974'!$D$41</f>
        <v/>
      </c>
      <c r="E64" s="5">
        <f>'balance_raw_37037974'!$E$41</f>
        <v/>
      </c>
      <c r="F64" s="5">
        <f>'balance_raw_37037974'!$F$41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'balance_raw_37037974'!$B$42</f>
        <v/>
      </c>
      <c r="C65" s="8">
        <f>'balance_raw_37037974'!$C$42</f>
        <v/>
      </c>
      <c r="D65" s="8">
        <f>'balance_raw_37037974'!$D$42</f>
        <v/>
      </c>
      <c r="E65" s="8">
        <f>'balance_raw_37037974'!$E$42</f>
        <v/>
      </c>
      <c r="F65" s="8">
        <f>'balance_raw_37037974'!$F$42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'balance_raw_37037974'!$B$43</f>
        <v/>
      </c>
      <c r="C66" s="11">
        <f>'balance_raw_37037974'!$C$43</f>
        <v/>
      </c>
      <c r="D66" s="11">
        <f>'balance_raw_37037974'!$D$43</f>
        <v/>
      </c>
      <c r="E66" s="11">
        <f>'balance_raw_37037974'!$E$43</f>
        <v/>
      </c>
      <c r="F66" s="11">
        <f>'balance_raw_37037974'!$F$43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'balance_raw_37037974'!$B$44</f>
        <v/>
      </c>
      <c r="C67" s="8">
        <f>'balance_raw_37037974'!$C$44</f>
        <v/>
      </c>
      <c r="D67" s="8">
        <f>'balance_raw_37037974'!$D$44</f>
        <v/>
      </c>
      <c r="E67" s="8">
        <f>'balance_raw_37037974'!$E$44</f>
        <v/>
      </c>
      <c r="F67" s="8">
        <f>'balance_raw_37037974'!$F$44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'balance_raw_37037974'!$B$45</f>
        <v/>
      </c>
      <c r="C68" s="5">
        <f>'balance_raw_37037974'!$C$45</f>
        <v/>
      </c>
      <c r="D68" s="5">
        <f>'balance_raw_37037974'!$D$45</f>
        <v/>
      </c>
      <c r="E68" s="5">
        <f>'balance_raw_37037974'!$E$45</f>
        <v/>
      </c>
      <c r="F68" s="5">
        <f>'balance_raw_37037974'!$F$45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'balance_raw_37037974'!$B$46</f>
        <v/>
      </c>
      <c r="C69" s="8">
        <f>'balance_raw_37037974'!$C$46</f>
        <v/>
      </c>
      <c r="D69" s="8">
        <f>'balance_raw_37037974'!$D$46</f>
        <v/>
      </c>
      <c r="E69" s="8">
        <f>'balance_raw_37037974'!$E$46</f>
        <v/>
      </c>
      <c r="F69" s="8">
        <f>'balance_raw_37037974'!$F$46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'balance_raw_37037974'!$B$47</f>
        <v/>
      </c>
      <c r="C70" s="5">
        <f>'balance_raw_37037974'!$C$47</f>
        <v/>
      </c>
      <c r="D70" s="5">
        <f>'balance_raw_37037974'!$D$47</f>
        <v/>
      </c>
      <c r="E70" s="5">
        <f>'balance_raw_37037974'!$E$47</f>
        <v/>
      </c>
      <c r="F70" s="5">
        <f>'balance_raw_37037974'!$F$47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'balance_raw_37037974'!$B$48</f>
        <v/>
      </c>
      <c r="C71" s="8">
        <f>'balance_raw_37037974'!$C$48</f>
        <v/>
      </c>
      <c r="D71" s="8">
        <f>'balance_raw_37037974'!$D$48</f>
        <v/>
      </c>
      <c r="E71" s="8">
        <f>'balance_raw_37037974'!$E$48</f>
        <v/>
      </c>
      <c r="F71" s="8">
        <f>'balance_raw_37037974'!$F$48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'balance_raw_37037974'!$B$49</f>
        <v/>
      </c>
      <c r="C72" s="5">
        <f>'balance_raw_37037974'!$C$49</f>
        <v/>
      </c>
      <c r="D72" s="5">
        <f>'balance_raw_37037974'!$D$49</f>
        <v/>
      </c>
      <c r="E72" s="5">
        <f>'balance_raw_37037974'!$E$49</f>
        <v/>
      </c>
      <c r="F72" s="5">
        <f>'balance_raw_37037974'!$F$49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'balance_raw_37037974'!$B$50</f>
        <v/>
      </c>
      <c r="C73" s="8">
        <f>'balance_raw_37037974'!$C$50</f>
        <v/>
      </c>
      <c r="D73" s="8">
        <f>'balance_raw_37037974'!$D$50</f>
        <v/>
      </c>
      <c r="E73" s="8">
        <f>'balance_raw_37037974'!$E$50</f>
        <v/>
      </c>
      <c r="F73" s="8">
        <f>'balance_raw_37037974'!$F$50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'balance_raw_37037974'!$B$51</f>
        <v/>
      </c>
      <c r="C74" s="5">
        <f>'balance_raw_37037974'!$C$51</f>
        <v/>
      </c>
      <c r="D74" s="5">
        <f>'balance_raw_37037974'!$D$51</f>
        <v/>
      </c>
      <c r="E74" s="5">
        <f>'balance_raw_37037974'!$E$51</f>
        <v/>
      </c>
      <c r="F74" s="5">
        <f>'balance_raw_37037974'!$F$51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'balance_raw_37037974'!$B$52</f>
        <v/>
      </c>
      <c r="C75" s="8">
        <f>'balance_raw_37037974'!$C$52</f>
        <v/>
      </c>
      <c r="D75" s="8">
        <f>'balance_raw_37037974'!$D$52</f>
        <v/>
      </c>
      <c r="E75" s="8">
        <f>'balance_raw_37037974'!$E$52</f>
        <v/>
      </c>
      <c r="F75" s="8">
        <f>'balance_raw_37037974'!$F$52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'balance_raw_37037974'!$B$53</f>
        <v/>
      </c>
      <c r="C76" s="5">
        <f>'balance_raw_37037974'!$C$53</f>
        <v/>
      </c>
      <c r="D76" s="5">
        <f>'balance_raw_37037974'!$D$53</f>
        <v/>
      </c>
      <c r="E76" s="5">
        <f>'balance_raw_37037974'!$E$53</f>
        <v/>
      </c>
      <c r="F76" s="5">
        <f>'balance_raw_37037974'!$F$53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'balance_raw_37037974'!$B$54</f>
        <v/>
      </c>
      <c r="C77" s="8">
        <f>'balance_raw_37037974'!$C$54</f>
        <v/>
      </c>
      <c r="D77" s="8">
        <f>'balance_raw_37037974'!$D$54</f>
        <v/>
      </c>
      <c r="E77" s="8">
        <f>'balance_raw_37037974'!$E$54</f>
        <v/>
      </c>
      <c r="F77" s="8">
        <f>'balance_raw_37037974'!$F$54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'balance_raw_37037974'!$B$55</f>
        <v/>
      </c>
      <c r="C78" s="11">
        <f>'balance_raw_37037974'!$C$55</f>
        <v/>
      </c>
      <c r="D78" s="11">
        <f>'balance_raw_37037974'!$D$55</f>
        <v/>
      </c>
      <c r="E78" s="11">
        <f>'balance_raw_37037974'!$E$55</f>
        <v/>
      </c>
      <c r="F78" s="11">
        <f>'balance_raw_37037974'!$F$55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'balance_raw_37037974'!$B$56</f>
        <v/>
      </c>
      <c r="C79" s="11">
        <f>'balance_raw_37037974'!$C$56</f>
        <v/>
      </c>
      <c r="D79" s="11">
        <f>'balance_raw_37037974'!$D$56</f>
        <v/>
      </c>
      <c r="E79" s="11">
        <f>'balance_raw_37037974'!$E$56</f>
        <v/>
      </c>
      <c r="F79" s="11">
        <f>'balance_raw_37037974'!$F$56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'balance_raw_37037974'!$B$57</f>
        <v/>
      </c>
      <c r="C80" s="11">
        <f>'balance_raw_37037974'!$C$57</f>
        <v/>
      </c>
      <c r="D80" s="11">
        <f>'balance_raw_37037974'!$D$57</f>
        <v/>
      </c>
      <c r="E80" s="11">
        <f>'balance_raw_37037974'!$E$57</f>
        <v/>
      </c>
      <c r="F80" s="11">
        <f>'balance_raw_37037974'!$F$57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'res_raw_37037974'!$B$19</f>
        <v/>
      </c>
      <c r="C83" s="8">
        <f>'res_raw_37037974'!$C$19</f>
        <v/>
      </c>
      <c r="D83" s="8">
        <f>'res_raw_37037974'!$D$19</f>
        <v/>
      </c>
      <c r="E83" s="8">
        <f>'res_raw_37037974'!$E$19</f>
        <v/>
      </c>
      <c r="F83" s="8">
        <f>'res_raw_37037974'!$F$19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'res_raw_37037974'!$B$20</f>
        <v/>
      </c>
      <c r="C84" s="5">
        <f>'res_raw_37037974'!$C$20</f>
        <v/>
      </c>
      <c r="D84" s="5">
        <f>'res_raw_37037974'!$D$20</f>
        <v/>
      </c>
      <c r="E84" s="5">
        <f>'res_raw_37037974'!$E$20</f>
        <v/>
      </c>
      <c r="F84" s="5">
        <f>'res_raw_37037974'!$F$20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'pengestrom_raw_37037974'!$B$2</f>
        <v/>
      </c>
      <c r="C100" s="17">
        <f>'pengestrom_raw_37037974'!$C$2</f>
        <v/>
      </c>
      <c r="D100" s="17">
        <f>'pengestrom_raw_37037974'!$D$2</f>
        <v/>
      </c>
      <c r="E100" s="17">
        <f>'pengestrom_raw_37037974'!$E$2</f>
        <v/>
      </c>
      <c r="F100" s="17">
        <f>'pengestrom_raw_37037974'!$F$2</f>
        <v/>
      </c>
    </row>
    <row r="101">
      <c r="A101" s="16" t="inlineStr">
        <is>
          <t>Pengestrømme fra investeringsaktivitet</t>
        </is>
      </c>
      <c r="B101" s="17">
        <f>'pengestrom_raw_37037974'!$B$3</f>
        <v/>
      </c>
      <c r="C101" s="17">
        <f>'pengestrom_raw_37037974'!$C$3</f>
        <v/>
      </c>
      <c r="D101" s="17">
        <f>'pengestrom_raw_37037974'!$D$3</f>
        <v/>
      </c>
      <c r="E101" s="17">
        <f>'pengestrom_raw_37037974'!$E$3</f>
        <v/>
      </c>
      <c r="F101" s="17">
        <f>'pengestrom_raw_37037974'!$F$3</f>
        <v/>
      </c>
    </row>
    <row r="102">
      <c r="A102" s="16" t="inlineStr">
        <is>
          <t>Pengestrømme fra finansieringsaktivitet</t>
        </is>
      </c>
      <c r="B102" s="17">
        <f>'pengestrom_raw_37037974'!$B$4</f>
        <v/>
      </c>
      <c r="C102" s="17">
        <f>'pengestrom_raw_37037974'!$C$4</f>
        <v/>
      </c>
      <c r="D102" s="17">
        <f>'pengestrom_raw_37037974'!$D$4</f>
        <v/>
      </c>
      <c r="E102" s="17">
        <f>'pengestrom_raw_37037974'!$E$4</f>
        <v/>
      </c>
      <c r="F102" s="17">
        <f>'pengestrom_raw_37037974'!$F$4</f>
        <v/>
      </c>
    </row>
    <row r="103">
      <c r="A103" s="16" t="inlineStr">
        <is>
          <t>Årets pengestrøm (rapporteret)</t>
        </is>
      </c>
      <c r="B103" s="17">
        <f>'pengestrom_raw_37037974'!$B$5</f>
        <v/>
      </c>
      <c r="C103" s="17">
        <f>'pengestrom_raw_37037974'!$C$5</f>
        <v/>
      </c>
      <c r="D103" s="17">
        <f>'pengestrom_raw_37037974'!$D$5</f>
        <v/>
      </c>
      <c r="E103" s="17">
        <f>'pengestrom_raw_37037974'!$E$5</f>
        <v/>
      </c>
      <c r="F103" s="17">
        <f>'pengestrom_raw_37037974'!$F$5</f>
        <v/>
      </c>
    </row>
    <row r="104">
      <c r="A104" s="16" t="inlineStr">
        <is>
          <t>Krydstjek: drift + inv. + fin. = årets pengestrøm</t>
        </is>
      </c>
      <c r="B104">
        <f>IF(ABS(('pengestrom_raw_37037974'!$B$2+'pengestrom_raw_37037974'!$B$3+'pengestrom_raw_37037974'!$B$4)-'pengestrom_raw_37037974'!$B$5)&lt;=2,"✓","⚠ "&amp;TEXT(('pengestrom_raw_37037974'!$B$2+'pengestrom_raw_37037974'!$B$3+'pengestrom_raw_37037974'!$B$4)-'pengestrom_raw_37037974'!$B$5,"+#,##0;-#,##0"))</f>
        <v/>
      </c>
      <c r="C104">
        <f>IF(ABS(('pengestrom_raw_37037974'!$C$2+'pengestrom_raw_37037974'!$C$3+'pengestrom_raw_37037974'!$C$4)-'pengestrom_raw_37037974'!$C$5)&lt;=2,"✓","⚠ "&amp;TEXT(('pengestrom_raw_37037974'!$C$2+'pengestrom_raw_37037974'!$C$3+'pengestrom_raw_37037974'!$C$4)-'pengestrom_raw_37037974'!$C$5,"+#,##0;-#,##0"))</f>
        <v/>
      </c>
      <c r="D104">
        <f>IF(ABS(('pengestrom_raw_37037974'!$D$2+'pengestrom_raw_37037974'!$D$3+'pengestrom_raw_37037974'!$D$4)-'pengestrom_raw_37037974'!$D$5)&lt;=2,"✓","⚠ "&amp;TEXT(('pengestrom_raw_37037974'!$D$2+'pengestrom_raw_37037974'!$D$3+'pengestrom_raw_37037974'!$D$4)-'pengestrom_raw_37037974'!$D$5,"+#,##0;-#,##0"))</f>
        <v/>
      </c>
      <c r="E104">
        <f>IF(ABS(('pengestrom_raw_37037974'!$E$2+'pengestrom_raw_37037974'!$E$3+'pengestrom_raw_37037974'!$E$4)-'pengestrom_raw_37037974'!$E$5)&lt;=2,"✓","⚠ "&amp;TEXT(('pengestrom_raw_37037974'!$E$2+'pengestrom_raw_37037974'!$E$3+'pengestrom_raw_37037974'!$E$4)-'pengestrom_raw_37037974'!$E$5,"+#,##0;-#,##0"))</f>
        <v/>
      </c>
      <c r="F104">
        <f>IF(ABS(('pengestrom_raw_37037974'!$F$2+'pengestrom_raw_37037974'!$F$3+'pengestrom_raw_37037974'!$F$4)-'pengestrom_raw_37037974'!$F$5)&lt;=2,"✓","⚠ "&amp;TEXT(('pengestrom_raw_37037974'!$F$2+'pengestrom_raw_37037974'!$F$3+'pengestrom_raw_37037974'!$F$4)-'pengestrom_raw_37037974'!$F$5,"+#,##0;-#,##0"))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Alefarm Brewing A/S (CVR 37037974)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8648</v>
      </c>
      <c r="C2" s="17" t="n">
        <v>8533</v>
      </c>
      <c r="D2" s="17" t="n">
        <v>8781</v>
      </c>
      <c r="E2" s="17" t="n">
        <v>9925</v>
      </c>
      <c r="F2" s="17" t="n">
        <v>11528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>
        <v>1858</v>
      </c>
      <c r="C4" s="17" t="n">
        <v>726</v>
      </c>
      <c r="D4" s="17" t="n">
        <v>3</v>
      </c>
      <c r="E4" s="17" t="n">
        <v>-344</v>
      </c>
      <c r="F4" s="17" t="n">
        <v>682</v>
      </c>
    </row>
    <row r="5">
      <c r="A5" s="16" t="inlineStr">
        <is>
          <t>Andre eksterne omkostninger</t>
        </is>
      </c>
      <c r="B5" s="17" t="n">
        <v>2930</v>
      </c>
      <c r="C5" s="17" t="n">
        <v>3646</v>
      </c>
      <c r="D5" s="17" t="n">
        <v>2849</v>
      </c>
      <c r="E5" s="17" t="n">
        <v>2970</v>
      </c>
      <c r="F5" s="17" t="n">
        <v>2481</v>
      </c>
    </row>
    <row r="6">
      <c r="A6" s="15" t="inlineStr">
        <is>
          <t>Bruttoresultat</t>
        </is>
      </c>
      <c r="B6" s="17" t="n">
        <v>2620</v>
      </c>
      <c r="C6" s="17" t="n">
        <v>1365</v>
      </c>
      <c r="D6" s="17" t="n">
        <v>2089</v>
      </c>
      <c r="E6" s="17" t="n">
        <v>2644</v>
      </c>
      <c r="F6" s="17" t="n">
        <v>3986</v>
      </c>
    </row>
    <row r="7">
      <c r="A7" s="16" t="inlineStr">
        <is>
          <t>Personaleomkostninger</t>
        </is>
      </c>
      <c r="B7" s="17" t="n">
        <v>4407</v>
      </c>
      <c r="C7" s="17" t="n">
        <v>4613</v>
      </c>
      <c r="D7" s="17" t="n">
        <v>3653</v>
      </c>
      <c r="E7" s="17" t="n">
        <v>3844</v>
      </c>
      <c r="F7" s="17" t="n">
        <v>3366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1199</v>
      </c>
      <c r="C9" s="17" t="n">
        <v>1725</v>
      </c>
      <c r="D9" s="17" t="n">
        <v>1762</v>
      </c>
      <c r="E9" s="17" t="n">
        <v>1706</v>
      </c>
      <c r="F9" s="17" t="n">
        <v>1807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-2986</v>
      </c>
      <c r="C11" s="17" t="n">
        <v>-4973</v>
      </c>
      <c r="D11" s="17" t="n">
        <v>-3327</v>
      </c>
      <c r="E11" s="17" t="n">
        <v>-2905</v>
      </c>
      <c r="F11" s="17" t="n">
        <v>-1187</v>
      </c>
    </row>
    <row r="12">
      <c r="A12" s="16" t="inlineStr">
        <is>
          <t>Indtægter af kapitalandele, dattervirksomheder</t>
        </is>
      </c>
      <c r="B12" s="17" t="n">
        <v>-125</v>
      </c>
      <c r="C12" s="17" t="n">
        <v>-35</v>
      </c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0</v>
      </c>
      <c r="C13" s="17" t="n"/>
      <c r="D13" s="17" t="n"/>
      <c r="E13" s="17" t="n"/>
      <c r="F13" s="17" t="n"/>
    </row>
    <row r="14">
      <c r="A14" s="16" t="inlineStr">
        <is>
          <t>Finansielle omkostninger</t>
        </is>
      </c>
      <c r="B14" s="17" t="n">
        <v>292</v>
      </c>
      <c r="C14" s="17" t="n">
        <v>241</v>
      </c>
      <c r="D14" s="17" t="n">
        <v>207</v>
      </c>
      <c r="E14" s="17" t="n">
        <v>318</v>
      </c>
      <c r="F14" s="17" t="n">
        <v>334</v>
      </c>
    </row>
    <row r="15">
      <c r="A15" s="15" t="inlineStr">
        <is>
          <t>Finansielle poster, netto</t>
        </is>
      </c>
      <c r="B15" s="17" t="n">
        <v>-292</v>
      </c>
      <c r="C15" s="17" t="n">
        <v>-241</v>
      </c>
      <c r="D15" s="17" t="n">
        <v>-207</v>
      </c>
      <c r="E15" s="17" t="n">
        <v>-318</v>
      </c>
      <c r="F15" s="17" t="n">
        <v>-334</v>
      </c>
    </row>
    <row r="16">
      <c r="A16" s="15" t="inlineStr">
        <is>
          <t>Resultat før skat</t>
        </is>
      </c>
      <c r="B16" s="17" t="n">
        <v>-3403</v>
      </c>
      <c r="C16" s="17" t="n">
        <v>-5248</v>
      </c>
      <c r="D16" s="17" t="n">
        <v>-3534</v>
      </c>
      <c r="E16" s="17" t="n">
        <v>-3223</v>
      </c>
      <c r="F16" s="17" t="n">
        <v>-1521</v>
      </c>
    </row>
    <row r="17">
      <c r="A17" s="16" t="inlineStr">
        <is>
          <t>Skat af årets resultat</t>
        </is>
      </c>
      <c r="B17" s="17" t="n">
        <v>-820</v>
      </c>
      <c r="C17" s="17" t="n">
        <v>1311</v>
      </c>
      <c r="D17" s="17" t="n">
        <v>0</v>
      </c>
      <c r="E17" s="17" t="n">
        <v>0</v>
      </c>
      <c r="F17" s="17" t="n">
        <v>0</v>
      </c>
    </row>
    <row r="18">
      <c r="A18" s="15" t="inlineStr">
        <is>
          <t>Årets resultat</t>
        </is>
      </c>
      <c r="B18" s="17" t="n">
        <v>-2583</v>
      </c>
      <c r="C18" s="17" t="n">
        <v>-6559</v>
      </c>
      <c r="D18" s="17" t="n">
        <v>-3534</v>
      </c>
      <c r="E18" s="17" t="n">
        <v>-3223</v>
      </c>
      <c r="F18" s="17" t="n">
        <v>-1521</v>
      </c>
    </row>
    <row r="19">
      <c r="A19" s="16" t="inlineStr">
        <is>
          <t>Gns. antal medarbejdere</t>
        </is>
      </c>
      <c r="B19" s="17" t="n">
        <v>9</v>
      </c>
      <c r="C19" s="17" t="n">
        <v>9</v>
      </c>
      <c r="D19" s="17" t="n">
        <v>8</v>
      </c>
      <c r="E19" s="17" t="n">
        <v>8</v>
      </c>
      <c r="F19" s="17" t="n">
        <v>7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Alefarm Brewing A/S (CVR 37037974)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135</v>
      </c>
      <c r="C2" s="17" t="n">
        <v>151</v>
      </c>
      <c r="D2" s="17" t="n">
        <v>51</v>
      </c>
      <c r="E2" s="17" t="n">
        <v>0</v>
      </c>
      <c r="F2" s="17" t="n">
        <v>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499</v>
      </c>
      <c r="C5" s="17" t="n">
        <v>1102</v>
      </c>
      <c r="D5" s="17" t="n">
        <v>1402</v>
      </c>
      <c r="E5" s="17" t="n">
        <v>1888</v>
      </c>
      <c r="F5" s="17" t="n">
        <v>0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4864</v>
      </c>
      <c r="C8" s="17" t="n">
        <v>4320</v>
      </c>
      <c r="D8" s="17" t="n">
        <v>3137</v>
      </c>
      <c r="E8" s="17" t="n">
        <v>2748</v>
      </c>
      <c r="F8" s="17" t="n">
        <v>1788</v>
      </c>
    </row>
    <row r="9">
      <c r="A9" s="16" t="inlineStr">
        <is>
          <t>Indretning af lejede lokaler</t>
        </is>
      </c>
      <c r="B9" s="17" t="n">
        <v>1934</v>
      </c>
      <c r="C9" s="17" t="n">
        <v>1906</v>
      </c>
      <c r="D9" s="17" t="n">
        <v>1533</v>
      </c>
      <c r="E9" s="17" t="n">
        <v>1144</v>
      </c>
      <c r="F9" s="17" t="n">
        <v>812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6798</v>
      </c>
      <c r="C11" s="17" t="n">
        <v>6226</v>
      </c>
      <c r="D11" s="17" t="n">
        <v>4669</v>
      </c>
      <c r="E11" s="17" t="n">
        <v>3892</v>
      </c>
      <c r="F11" s="17" t="n">
        <v>2601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/>
      <c r="E12" s="17" t="n"/>
      <c r="F12" s="17" t="n"/>
    </row>
    <row r="13">
      <c r="A13" s="16" t="inlineStr">
        <is>
          <t>Deposita</t>
        </is>
      </c>
      <c r="B13" s="17" t="n">
        <v>437</v>
      </c>
      <c r="C13" s="17" t="n">
        <v>386</v>
      </c>
      <c r="D13" s="17" t="n">
        <v>422</v>
      </c>
      <c r="E13" s="17" t="n">
        <v>497</v>
      </c>
      <c r="F13" s="17" t="n">
        <v>502</v>
      </c>
    </row>
    <row r="14">
      <c r="A14" s="15" t="inlineStr">
        <is>
          <t>Finansielle anlægsaktiver</t>
        </is>
      </c>
      <c r="B14" s="17" t="n">
        <v>437</v>
      </c>
      <c r="C14" s="17" t="n">
        <v>386</v>
      </c>
      <c r="D14" s="17" t="n">
        <v>422</v>
      </c>
      <c r="E14" s="17" t="n">
        <v>497</v>
      </c>
      <c r="F14" s="17" t="n">
        <v>502</v>
      </c>
    </row>
    <row r="15">
      <c r="A15" s="15" t="inlineStr">
        <is>
          <t>Anlægsaktiver</t>
        </is>
      </c>
      <c r="B15" s="17" t="n">
        <v>7733</v>
      </c>
      <c r="C15" s="17" t="n">
        <v>7714</v>
      </c>
      <c r="D15" s="17" t="n">
        <v>6493</v>
      </c>
      <c r="E15" s="17" t="n">
        <v>6277</v>
      </c>
      <c r="F15" s="17" t="n">
        <v>3103</v>
      </c>
    </row>
    <row r="16">
      <c r="A16" s="16" t="inlineStr">
        <is>
          <t>Råvarer og hjælpematerialer</t>
        </is>
      </c>
      <c r="B16" s="17" t="n">
        <v>1114</v>
      </c>
      <c r="C16" s="17" t="n">
        <v>1332</v>
      </c>
      <c r="D16" s="17" t="n">
        <v>954</v>
      </c>
      <c r="E16" s="17" t="n">
        <v>991</v>
      </c>
      <c r="F16" s="17" t="n">
        <v>811</v>
      </c>
    </row>
    <row r="17">
      <c r="A17" s="16" t="inlineStr">
        <is>
          <t>Varer under fremstilling</t>
        </is>
      </c>
      <c r="B17" s="17" t="n">
        <v>809</v>
      </c>
      <c r="C17" s="17" t="n">
        <v>1087</v>
      </c>
      <c r="D17" s="17" t="n">
        <v>1065</v>
      </c>
      <c r="E17" s="17" t="n">
        <v>1055</v>
      </c>
      <c r="F17" s="17" t="n">
        <v>999</v>
      </c>
    </row>
    <row r="18">
      <c r="A18" s="16" t="inlineStr">
        <is>
          <t>Færdigvarer og handelsvarer</t>
        </is>
      </c>
      <c r="B18" s="17" t="n">
        <v>921</v>
      </c>
      <c r="C18" s="17" t="n">
        <v>1151</v>
      </c>
      <c r="D18" s="17" t="n">
        <v>1548</v>
      </c>
      <c r="E18" s="17" t="n">
        <v>1865</v>
      </c>
      <c r="F18" s="17" t="n">
        <v>1419</v>
      </c>
    </row>
    <row r="19">
      <c r="A19" s="15" t="inlineStr">
        <is>
          <t>Varebeholdninger</t>
        </is>
      </c>
      <c r="B19" s="17" t="n">
        <v>2844</v>
      </c>
      <c r="C19" s="17" t="n">
        <v>3570</v>
      </c>
      <c r="D19" s="17" t="n">
        <v>3567</v>
      </c>
      <c r="E19" s="17" t="n">
        <v>3911</v>
      </c>
      <c r="F19" s="17" t="n">
        <v>3229</v>
      </c>
    </row>
    <row r="20">
      <c r="A20" s="16" t="inlineStr">
        <is>
          <t>Tilgodehavender fra salg og tjenesteydelser</t>
        </is>
      </c>
      <c r="B20" s="17" t="n">
        <v>640</v>
      </c>
      <c r="C20" s="17" t="n">
        <v>425</v>
      </c>
      <c r="D20" s="17" t="n">
        <v>436</v>
      </c>
      <c r="E20" s="17" t="n">
        <v>755</v>
      </c>
      <c r="F20" s="17" t="n">
        <v>804</v>
      </c>
    </row>
    <row r="21">
      <c r="A21" s="16" t="inlineStr">
        <is>
          <t>Tilgodehavender hos tilknyttede virksomheder</t>
        </is>
      </c>
      <c r="B21" s="17" t="n">
        <v>0</v>
      </c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474</v>
      </c>
      <c r="C22" s="17" t="n">
        <v>55</v>
      </c>
      <c r="D22" s="17" t="n">
        <v>31</v>
      </c>
      <c r="E22" s="17" t="n">
        <v>0</v>
      </c>
      <c r="F22" s="17" t="n">
        <v>0</v>
      </c>
    </row>
    <row r="23">
      <c r="A23" s="16" t="inlineStr">
        <is>
          <t>Periodeafgrænsningsposter (aktiver)</t>
        </is>
      </c>
      <c r="B23" s="17" t="n">
        <v>325</v>
      </c>
      <c r="C23" s="17" t="n">
        <v>418</v>
      </c>
      <c r="D23" s="17" t="n">
        <v>306</v>
      </c>
      <c r="E23" s="17" t="n">
        <v>417</v>
      </c>
      <c r="F23" s="17" t="n">
        <v>454</v>
      </c>
    </row>
    <row r="24">
      <c r="A24" s="16" t="inlineStr">
        <is>
          <t>Udskudt skatteaktiv</t>
        </is>
      </c>
      <c r="B24" s="17" t="n">
        <v>1382</v>
      </c>
      <c r="C24" s="17" t="n">
        <v>0</v>
      </c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2820</v>
      </c>
      <c r="C27" s="17" t="n">
        <v>897</v>
      </c>
      <c r="D27" s="17" t="n">
        <v>774</v>
      </c>
      <c r="E27" s="17" t="n">
        <v>1172</v>
      </c>
      <c r="F27" s="17" t="n">
        <v>1258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9745</v>
      </c>
      <c r="C29" s="17" t="n">
        <v>4048</v>
      </c>
      <c r="D29" s="17" t="n">
        <v>2056</v>
      </c>
      <c r="E29" s="17" t="n">
        <v>957</v>
      </c>
      <c r="F29" s="17" t="n">
        <v>1341</v>
      </c>
    </row>
    <row r="30">
      <c r="A30" s="15" t="inlineStr">
        <is>
          <t>Omsætningsaktiver</t>
        </is>
      </c>
      <c r="B30" s="17" t="n">
        <v>15409</v>
      </c>
      <c r="C30" s="17" t="n">
        <v>8515</v>
      </c>
      <c r="D30" s="17" t="n">
        <v>6396</v>
      </c>
      <c r="E30" s="17" t="n">
        <v>6040</v>
      </c>
      <c r="F30" s="17" t="n">
        <v>5829</v>
      </c>
    </row>
    <row r="31">
      <c r="A31" s="15" t="inlineStr">
        <is>
          <t>Aktiver</t>
        </is>
      </c>
      <c r="B31" s="17" t="n">
        <v>23143</v>
      </c>
      <c r="C31" s="17" t="n">
        <v>16229</v>
      </c>
      <c r="D31" s="17" t="n">
        <v>12889</v>
      </c>
      <c r="E31" s="17" t="n">
        <v>12316</v>
      </c>
      <c r="F31" s="17" t="n">
        <v>8932</v>
      </c>
    </row>
    <row r="32">
      <c r="A32" s="16" t="inlineStr">
        <is>
          <t>Selskabskapital</t>
        </is>
      </c>
      <c r="B32" s="17" t="n">
        <v>670</v>
      </c>
      <c r="C32" s="17" t="n">
        <v>670</v>
      </c>
      <c r="D32" s="17" t="n">
        <v>670</v>
      </c>
      <c r="E32" s="17" t="n">
        <v>708</v>
      </c>
      <c r="F32" s="17" t="n">
        <v>708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389</v>
      </c>
      <c r="C34" s="17" t="n">
        <v>860</v>
      </c>
      <c r="D34" s="17" t="n">
        <v>1093</v>
      </c>
      <c r="E34" s="17" t="n">
        <v>1472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21448</v>
      </c>
      <c r="C37" s="17" t="n">
        <v>14348</v>
      </c>
      <c r="D37" s="17" t="n">
        <v>10581</v>
      </c>
      <c r="E37" s="17" t="n">
        <v>6978</v>
      </c>
      <c r="F37" s="17" t="n">
        <v>6604</v>
      </c>
    </row>
    <row r="38">
      <c r="A38" s="15" t="inlineStr">
        <is>
          <t>Egenkapital i alt</t>
        </is>
      </c>
      <c r="B38" s="17" t="n">
        <v>22508</v>
      </c>
      <c r="C38" s="17" t="n">
        <v>15878</v>
      </c>
      <c r="D38" s="17" t="n">
        <v>12344</v>
      </c>
      <c r="E38" s="17" t="n">
        <v>10621</v>
      </c>
      <c r="F38" s="17" t="n">
        <v>7311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(langfristet)</t>
        </is>
      </c>
      <c r="B41" s="17" t="n"/>
      <c r="C41" s="17" t="n"/>
      <c r="D41" s="17" t="n">
        <v>0</v>
      </c>
      <c r="E41" s="17" t="n">
        <v>322</v>
      </c>
      <c r="F41" s="17" t="n">
        <v>245</v>
      </c>
    </row>
    <row r="42">
      <c r="A42" s="16" t="inlineStr">
        <is>
          <t>Anden gæld (langfristet)</t>
        </is>
      </c>
      <c r="B42" s="17" t="n">
        <v>0</v>
      </c>
      <c r="C42" s="17" t="n"/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>
        <v>0</v>
      </c>
      <c r="C43" s="17" t="n"/>
      <c r="D43" s="17" t="n">
        <v>0</v>
      </c>
      <c r="E43" s="17" t="n">
        <v>322</v>
      </c>
      <c r="F43" s="17" t="n">
        <v>245</v>
      </c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Leasingforpligtelser (kortfristet)</t>
        </is>
      </c>
      <c r="B47" s="17" t="n"/>
      <c r="C47" s="17" t="n"/>
      <c r="D47" s="17" t="n">
        <v>0</v>
      </c>
      <c r="E47" s="17" t="n">
        <v>95</v>
      </c>
      <c r="F47" s="17" t="n">
        <v>95</v>
      </c>
    </row>
    <row r="48">
      <c r="A48" s="16" t="inlineStr">
        <is>
          <t>Leverandører af varer og tjenesteydelser</t>
        </is>
      </c>
      <c r="B48" s="17" t="n">
        <v>154</v>
      </c>
      <c r="C48" s="17" t="n">
        <v>230</v>
      </c>
      <c r="D48" s="17" t="n">
        <v>134</v>
      </c>
      <c r="E48" s="17" t="n">
        <v>993</v>
      </c>
      <c r="F48" s="17" t="n">
        <v>929</v>
      </c>
    </row>
    <row r="49">
      <c r="A49" s="16" t="inlineStr">
        <is>
          <t>Gæld til tilknyttede virksomheder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>
        <v>481</v>
      </c>
      <c r="C53" s="17" t="n">
        <v>122</v>
      </c>
      <c r="D53" s="17" t="n">
        <v>411</v>
      </c>
      <c r="E53" s="17" t="n">
        <v>286</v>
      </c>
      <c r="F53" s="17" t="n">
        <v>352</v>
      </c>
    </row>
    <row r="54">
      <c r="A54" s="16" t="inlineStr">
        <is>
          <t>Periodeafgrænsningsposter (passiver)</t>
        </is>
      </c>
      <c r="B54" s="17" t="n"/>
      <c r="C54" s="17" t="n"/>
      <c r="D54" s="17" t="n"/>
      <c r="E54" s="17" t="n"/>
      <c r="F54" s="17" t="n"/>
    </row>
    <row r="55">
      <c r="A55" s="15" t="inlineStr">
        <is>
          <t>Kortfristede gældsforpligtelser</t>
        </is>
      </c>
      <c r="B55" s="17" t="n">
        <v>635</v>
      </c>
      <c r="C55" s="17" t="n">
        <v>351</v>
      </c>
      <c r="D55" s="17" t="n">
        <v>545</v>
      </c>
      <c r="E55" s="17" t="n">
        <v>1374</v>
      </c>
      <c r="F55" s="17" t="n">
        <v>1376</v>
      </c>
    </row>
    <row r="56">
      <c r="A56" s="15" t="inlineStr">
        <is>
          <t>Gældsforpligtelser</t>
        </is>
      </c>
      <c r="B56" s="17" t="n">
        <v>635</v>
      </c>
      <c r="C56" s="17" t="n">
        <v>351</v>
      </c>
      <c r="D56" s="17" t="n">
        <v>545</v>
      </c>
      <c r="E56" s="17" t="n">
        <v>1696</v>
      </c>
      <c r="F56" s="17" t="n">
        <v>1620</v>
      </c>
    </row>
    <row r="57">
      <c r="A57" s="15" t="inlineStr">
        <is>
          <t>Passiver</t>
        </is>
      </c>
      <c r="B57" s="17" t="n">
        <v>23143</v>
      </c>
      <c r="C57" s="17" t="n">
        <v>16229</v>
      </c>
      <c r="D57" s="17" t="n">
        <v>12889</v>
      </c>
      <c r="E57" s="17" t="n">
        <v>12316</v>
      </c>
      <c r="F57" s="17" t="n">
        <v>8932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Alefarm Brewing A/S (CVR 37037974)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-2986</v>
      </c>
      <c r="C2" s="17" t="n">
        <v>-3957</v>
      </c>
      <c r="D2" s="17" t="n">
        <v>-1451</v>
      </c>
      <c r="E2" s="17" t="n">
        <v>-1431</v>
      </c>
      <c r="F2" s="17" t="n">
        <v>898</v>
      </c>
    </row>
    <row r="3">
      <c r="A3" s="16" t="inlineStr">
        <is>
          <t>Pengestrømme fra investeringsaktivitet</t>
        </is>
      </c>
      <c r="B3" s="17" t="n">
        <v>-4891</v>
      </c>
      <c r="C3" s="17" t="n">
        <v>-1740</v>
      </c>
      <c r="D3" s="17" t="n">
        <v>-541</v>
      </c>
      <c r="E3" s="17" t="n">
        <v>-1489</v>
      </c>
      <c r="F3" s="17" t="n">
        <v>-437</v>
      </c>
    </row>
    <row r="4">
      <c r="A4" s="16" t="inlineStr">
        <is>
          <t>Pengestrømme fra finansieringsaktivitet</t>
        </is>
      </c>
      <c r="B4" s="17" t="n">
        <v>0</v>
      </c>
      <c r="C4" s="17" t="n">
        <v>0</v>
      </c>
      <c r="D4" s="17" t="n">
        <v>0</v>
      </c>
      <c r="E4" s="17" t="n">
        <v>1822</v>
      </c>
      <c r="F4" s="17" t="n">
        <v>-77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Alefarm Brewing A/S (CVR 37037974) — Regnskabs- og nøgletal (CVR: 37037974)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'res_raw_37037974'!$F$2</f>
        <v/>
      </c>
      <c r="C5" s="24">
        <f>'res_raw_37037974'!$E$2</f>
        <v/>
      </c>
      <c r="D5" s="24">
        <f>'res_raw_37037974'!$D$2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'res_raw_37037974'!$F$3</f>
        <v/>
      </c>
      <c r="C6" s="24">
        <f>'res_raw_37037974'!$E$3</f>
        <v/>
      </c>
      <c r="D6" s="24">
        <f>'res_raw_37037974'!$D$3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-'res_raw_37037974'!$F$4</f>
        <v/>
      </c>
      <c r="C7" s="24">
        <f>-'res_raw_37037974'!$E$4</f>
        <v/>
      </c>
      <c r="D7" s="24">
        <f>-'res_raw_37037974'!$D$4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-'res_raw_37037974'!$F$5</f>
        <v/>
      </c>
      <c r="C8" s="24">
        <f>-'res_raw_37037974'!$E$5</f>
        <v/>
      </c>
      <c r="D8" s="24">
        <f>-'res_raw_37037974'!$D$5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IF(ABS((SUM(B5:B8))-'res_raw_37037974'!$F$6)&lt;=2,SUM(B5:B8),'res_raw_37037974'!$F$6)</f>
        <v/>
      </c>
      <c r="C9" s="27">
        <f>IF(ABS((SUM(C5:C8))-'res_raw_37037974'!$E$6)&lt;=2,SUM(C5:C8),'res_raw_37037974'!$E$6)</f>
        <v/>
      </c>
      <c r="D9" s="27">
        <f>IF(ABS((SUM(D5:D8))-'res_raw_37037974'!$D$6)&lt;=2,SUM(D5:D8),'res_raw_37037974'!$D$6)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-'res_raw_37037974'!$F$7</f>
        <v/>
      </c>
      <c r="C10" s="24">
        <f>-'res_raw_37037974'!$E$7</f>
        <v/>
      </c>
      <c r="D10" s="24">
        <f>-'res_raw_37037974'!$D$7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-'res_raw_37037974'!$F$9</f>
        <v/>
      </c>
      <c r="C11" s="24">
        <f>-'res_raw_37037974'!$E$9</f>
        <v/>
      </c>
      <c r="D11" s="24">
        <f>-'res_raw_37037974'!$D$9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-'res_raw_37037974'!$F$10</f>
        <v/>
      </c>
      <c r="C12" s="24">
        <f>-'res_raw_37037974'!$E$10</f>
        <v/>
      </c>
      <c r="D12" s="24">
        <f>-'res_raw_37037974'!$D$10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IF(ABS((SUM(B9:B12))-'res_raw_37037974'!$F$11)&lt;=2,SUM(B9:B12),'res_raw_37037974'!$F$11)</f>
        <v/>
      </c>
      <c r="C13" s="27">
        <f>IF(ABS((SUM(C9:C12))-'res_raw_37037974'!$E$11)&lt;=2,SUM(C9:C12),'res_raw_37037974'!$E$11)</f>
        <v/>
      </c>
      <c r="D13" s="27">
        <f>IF(ABS((SUM(D9:D12))-'res_raw_37037974'!$D$11)&lt;=2,SUM(D9:D12),'res_raw_37037974'!$D$11)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N('res_raw_37037974'!$F$12)+N('res_raw_37037974'!$F$13)</f>
        <v/>
      </c>
      <c r="C14" s="24">
        <f>N('res_raw_37037974'!$E$12)+N('res_raw_37037974'!$E$13)</f>
        <v/>
      </c>
      <c r="D14" s="24">
        <f>N('res_raw_37037974'!$D$12)+N('res_raw_37037974'!$D$13)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-'res_raw_37037974'!$F$14</f>
        <v/>
      </c>
      <c r="C15" s="24">
        <f>-'res_raw_37037974'!$E$14</f>
        <v/>
      </c>
      <c r="D15" s="24">
        <f>-'res_raw_37037974'!$D$14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IF(ABS((SUM(B13:B15))-'res_raw_37037974'!$F$16)&lt;=2,SUM(B13:B15),'res_raw_37037974'!$F$16)</f>
        <v/>
      </c>
      <c r="C16" s="27">
        <f>IF(ABS((SUM(C13:C15))-'res_raw_37037974'!$E$16)&lt;=2,SUM(C13:C15),'res_raw_37037974'!$E$16)</f>
        <v/>
      </c>
      <c r="D16" s="27">
        <f>IF(ABS((SUM(D13:D15))-'res_raw_37037974'!$D$16)&lt;=2,SUM(D13:D15),'res_raw_37037974'!$D$16)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'balance_raw_37037974'!$F$15</f>
        <v/>
      </c>
      <c r="C19" s="24">
        <f>'balance_raw_37037974'!$E$15</f>
        <v/>
      </c>
      <c r="D19" s="24">
        <f>'balance_raw_37037974'!$D$15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'balance_raw_37037974'!$F$30</f>
        <v/>
      </c>
      <c r="C20" s="24">
        <f>'balance_raw_37037974'!$E$30</f>
        <v/>
      </c>
      <c r="D20" s="24">
        <f>'balance_raw_37037974'!$D$30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'balance_raw_37037974'!$F$38</f>
        <v/>
      </c>
      <c r="C23" s="24">
        <f>'balance_raw_37037974'!$E$38</f>
        <v/>
      </c>
      <c r="D23" s="24">
        <f>'balance_raw_37037974'!$D$38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'balance_raw_37037974'!$F$57-'balance_raw_37037974'!$F$38</f>
        <v/>
      </c>
      <c r="C24" s="24">
        <f>'balance_raw_37037974'!$E$57-'balance_raw_37037974'!$E$38</f>
        <v/>
      </c>
      <c r="D24" s="24">
        <f>'balance_raw_37037974'!$D$57-'balance_raw_37037974'!$D$38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'balance_raw_37037974'!$F$19</f>
        <v/>
      </c>
      <c r="C28" s="24">
        <f>'balance_raw_37037974'!$E$19</f>
        <v/>
      </c>
      <c r="D28" s="24">
        <f>'balance_raw_37037974'!$D$19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'balance_raw_37037974'!$F$20</f>
        <v/>
      </c>
      <c r="C29" s="24">
        <f>'balance_raw_37037974'!$E$20</f>
        <v/>
      </c>
      <c r="D29" s="24">
        <f>'balance_raw_37037974'!$D$20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'balance_raw_37037974'!$F$55</f>
        <v/>
      </c>
      <c r="C30" s="24">
        <f>'balance_raw_37037974'!$E$55</f>
        <v/>
      </c>
      <c r="D30" s="24">
        <f>'balance_raw_37037974'!$D$55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IF('balance_raw_37037974'!$F$31="","—",IF(ABS(B21-'balance_raw_37037974'!$F$31)&lt;=1,"✓ OK","❌ "&amp;TEXT(B21-'balance_raw_37037974'!$F$31,"+#,##0;-#,##0")&amp;" t.kr."))</f>
        <v/>
      </c>
      <c r="C61" s="29">
        <f>IF('balance_raw_37037974'!$E$31="","—",IF(ABS(C21-'balance_raw_37037974'!$E$31)&lt;=1,"✓ OK","❌ "&amp;TEXT(C21-'balance_raw_37037974'!$E$31,"+#,##0;-#,##0")&amp;" t.kr."))</f>
        <v/>
      </c>
      <c r="D61" s="29">
        <f>IF('balance_raw_37037974'!$D$31="","—",IF(ABS(D21-'balance_raw_37037974'!$D$31)&lt;=1,"✓ OK","❌ "&amp;TEXT(D21-'balance_raw_37037974'!$D$31,"+#,##0;-#,##0")&amp;"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IF('balance_raw_37037974'!$F$57="","—",IF(ABS(B25-'balance_raw_37037974'!$F$57)&lt;=1,"✓ OK","❌ "&amp;TEXT(B25-'balance_raw_37037974'!$F$57,"+#,##0;-#,##0")&amp;" t.kr."))</f>
        <v/>
      </c>
      <c r="C62" s="29">
        <f>IF('balance_raw_37037974'!$E$57="","—",IF(ABS(C25-'balance_raw_37037974'!$E$57)&lt;=1,"✓ OK","❌ "&amp;TEXT(C25-'balance_raw_37037974'!$E$57,"+#,##0;-#,##0")&amp;" t.kr."))</f>
        <v/>
      </c>
      <c r="D62" s="29">
        <f>IF('balance_raw_37037974'!$D$57="","—",IF(ABS(D25-'balance_raw_37037974'!$D$57)&lt;=1,"✓ OK","❌ "&amp;TEXT(D25-'balance_raw_37037974'!$D$57,"+#,##0;-#,##0")&amp;"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IF('res_raw_37037974'!$F$6="","—",IF(ABS(B9-'res_raw_37037974'!$F$6)&lt;=1,"✓ OK","❌ "&amp;TEXT(B9-'res_raw_37037974'!$F$6,"+#,##0;-#,##0")&amp;" t.kr."))</f>
        <v/>
      </c>
      <c r="C64" s="29">
        <f>IF('res_raw_37037974'!$E$6="","—",IF(ABS(C9-'res_raw_37037974'!$E$6)&lt;=1,"✓ OK","❌ "&amp;TEXT(C9-'res_raw_37037974'!$E$6,"+#,##0;-#,##0")&amp;" t.kr."))</f>
        <v/>
      </c>
      <c r="D64" s="29">
        <f>IF('res_raw_37037974'!$D$6="","—",IF(ABS(D9-'res_raw_37037974'!$D$6)&lt;=1,"✓ OK","❌ "&amp;TEXT(D9-'res_raw_37037974'!$D$6,"+#,##0;-#,##0")&amp;"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IF('res_raw_37037974'!$F$11="","—",IF(ABS(B13-'res_raw_37037974'!$F$11)&lt;=1,"✓ OK","❌ "&amp;TEXT(B13-'res_raw_37037974'!$F$11,"+#,##0;-#,##0")&amp;" t.kr."))</f>
        <v/>
      </c>
      <c r="C65" s="29">
        <f>IF('res_raw_37037974'!$E$11="","—",IF(ABS(C13-'res_raw_37037974'!$E$11)&lt;=1,"✓ OK","❌ "&amp;TEXT(C13-'res_raw_37037974'!$E$11,"+#,##0;-#,##0")&amp;" t.kr."))</f>
        <v/>
      </c>
      <c r="D65" s="29">
        <f>IF('res_raw_37037974'!$D$11="","—",IF(ABS(D13-'res_raw_37037974'!$D$11)&lt;=1,"✓ OK","❌ "&amp;TEXT(D13-'res_raw_37037974'!$D$11,"+#,##0;-#,##0")&amp;"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IF('res_raw_37037974'!$F$16="","—",IF(ABS(B16-'res_raw_37037974'!$F$16)&lt;=1,"✓ OK","❌ "&amp;TEXT(B16-'res_raw_37037974'!$F$16,"+#,##0;-#,##0")&amp;" t.kr."))</f>
        <v/>
      </c>
      <c r="C66" s="29">
        <f>IF('res_raw_37037974'!$E$16="","—",IF(ABS(C16-'res_raw_37037974'!$E$16)&lt;=1,"✓ OK","❌ "&amp;TEXT(C16-'res_raw_37037974'!$E$16,"+#,##0;-#,##0")&amp;" t.kr."))</f>
        <v/>
      </c>
      <c r="D66" s="29">
        <f>IF('res_raw_37037974'!$D$16="","—",IF(ABS(D16-'res_raw_37037974'!$D$16)&lt;=1,"✓ OK","❌ "&amp;TEXT(D16-'res_raw_37037974'!$D$16,"+#,##0;-#,##0")&amp;"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Alefarm Brewing A/S (CVR 37037974)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/>
      <c r="E3" s="35" t="n"/>
      <c r="F3" s="35" t="n">
        <v>0</v>
      </c>
      <c r="G3" s="35" t="n">
        <v>1500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fsa:ConclusionOfLeaseObligations</t>
        </is>
      </c>
      <c r="C4" s="37" t="inlineStr">
        <is>
          <t>fsa:ConclusionOfLeaseObligations</t>
        </is>
      </c>
      <c r="D4" s="38" t="n"/>
      <c r="E4" s="38" t="n"/>
      <c r="F4" s="38" t="n">
        <v>0</v>
      </c>
      <c r="G4" s="38" t="n">
        <v>322</v>
      </c>
      <c r="H4" s="38" t="n">
        <v>-77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fsa:SharePremium</t>
        </is>
      </c>
      <c r="C5" s="34" t="inlineStr">
        <is>
          <t>fsa:SharePremium</t>
        </is>
      </c>
      <c r="D5" s="35" t="n"/>
      <c r="E5" s="35" t="n"/>
      <c r="F5" s="35" t="n">
        <v>0</v>
      </c>
      <c r="G5" s="35" t="n">
        <v>1462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fsa:ShorttermReceivablesFromOwnersAndManagement</t>
        </is>
      </c>
      <c r="C6" s="37" t="inlineStr">
        <is>
          <t>fsa:ShorttermReceivablesFromOwnersAndManagement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2026-10-02T21:11:22Z</dcterms:created>
  <dcterms:modified xmlns:dcterms="http://purl.org/dc/terms/" xmlns:xsi="http://www.w3.org/2001/XMLSchema-instance" xsi:type="dcterms:W3CDTF">2026-10-02T21:11:22Z</dcterms:modified>
</cp:coreProperties>
</file>