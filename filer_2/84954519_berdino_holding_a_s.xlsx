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4954519" sheetId="1" state="visible" r:id="rId1"/>
    <sheet xmlns:r="http://schemas.openxmlformats.org/officeDocument/2006/relationships" name="res_raw_84954519" sheetId="2" state="visible" r:id="rId2"/>
    <sheet xmlns:r="http://schemas.openxmlformats.org/officeDocument/2006/relationships" name="balance_raw_8495451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Berdino Holding A/S (CVR 84954519)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'res_raw_84954519'!$B$2</f>
        <v/>
      </c>
      <c r="C4" s="5">
        <f>'res_raw_84954519'!$C$2</f>
        <v/>
      </c>
      <c r="D4" s="5">
        <f>'res_raw_84954519'!$D$2</f>
        <v/>
      </c>
      <c r="E4" s="5">
        <f>'res_raw_84954519'!$E$2</f>
        <v/>
      </c>
      <c r="F4" s="5">
        <f>'res_raw_84954519'!$F$2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'res_raw_84954519'!$B$3</f>
        <v/>
      </c>
      <c r="C5" s="8">
        <f>'res_raw_84954519'!$C$3</f>
        <v/>
      </c>
      <c r="D5" s="8">
        <f>'res_raw_84954519'!$D$3</f>
        <v/>
      </c>
      <c r="E5" s="8">
        <f>'res_raw_84954519'!$E$3</f>
        <v/>
      </c>
      <c r="F5" s="8">
        <f>'res_raw_84954519'!$F$3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'res_raw_84954519'!$B$4</f>
        <v/>
      </c>
      <c r="C6" s="5">
        <f>'res_raw_84954519'!$C$4</f>
        <v/>
      </c>
      <c r="D6" s="5">
        <f>'res_raw_84954519'!$D$4</f>
        <v/>
      </c>
      <c r="E6" s="5">
        <f>'res_raw_84954519'!$E$4</f>
        <v/>
      </c>
      <c r="F6" s="5">
        <f>'res_raw_84954519'!$F$4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'res_raw_84954519'!$B$5</f>
        <v/>
      </c>
      <c r="C7" s="8">
        <f>'res_raw_84954519'!$C$5</f>
        <v/>
      </c>
      <c r="D7" s="8">
        <f>'res_raw_84954519'!$D$5</f>
        <v/>
      </c>
      <c r="E7" s="8">
        <f>'res_raw_84954519'!$E$5</f>
        <v/>
      </c>
      <c r="F7" s="8">
        <f>'res_raw_84954519'!$F$5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'res_raw_84954519'!$B$6</f>
        <v/>
      </c>
      <c r="C8" s="11">
        <f>'res_raw_84954519'!$C$6</f>
        <v/>
      </c>
      <c r="D8" s="11">
        <f>'res_raw_84954519'!$D$6</f>
        <v/>
      </c>
      <c r="E8" s="11">
        <f>'res_raw_84954519'!$E$6</f>
        <v/>
      </c>
      <c r="F8" s="11">
        <f>'res_raw_84954519'!$F$6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'res_raw_84954519'!$B$7</f>
        <v/>
      </c>
      <c r="C9" s="8">
        <f>'res_raw_84954519'!$C$7</f>
        <v/>
      </c>
      <c r="D9" s="8">
        <f>'res_raw_84954519'!$D$7</f>
        <v/>
      </c>
      <c r="E9" s="8">
        <f>'res_raw_84954519'!$E$7</f>
        <v/>
      </c>
      <c r="F9" s="8">
        <f>'res_raw_84954519'!$F$7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'res_raw_84954519'!$B$9</f>
        <v/>
      </c>
      <c r="C11" s="8">
        <f>'res_raw_84954519'!$C$9</f>
        <v/>
      </c>
      <c r="D11" s="8">
        <f>'res_raw_84954519'!$D$9</f>
        <v/>
      </c>
      <c r="E11" s="8">
        <f>'res_raw_84954519'!$E$9</f>
        <v/>
      </c>
      <c r="F11" s="8">
        <f>'res_raw_84954519'!$F$9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'res_raw_84954519'!$B$10</f>
        <v/>
      </c>
      <c r="C12" s="5">
        <f>'res_raw_84954519'!$C$10</f>
        <v/>
      </c>
      <c r="D12" s="5">
        <f>'res_raw_84954519'!$D$10</f>
        <v/>
      </c>
      <c r="E12" s="5">
        <f>'res_raw_84954519'!$E$10</f>
        <v/>
      </c>
      <c r="F12" s="5">
        <f>'res_raw_84954519'!$F$10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'res_raw_84954519'!$B$11</f>
        <v/>
      </c>
      <c r="C13" s="11">
        <f>'res_raw_84954519'!$C$11</f>
        <v/>
      </c>
      <c r="D13" s="11">
        <f>'res_raw_84954519'!$D$11</f>
        <v/>
      </c>
      <c r="E13" s="11">
        <f>'res_raw_84954519'!$E$11</f>
        <v/>
      </c>
      <c r="F13" s="11">
        <f>'res_raw_84954519'!$F$11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'res_raw_84954519'!$B$12</f>
        <v/>
      </c>
      <c r="C14" s="5">
        <f>'res_raw_84954519'!$C$12</f>
        <v/>
      </c>
      <c r="D14" s="5">
        <f>'res_raw_84954519'!$D$12</f>
        <v/>
      </c>
      <c r="E14" s="5">
        <f>'res_raw_84954519'!$E$12</f>
        <v/>
      </c>
      <c r="F14" s="5">
        <f>'res_raw_84954519'!$F$12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'res_raw_84954519'!$B$13</f>
        <v/>
      </c>
      <c r="C15" s="8">
        <f>'res_raw_84954519'!$C$13</f>
        <v/>
      </c>
      <c r="D15" s="8">
        <f>'res_raw_84954519'!$D$13</f>
        <v/>
      </c>
      <c r="E15" s="8">
        <f>'res_raw_84954519'!$E$13</f>
        <v/>
      </c>
      <c r="F15" s="8">
        <f>'res_raw_84954519'!$F$13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'res_raw_84954519'!$B$14</f>
        <v/>
      </c>
      <c r="C16" s="5">
        <f>'res_raw_84954519'!$C$14</f>
        <v/>
      </c>
      <c r="D16" s="5">
        <f>'res_raw_84954519'!$D$14</f>
        <v/>
      </c>
      <c r="E16" s="5">
        <f>'res_raw_84954519'!$E$14</f>
        <v/>
      </c>
      <c r="F16" s="5">
        <f>'res_raw_84954519'!$F$14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'res_raw_84954519'!$B$15</f>
        <v/>
      </c>
      <c r="C17" s="11">
        <f>'res_raw_84954519'!$C$15</f>
        <v/>
      </c>
      <c r="D17" s="11">
        <f>'res_raw_84954519'!$D$15</f>
        <v/>
      </c>
      <c r="E17" s="11">
        <f>'res_raw_84954519'!$E$15</f>
        <v/>
      </c>
      <c r="F17" s="11">
        <f>'res_raw_84954519'!$F$15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'res_raw_84954519'!$B$16</f>
        <v/>
      </c>
      <c r="C18" s="11">
        <f>'res_raw_84954519'!$C$16</f>
        <v/>
      </c>
      <c r="D18" s="11">
        <f>'res_raw_84954519'!$D$16</f>
        <v/>
      </c>
      <c r="E18" s="11">
        <f>'res_raw_84954519'!$E$16</f>
        <v/>
      </c>
      <c r="F18" s="11">
        <f>'res_raw_84954519'!$F$16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'res_raw_84954519'!$B$17</f>
        <v/>
      </c>
      <c r="C19" s="8">
        <f>'res_raw_84954519'!$C$17</f>
        <v/>
      </c>
      <c r="D19" s="8">
        <f>'res_raw_84954519'!$D$17</f>
        <v/>
      </c>
      <c r="E19" s="8">
        <f>'res_raw_84954519'!$E$17</f>
        <v/>
      </c>
      <c r="F19" s="8">
        <f>'res_raw_84954519'!$F$17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'res_raw_84954519'!$B$18</f>
        <v/>
      </c>
      <c r="C20" s="11">
        <f>'res_raw_84954519'!$C$18</f>
        <v/>
      </c>
      <c r="D20" s="11">
        <f>'res_raw_84954519'!$D$18</f>
        <v/>
      </c>
      <c r="E20" s="11">
        <f>'res_raw_84954519'!$E$18</f>
        <v/>
      </c>
      <c r="F20" s="11">
        <f>'res_raw_84954519'!$F$18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'balance_raw_84954519'!$B$2</f>
        <v/>
      </c>
      <c r="C23" s="8">
        <f>'balance_raw_84954519'!$C$2</f>
        <v/>
      </c>
      <c r="D23" s="8">
        <f>'balance_raw_84954519'!$D$2</f>
        <v/>
      </c>
      <c r="E23" s="8">
        <f>'balance_raw_84954519'!$E$2</f>
        <v/>
      </c>
      <c r="F23" s="8">
        <f>'balance_raw_84954519'!$F$2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'balance_raw_84954519'!$B$3</f>
        <v/>
      </c>
      <c r="C24" s="5">
        <f>'balance_raw_84954519'!$C$3</f>
        <v/>
      </c>
      <c r="D24" s="5">
        <f>'balance_raw_84954519'!$D$3</f>
        <v/>
      </c>
      <c r="E24" s="5">
        <f>'balance_raw_84954519'!$E$3</f>
        <v/>
      </c>
      <c r="F24" s="5">
        <f>'balance_raw_84954519'!$F$3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'balance_raw_84954519'!$B$4</f>
        <v/>
      </c>
      <c r="C25" s="8">
        <f>'balance_raw_84954519'!$C$4</f>
        <v/>
      </c>
      <c r="D25" s="8">
        <f>'balance_raw_84954519'!$D$4</f>
        <v/>
      </c>
      <c r="E25" s="8">
        <f>'balance_raw_84954519'!$E$4</f>
        <v/>
      </c>
      <c r="F25" s="8">
        <f>'balance_raw_84954519'!$F$4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'balance_raw_84954519'!$B$5</f>
        <v/>
      </c>
      <c r="C26" s="5">
        <f>'balance_raw_84954519'!$C$5</f>
        <v/>
      </c>
      <c r="D26" s="5">
        <f>'balance_raw_84954519'!$D$5</f>
        <v/>
      </c>
      <c r="E26" s="5">
        <f>'balance_raw_84954519'!$E$5</f>
        <v/>
      </c>
      <c r="F26" s="5">
        <f>'balance_raw_84954519'!$F$5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'balance_raw_84954519'!$B$6</f>
        <v/>
      </c>
      <c r="C27" s="8">
        <f>'balance_raw_84954519'!$C$6</f>
        <v/>
      </c>
      <c r="D27" s="8">
        <f>'balance_raw_84954519'!$D$6</f>
        <v/>
      </c>
      <c r="E27" s="8">
        <f>'balance_raw_84954519'!$E$6</f>
        <v/>
      </c>
      <c r="F27" s="8">
        <f>'balance_raw_84954519'!$F$6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'balance_raw_84954519'!$B$7</f>
        <v/>
      </c>
      <c r="C28" s="11">
        <f>'balance_raw_84954519'!$C$7</f>
        <v/>
      </c>
      <c r="D28" s="11">
        <f>'balance_raw_84954519'!$D$7</f>
        <v/>
      </c>
      <c r="E28" s="11">
        <f>'balance_raw_84954519'!$E$7</f>
        <v/>
      </c>
      <c r="F28" s="11">
        <f>'balance_raw_84954519'!$F$7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'balance_raw_84954519'!$B$8</f>
        <v/>
      </c>
      <c r="C29" s="8">
        <f>'balance_raw_84954519'!$C$8</f>
        <v/>
      </c>
      <c r="D29" s="8">
        <f>'balance_raw_84954519'!$D$8</f>
        <v/>
      </c>
      <c r="E29" s="8">
        <f>'balance_raw_84954519'!$E$8</f>
        <v/>
      </c>
      <c r="F29" s="8">
        <f>'balance_raw_84954519'!$F$8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'balance_raw_84954519'!$B$9</f>
        <v/>
      </c>
      <c r="C30" s="5">
        <f>'balance_raw_84954519'!$C$9</f>
        <v/>
      </c>
      <c r="D30" s="5">
        <f>'balance_raw_84954519'!$D$9</f>
        <v/>
      </c>
      <c r="E30" s="5">
        <f>'balance_raw_84954519'!$E$9</f>
        <v/>
      </c>
      <c r="F30" s="5">
        <f>'balance_raw_84954519'!$F$9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'balance_raw_84954519'!$B$10</f>
        <v/>
      </c>
      <c r="C31" s="11">
        <f>'balance_raw_84954519'!$C$10</f>
        <v/>
      </c>
      <c r="D31" s="11">
        <f>'balance_raw_84954519'!$D$10</f>
        <v/>
      </c>
      <c r="E31" s="11">
        <f>'balance_raw_84954519'!$E$10</f>
        <v/>
      </c>
      <c r="F31" s="11">
        <f>'balance_raw_84954519'!$F$10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'balance_raw_84954519'!$B$11</f>
        <v/>
      </c>
      <c r="C32" s="11">
        <f>'balance_raw_84954519'!$C$11</f>
        <v/>
      </c>
      <c r="D32" s="11">
        <f>'balance_raw_84954519'!$D$11</f>
        <v/>
      </c>
      <c r="E32" s="11">
        <f>'balance_raw_84954519'!$E$11</f>
        <v/>
      </c>
      <c r="F32" s="11">
        <f>'balance_raw_84954519'!$F$11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'balance_raw_84954519'!$B$12</f>
        <v/>
      </c>
      <c r="C33" s="8">
        <f>'balance_raw_84954519'!$C$12</f>
        <v/>
      </c>
      <c r="D33" s="8">
        <f>'balance_raw_84954519'!$D$12</f>
        <v/>
      </c>
      <c r="E33" s="8">
        <f>'balance_raw_84954519'!$E$12</f>
        <v/>
      </c>
      <c r="F33" s="8">
        <f>'balance_raw_84954519'!$F$12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'balance_raw_84954519'!$B$13</f>
        <v/>
      </c>
      <c r="C34" s="5">
        <f>'balance_raw_84954519'!$C$13</f>
        <v/>
      </c>
      <c r="D34" s="5">
        <f>'balance_raw_84954519'!$D$13</f>
        <v/>
      </c>
      <c r="E34" s="5">
        <f>'balance_raw_84954519'!$E$13</f>
        <v/>
      </c>
      <c r="F34" s="5">
        <f>'balance_raw_84954519'!$F$13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'balance_raw_84954519'!$B$14</f>
        <v/>
      </c>
      <c r="C35" s="8">
        <f>'balance_raw_84954519'!$C$14</f>
        <v/>
      </c>
      <c r="D35" s="8">
        <f>'balance_raw_84954519'!$D$14</f>
        <v/>
      </c>
      <c r="E35" s="8">
        <f>'balance_raw_84954519'!$E$14</f>
        <v/>
      </c>
      <c r="F35" s="8">
        <f>'balance_raw_84954519'!$F$14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'balance_raw_84954519'!$B$15</f>
        <v/>
      </c>
      <c r="C36" s="5">
        <f>'balance_raw_84954519'!$C$15</f>
        <v/>
      </c>
      <c r="D36" s="5">
        <f>'balance_raw_84954519'!$D$15</f>
        <v/>
      </c>
      <c r="E36" s="5">
        <f>'balance_raw_84954519'!$E$15</f>
        <v/>
      </c>
      <c r="F36" s="5">
        <f>'balance_raw_84954519'!$F$15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'balance_raw_84954519'!$B$16</f>
        <v/>
      </c>
      <c r="C37" s="8">
        <f>'balance_raw_84954519'!$C$16</f>
        <v/>
      </c>
      <c r="D37" s="8">
        <f>'balance_raw_84954519'!$D$16</f>
        <v/>
      </c>
      <c r="E37" s="8">
        <f>'balance_raw_84954519'!$E$16</f>
        <v/>
      </c>
      <c r="F37" s="8">
        <f>'balance_raw_84954519'!$F$16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'balance_raw_84954519'!$B$17</f>
        <v/>
      </c>
      <c r="C38" s="5">
        <f>'balance_raw_84954519'!$C$17</f>
        <v/>
      </c>
      <c r="D38" s="5">
        <f>'balance_raw_84954519'!$D$17</f>
        <v/>
      </c>
      <c r="E38" s="5">
        <f>'balance_raw_84954519'!$E$17</f>
        <v/>
      </c>
      <c r="F38" s="5">
        <f>'balance_raw_84954519'!$F$17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'balance_raw_84954519'!$B$18</f>
        <v/>
      </c>
      <c r="C39" s="8">
        <f>'balance_raw_84954519'!$C$18</f>
        <v/>
      </c>
      <c r="D39" s="8">
        <f>'balance_raw_84954519'!$D$18</f>
        <v/>
      </c>
      <c r="E39" s="8">
        <f>'balance_raw_84954519'!$E$18</f>
        <v/>
      </c>
      <c r="F39" s="8">
        <f>'balance_raw_84954519'!$F$18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'balance_raw_84954519'!$B$19</f>
        <v/>
      </c>
      <c r="C40" s="11">
        <f>'balance_raw_84954519'!$C$19</f>
        <v/>
      </c>
      <c r="D40" s="11">
        <f>'balance_raw_84954519'!$D$19</f>
        <v/>
      </c>
      <c r="E40" s="11">
        <f>'balance_raw_84954519'!$E$19</f>
        <v/>
      </c>
      <c r="F40" s="11">
        <f>'balance_raw_84954519'!$F$19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'balance_raw_84954519'!$B$20</f>
        <v/>
      </c>
      <c r="C41" s="8">
        <f>'balance_raw_84954519'!$C$20</f>
        <v/>
      </c>
      <c r="D41" s="8">
        <f>'balance_raw_84954519'!$D$20</f>
        <v/>
      </c>
      <c r="E41" s="8">
        <f>'balance_raw_84954519'!$E$20</f>
        <v/>
      </c>
      <c r="F41" s="8">
        <f>'balance_raw_84954519'!$F$20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'balance_raw_84954519'!$B$21</f>
        <v/>
      </c>
      <c r="C42" s="5">
        <f>'balance_raw_84954519'!$C$21</f>
        <v/>
      </c>
      <c r="D42" s="5">
        <f>'balance_raw_84954519'!$D$21</f>
        <v/>
      </c>
      <c r="E42" s="5">
        <f>'balance_raw_84954519'!$E$21</f>
        <v/>
      </c>
      <c r="F42" s="5">
        <f>'balance_raw_84954519'!$F$21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'balance_raw_84954519'!$B$22</f>
        <v/>
      </c>
      <c r="C43" s="11">
        <f>'balance_raw_84954519'!$C$22</f>
        <v/>
      </c>
      <c r="D43" s="11">
        <f>'balance_raw_84954519'!$D$22</f>
        <v/>
      </c>
      <c r="E43" s="11">
        <f>'balance_raw_84954519'!$E$22</f>
        <v/>
      </c>
      <c r="F43" s="11">
        <f>'balance_raw_84954519'!$F$22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'balance_raw_84954519'!$B$23</f>
        <v/>
      </c>
      <c r="C44" s="11">
        <f>'balance_raw_84954519'!$C$23</f>
        <v/>
      </c>
      <c r="D44" s="11">
        <f>'balance_raw_84954519'!$D$23</f>
        <v/>
      </c>
      <c r="E44" s="11">
        <f>'balance_raw_84954519'!$E$23</f>
        <v/>
      </c>
      <c r="F44" s="11">
        <f>'balance_raw_84954519'!$F$23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7" t="inlineStr">
        <is>
          <t>Selskabskapital</t>
        </is>
      </c>
      <c r="B47" s="8">
        <f>'balance_raw_84954519'!$B$24</f>
        <v/>
      </c>
      <c r="C47" s="8">
        <f>'balance_raw_84954519'!$C$24</f>
        <v/>
      </c>
      <c r="D47" s="8">
        <f>'balance_raw_84954519'!$D$24</f>
        <v/>
      </c>
      <c r="E47" s="8">
        <f>'balance_raw_84954519'!$E$24</f>
        <v/>
      </c>
      <c r="F47" s="8">
        <f>'balance_raw_84954519'!$F$24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'balance_raw_84954519'!$B$25</f>
        <v/>
      </c>
      <c r="C48" s="5">
        <f>'balance_raw_84954519'!$C$25</f>
        <v/>
      </c>
      <c r="D48" s="5">
        <f>'balance_raw_84954519'!$D$25</f>
        <v/>
      </c>
      <c r="E48" s="5">
        <f>'balance_raw_84954519'!$E$25</f>
        <v/>
      </c>
      <c r="F48" s="5">
        <f>'balance_raw_84954519'!$F$25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'balance_raw_84954519'!$B$26</f>
        <v/>
      </c>
      <c r="C49" s="8">
        <f>'balance_raw_84954519'!$C$26</f>
        <v/>
      </c>
      <c r="D49" s="8">
        <f>'balance_raw_84954519'!$D$26</f>
        <v/>
      </c>
      <c r="E49" s="8">
        <f>'balance_raw_84954519'!$E$26</f>
        <v/>
      </c>
      <c r="F49" s="8">
        <f>'balance_raw_84954519'!$F$26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'balance_raw_84954519'!$B$27</f>
        <v/>
      </c>
      <c r="C50" s="5">
        <f>'balance_raw_84954519'!$C$27</f>
        <v/>
      </c>
      <c r="D50" s="5">
        <f>'balance_raw_84954519'!$D$27</f>
        <v/>
      </c>
      <c r="E50" s="5">
        <f>'balance_raw_84954519'!$E$27</f>
        <v/>
      </c>
      <c r="F50" s="5">
        <f>'balance_raw_84954519'!$F$27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'balance_raw_84954519'!$B$28</f>
        <v/>
      </c>
      <c r="C51" s="8">
        <f>'balance_raw_84954519'!$C$28</f>
        <v/>
      </c>
      <c r="D51" s="8">
        <f>'balance_raw_84954519'!$D$28</f>
        <v/>
      </c>
      <c r="E51" s="8">
        <f>'balance_raw_84954519'!$E$28</f>
        <v/>
      </c>
      <c r="F51" s="8">
        <f>'balance_raw_84954519'!$F$28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'balance_raw_84954519'!$B$29</f>
        <v/>
      </c>
      <c r="C52" s="5">
        <f>'balance_raw_84954519'!$C$29</f>
        <v/>
      </c>
      <c r="D52" s="5">
        <f>'balance_raw_84954519'!$D$29</f>
        <v/>
      </c>
      <c r="E52" s="5">
        <f>'balance_raw_84954519'!$E$29</f>
        <v/>
      </c>
      <c r="F52" s="5">
        <f>'balance_raw_84954519'!$F$29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'balance_raw_84954519'!$B$30</f>
        <v/>
      </c>
      <c r="C53" s="11">
        <f>'balance_raw_84954519'!$C$30</f>
        <v/>
      </c>
      <c r="D53" s="11">
        <f>'balance_raw_84954519'!$D$30</f>
        <v/>
      </c>
      <c r="E53" s="11">
        <f>'balance_raw_84954519'!$E$30</f>
        <v/>
      </c>
      <c r="F53" s="11">
        <f>'balance_raw_84954519'!$F$30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'balance_raw_84954519'!$B$31</f>
        <v/>
      </c>
      <c r="C54" s="5">
        <f>'balance_raw_84954519'!$C$31</f>
        <v/>
      </c>
      <c r="D54" s="5">
        <f>'balance_raw_84954519'!$D$31</f>
        <v/>
      </c>
      <c r="E54" s="5">
        <f>'balance_raw_84954519'!$E$31</f>
        <v/>
      </c>
      <c r="F54" s="5">
        <f>'balance_raw_84954519'!$F$31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lån</t>
        </is>
      </c>
      <c r="B55" s="8">
        <f>'balance_raw_84954519'!$B$32</f>
        <v/>
      </c>
      <c r="C55" s="8">
        <f>'balance_raw_84954519'!$C$32</f>
        <v/>
      </c>
      <c r="D55" s="8">
        <f>'balance_raw_84954519'!$D$32</f>
        <v/>
      </c>
      <c r="E55" s="8">
        <f>'balance_raw_84954519'!$E$32</f>
        <v/>
      </c>
      <c r="F55" s="8">
        <f>'balance_raw_84954519'!$F$32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'balance_raw_84954519'!$B$33</f>
        <v/>
      </c>
      <c r="C56" s="5">
        <f>'balance_raw_84954519'!$C$33</f>
        <v/>
      </c>
      <c r="D56" s="5">
        <f>'balance_raw_84954519'!$D$33</f>
        <v/>
      </c>
      <c r="E56" s="5">
        <f>'balance_raw_84954519'!$E$33</f>
        <v/>
      </c>
      <c r="F56" s="5">
        <f>'balance_raw_84954519'!$F$33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Anden gæld (langfristet)</t>
        </is>
      </c>
      <c r="B57" s="8">
        <f>'balance_raw_84954519'!$B$34</f>
        <v/>
      </c>
      <c r="C57" s="8">
        <f>'balance_raw_84954519'!$C$34</f>
        <v/>
      </c>
      <c r="D57" s="8">
        <f>'balance_raw_84954519'!$D$34</f>
        <v/>
      </c>
      <c r="E57" s="8">
        <f>'balance_raw_84954519'!$E$34</f>
        <v/>
      </c>
      <c r="F57" s="8">
        <f>'balance_raw_84954519'!$F$34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Langfristede gældsforpligtelser</t>
        </is>
      </c>
      <c r="B58" s="11">
        <f>'balance_raw_84954519'!$B$35</f>
        <v/>
      </c>
      <c r="C58" s="11">
        <f>'balance_raw_84954519'!$C$35</f>
        <v/>
      </c>
      <c r="D58" s="11">
        <f>'balance_raw_84954519'!$D$35</f>
        <v/>
      </c>
      <c r="E58" s="11">
        <f>'balance_raw_84954519'!$E$35</f>
        <v/>
      </c>
      <c r="F58" s="11">
        <f>'balance_raw_84954519'!$F$35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Ansvarlig lånekapital (kortfristet)</t>
        </is>
      </c>
      <c r="B59" s="8">
        <f>'balance_raw_84954519'!$B$36</f>
        <v/>
      </c>
      <c r="C59" s="8">
        <f>'balance_raw_84954519'!$C$36</f>
        <v/>
      </c>
      <c r="D59" s="8">
        <f>'balance_raw_84954519'!$D$36</f>
        <v/>
      </c>
      <c r="E59" s="8">
        <f>'balance_raw_84954519'!$E$36</f>
        <v/>
      </c>
      <c r="F59" s="8">
        <f>'balance_raw_84954519'!$F$36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'balance_raw_84954519'!$B$37</f>
        <v/>
      </c>
      <c r="C60" s="5">
        <f>'balance_raw_84954519'!$C$37</f>
        <v/>
      </c>
      <c r="D60" s="5">
        <f>'balance_raw_84954519'!$D$37</f>
        <v/>
      </c>
      <c r="E60" s="5">
        <f>'balance_raw_84954519'!$E$37</f>
        <v/>
      </c>
      <c r="F60" s="5">
        <f>'balance_raw_84954519'!$F$37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Kreditinstitutter</t>
        </is>
      </c>
      <c r="B61" s="8">
        <f>'balance_raw_84954519'!$B$38</f>
        <v/>
      </c>
      <c r="C61" s="8">
        <f>'balance_raw_84954519'!$C$38</f>
        <v/>
      </c>
      <c r="D61" s="8">
        <f>'balance_raw_84954519'!$D$38</f>
        <v/>
      </c>
      <c r="E61" s="8">
        <f>'balance_raw_84954519'!$E$38</f>
        <v/>
      </c>
      <c r="F61" s="8">
        <f>'balance_raw_84954519'!$F$38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'balance_raw_84954519'!$B$39</f>
        <v/>
      </c>
      <c r="C62" s="5">
        <f>'balance_raw_84954519'!$C$39</f>
        <v/>
      </c>
      <c r="D62" s="5">
        <f>'balance_raw_84954519'!$D$39</f>
        <v/>
      </c>
      <c r="E62" s="5">
        <f>'balance_raw_84954519'!$E$39</f>
        <v/>
      </c>
      <c r="F62" s="5">
        <f>'balance_raw_84954519'!$F$39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Leverandører af varer og tjenesteydelser</t>
        </is>
      </c>
      <c r="B63" s="8">
        <f>'balance_raw_84954519'!$B$40</f>
        <v/>
      </c>
      <c r="C63" s="8">
        <f>'balance_raw_84954519'!$C$40</f>
        <v/>
      </c>
      <c r="D63" s="8">
        <f>'balance_raw_84954519'!$D$40</f>
        <v/>
      </c>
      <c r="E63" s="8">
        <f>'balance_raw_84954519'!$E$40</f>
        <v/>
      </c>
      <c r="F63" s="8">
        <f>'balance_raw_84954519'!$F$40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'balance_raw_84954519'!$B$41</f>
        <v/>
      </c>
      <c r="C64" s="5">
        <f>'balance_raw_84954519'!$C$41</f>
        <v/>
      </c>
      <c r="D64" s="5">
        <f>'balance_raw_84954519'!$D$41</f>
        <v/>
      </c>
      <c r="E64" s="5">
        <f>'balance_raw_84954519'!$E$41</f>
        <v/>
      </c>
      <c r="F64" s="5">
        <f>'balance_raw_84954519'!$F$41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selskabsdeltagere og ledelse</t>
        </is>
      </c>
      <c r="B65" s="8">
        <f>'balance_raw_84954519'!$B$42</f>
        <v/>
      </c>
      <c r="C65" s="8">
        <f>'balance_raw_84954519'!$C$42</f>
        <v/>
      </c>
      <c r="D65" s="8">
        <f>'balance_raw_84954519'!$D$42</f>
        <v/>
      </c>
      <c r="E65" s="8">
        <f>'balance_raw_84954519'!$E$42</f>
        <v/>
      </c>
      <c r="F65" s="8">
        <f>'balance_raw_84954519'!$F$42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Selskabsskat</t>
        </is>
      </c>
      <c r="B66" s="5">
        <f>'balance_raw_84954519'!$B$43</f>
        <v/>
      </c>
      <c r="C66" s="5">
        <f>'balance_raw_84954519'!$C$43</f>
        <v/>
      </c>
      <c r="D66" s="5">
        <f>'balance_raw_84954519'!$D$43</f>
        <v/>
      </c>
      <c r="E66" s="5">
        <f>'balance_raw_84954519'!$E$43</f>
        <v/>
      </c>
      <c r="F66" s="5">
        <f>'balance_raw_84954519'!$F$43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 vedr. selskabsskat</t>
        </is>
      </c>
      <c r="B67" s="8">
        <f>'balance_raw_84954519'!$B$44</f>
        <v/>
      </c>
      <c r="C67" s="8">
        <f>'balance_raw_84954519'!$C$44</f>
        <v/>
      </c>
      <c r="D67" s="8">
        <f>'balance_raw_84954519'!$D$44</f>
        <v/>
      </c>
      <c r="E67" s="8">
        <f>'balance_raw_84954519'!$E$44</f>
        <v/>
      </c>
      <c r="F67" s="8">
        <f>'balance_raw_84954519'!$F$44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'balance_raw_84954519'!$B$45</f>
        <v/>
      </c>
      <c r="C68" s="5">
        <f>'balance_raw_84954519'!$C$45</f>
        <v/>
      </c>
      <c r="D68" s="5">
        <f>'balance_raw_84954519'!$D$45</f>
        <v/>
      </c>
      <c r="E68" s="5">
        <f>'balance_raw_84954519'!$E$45</f>
        <v/>
      </c>
      <c r="F68" s="5">
        <f>'balance_raw_84954519'!$F$45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Periodeafgrænsningsposter (passiver)</t>
        </is>
      </c>
      <c r="B69" s="8">
        <f>'balance_raw_84954519'!$B$46</f>
        <v/>
      </c>
      <c r="C69" s="8">
        <f>'balance_raw_84954519'!$C$46</f>
        <v/>
      </c>
      <c r="D69" s="8">
        <f>'balance_raw_84954519'!$D$46</f>
        <v/>
      </c>
      <c r="E69" s="8">
        <f>'balance_raw_84954519'!$E$46</f>
        <v/>
      </c>
      <c r="F69" s="8">
        <f>'balance_raw_84954519'!$F$46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10" t="inlineStr">
        <is>
          <t>Kortfristede gældsforpligtelser</t>
        </is>
      </c>
      <c r="B70" s="11">
        <f>'balance_raw_84954519'!$B$47</f>
        <v/>
      </c>
      <c r="C70" s="11">
        <f>'balance_raw_84954519'!$C$47</f>
        <v/>
      </c>
      <c r="D70" s="11">
        <f>'balance_raw_84954519'!$D$47</f>
        <v/>
      </c>
      <c r="E70" s="11">
        <f>'balance_raw_84954519'!$E$47</f>
        <v/>
      </c>
      <c r="F70" s="11">
        <f>'balance_raw_84954519'!$F$47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Gældsforpligtelser</t>
        </is>
      </c>
      <c r="B71" s="11">
        <f>'balance_raw_84954519'!$B$48</f>
        <v/>
      </c>
      <c r="C71" s="11">
        <f>'balance_raw_84954519'!$C$48</f>
        <v/>
      </c>
      <c r="D71" s="11">
        <f>'balance_raw_84954519'!$D$48</f>
        <v/>
      </c>
      <c r="E71" s="11">
        <f>'balance_raw_84954519'!$E$48</f>
        <v/>
      </c>
      <c r="F71" s="11">
        <f>'balance_raw_84954519'!$F$48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Passiver</t>
        </is>
      </c>
      <c r="B72" s="11">
        <f>'balance_raw_84954519'!$B$49</f>
        <v/>
      </c>
      <c r="C72" s="11">
        <f>'balance_raw_84954519'!$C$49</f>
        <v/>
      </c>
      <c r="D72" s="11">
        <f>'balance_raw_84954519'!$D$49</f>
        <v/>
      </c>
      <c r="E72" s="11">
        <f>'balance_raw_84954519'!$E$49</f>
        <v/>
      </c>
      <c r="F72" s="11">
        <f>'balance_raw_84954519'!$F$49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Gns. antal medarbejdere</t>
        </is>
      </c>
      <c r="B75" s="8">
        <f>'res_raw_84954519'!$B$19</f>
        <v/>
      </c>
      <c r="C75" s="8">
        <f>'res_raw_84954519'!$C$19</f>
        <v/>
      </c>
      <c r="D75" s="8">
        <f>'res_raw_84954519'!$D$19</f>
        <v/>
      </c>
      <c r="E75" s="8">
        <f>'res_raw_84954519'!$E$19</f>
        <v/>
      </c>
      <c r="F75" s="8">
        <f>'res_raw_84954519'!$F$19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'res_raw_84954519'!$B$20</f>
        <v/>
      </c>
      <c r="C76" s="5">
        <f>'res_raw_84954519'!$C$20</f>
        <v/>
      </c>
      <c r="D76" s="5">
        <f>'res_raw_84954519'!$D$20</f>
        <v/>
      </c>
      <c r="E76" s="5">
        <f>'res_raw_84954519'!$E$20</f>
        <v/>
      </c>
      <c r="F76" s="5">
        <f>'res_raw_84954519'!$F$20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Afkastningsgrad, %</t>
        </is>
      </c>
      <c r="B79" s="13">
        <f>IFERROR(($B$13+$B$15+$B$14)/$B$44*100,"")</f>
        <v/>
      </c>
      <c r="C79" s="13">
        <f>IFERROR(($C$13+$C$15+$C$14)/$C$44*100,"")</f>
        <v/>
      </c>
      <c r="D79" s="13">
        <f>IFERROR(($D$13+$D$15+$D$14)/$D$44*100,"")</f>
        <v/>
      </c>
      <c r="E79" s="13">
        <f>IFERROR(($E$13+$E$15+$E$14)/$E$44*100,"")</f>
        <v/>
      </c>
      <c r="F79" s="13">
        <f>IFERROR(($F$13+$F$15+$F$14)/$F$44*100,"")</f>
        <v/>
      </c>
    </row>
    <row r="80" ht="16" customHeight="1">
      <c r="A80" s="4" t="inlineStr">
        <is>
          <t>Overskudsgrad (af bruttofortjeneste), %</t>
        </is>
      </c>
      <c r="B80" s="14">
        <f>IFERROR(($B$13+$B$15+$B$14)/$B$8*100,"")</f>
        <v/>
      </c>
      <c r="C80" s="14">
        <f>IFERROR(($C$13+$C$15+$C$14)/$C$8*100,"")</f>
        <v/>
      </c>
      <c r="D80" s="14">
        <f>IFERROR(($D$13+$D$15+$D$14)/$D$8*100,"")</f>
        <v/>
      </c>
      <c r="E80" s="14">
        <f>IFERROR(($E$13+$E$15+$E$14)/$E$8*100,"")</f>
        <v/>
      </c>
      <c r="F80" s="14">
        <f>IFERROR(($F$13+$F$15+$F$14)/$F$8*100,"")</f>
        <v/>
      </c>
    </row>
    <row r="81" ht="16" customHeight="1">
      <c r="A81" s="7" t="inlineStr">
        <is>
          <t>Aktivernes omsætningshastighed (af bruttofortjeneste), gange</t>
        </is>
      </c>
      <c r="B81" s="13">
        <f>IFERROR($B$8/$B$44,"")</f>
        <v/>
      </c>
      <c r="C81" s="13">
        <f>IFERROR($C$8/$C$44,"")</f>
        <v/>
      </c>
      <c r="D81" s="13">
        <f>IFERROR($D$8/$D$44,"")</f>
        <v/>
      </c>
      <c r="E81" s="13">
        <f>IFERROR($E$8/$E$44,"")</f>
        <v/>
      </c>
      <c r="F81" s="13">
        <f>IFERROR($F$8/$F$44,"")</f>
        <v/>
      </c>
    </row>
    <row r="82" ht="16" customHeight="1">
      <c r="A82" s="4" t="inlineStr">
        <is>
          <t>Egenkapitalens forrentning, %</t>
        </is>
      </c>
      <c r="B82" s="14">
        <f>IFERROR($B$18/$B$53*100,"")</f>
        <v/>
      </c>
      <c r="C82" s="14">
        <f>IFERROR($C$18/$C$53*100,"")</f>
        <v/>
      </c>
      <c r="D82" s="14">
        <f>IFERROR($D$18/$D$53*100,"")</f>
        <v/>
      </c>
      <c r="E82" s="14">
        <f>IFERROR($E$18/$E$53*100,"")</f>
        <v/>
      </c>
      <c r="F82" s="14">
        <f>IFERROR($F$18/$F$53*100,"")</f>
        <v/>
      </c>
    </row>
    <row r="83" ht="16" customHeight="1">
      <c r="A83" s="7" t="inlineStr">
        <is>
          <t>Gældsrente, %</t>
        </is>
      </c>
      <c r="B83" s="13">
        <f>IFERROR($B$16/($B$72-$B$53)*100,"")</f>
        <v/>
      </c>
      <c r="C83" s="13">
        <f>IFERROR($C$16/($C$72-$C$53)*100,"")</f>
        <v/>
      </c>
      <c r="D83" s="13">
        <f>IFERROR($D$16/($D$72-$D$53)*100,"")</f>
        <v/>
      </c>
      <c r="E83" s="13">
        <f>IFERROR($E$16/($E$72-$E$53)*100,"")</f>
        <v/>
      </c>
      <c r="F83" s="13">
        <f>IFERROR($F$16/($F$72-$F$53)*100,"")</f>
        <v/>
      </c>
    </row>
    <row r="84" ht="16" customHeight="1">
      <c r="A84" s="4" t="inlineStr">
        <is>
          <t>Soliditetsgrad, %</t>
        </is>
      </c>
      <c r="B84" s="14">
        <f>IFERROR($B$53/$B$44*100,"")</f>
        <v/>
      </c>
      <c r="C84" s="14">
        <f>IFERROR($C$53/$C$44*100,"")</f>
        <v/>
      </c>
      <c r="D84" s="14">
        <f>IFERROR($D$53/$D$44*100,"")</f>
        <v/>
      </c>
      <c r="E84" s="14">
        <f>IFERROR($E$53/$E$44*100,"")</f>
        <v/>
      </c>
      <c r="F84" s="14">
        <f>IFERROR($F$53/$F$44*100,"")</f>
        <v/>
      </c>
    </row>
    <row r="85" ht="16" customHeight="1">
      <c r="A85" s="7" t="inlineStr">
        <is>
          <t>Gearing</t>
        </is>
      </c>
      <c r="B85" s="13">
        <f>IFERROR(($B$72-$B$53)/$B$53,"")</f>
        <v/>
      </c>
      <c r="C85" s="13">
        <f>IFERROR(($C$72-$C$53)/$C$53,"")</f>
        <v/>
      </c>
      <c r="D85" s="13">
        <f>IFERROR(($D$72-$D$53)/$D$53,"")</f>
        <v/>
      </c>
      <c r="E85" s="13">
        <f>IFERROR(($E$72-$E$53)/$E$53,"")</f>
        <v/>
      </c>
      <c r="F85" s="13">
        <f>IFERROR(($F$72-$F$53)/$F$53,"")</f>
        <v/>
      </c>
    </row>
    <row r="86" ht="16" customHeight="1">
      <c r="A86" s="4" t="inlineStr">
        <is>
          <t>Likviditetsgrad, %</t>
        </is>
      </c>
      <c r="B86" s="14">
        <f>IFERROR($B$43/$B$70*100,"")</f>
        <v/>
      </c>
      <c r="C86" s="14">
        <f>IFERROR($C$43/$C$70*100,"")</f>
        <v/>
      </c>
      <c r="D86" s="14">
        <f>IFERROR($D$43/$D$70*100,"")</f>
        <v/>
      </c>
      <c r="E86" s="14">
        <f>IFERROR($E$43/$E$70*100,"")</f>
        <v/>
      </c>
      <c r="F86" s="14">
        <f>IFERROR($F$43/$F$70*100,"")</f>
        <v/>
      </c>
    </row>
    <row r="87" ht="16" customHeight="1">
      <c r="A87" s="7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IFERROR(($B$72-$B$53)/$B$44*100,"")</f>
        <v/>
      </c>
      <c r="C88" s="14">
        <f>IFERROR(($C$72-$C$53)/$C$44*100,"")</f>
        <v/>
      </c>
      <c r="D88" s="14">
        <f>IFERROR(($D$72-$D$53)/$D$44*100,"")</f>
        <v/>
      </c>
      <c r="E88" s="14">
        <f>IFERROR(($E$72-$E$53)/$E$44*100,"")</f>
        <v/>
      </c>
      <c r="F88" s="14">
        <f>IFERROR(($F$72-$F$53)/$F$44*100,"")</f>
        <v/>
      </c>
    </row>
    <row r="89" ht="16" customHeight="1">
      <c r="A89" s="7" t="inlineStr">
        <is>
          <t>Kapitalbindingsgrad, %</t>
        </is>
      </c>
      <c r="B89" s="13">
        <f>IFERROR($B$32/($B$53+$B$58)*100,"")</f>
        <v/>
      </c>
      <c r="C89" s="13">
        <f>IFERROR($C$32/($C$53+$C$58)*100,"")</f>
        <v/>
      </c>
      <c r="D89" s="13">
        <f>IFERROR($D$32/($D$53+$D$58)*100,"")</f>
        <v/>
      </c>
      <c r="E89" s="13">
        <f>IFERROR($E$32/($E$53+$E$58)*100,"")</f>
        <v/>
      </c>
      <c r="F89" s="13">
        <f>IFERROR($F$32/($F$53+$F$58)*100,"")</f>
        <v/>
      </c>
    </row>
    <row r="91">
      <c r="A9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Berdino Holding A/S (CVR 84954519)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2173</v>
      </c>
      <c r="C6" s="16" t="n">
        <v>4699</v>
      </c>
      <c r="D6" s="16" t="n">
        <v>1521</v>
      </c>
      <c r="E6" s="16" t="n">
        <v>3822</v>
      </c>
      <c r="F6" s="16" t="n">
        <v>5495</v>
      </c>
    </row>
    <row r="7">
      <c r="A7" s="15" t="inlineStr">
        <is>
          <t>Personaleomkostninger</t>
        </is>
      </c>
      <c r="B7" s="16" t="n"/>
      <c r="C7" s="16" t="n"/>
      <c r="D7" s="16" t="n"/>
      <c r="E7" s="16" t="n"/>
      <c r="F7" s="16" t="n"/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2862</v>
      </c>
      <c r="C9" s="16" t="n">
        <v>3040</v>
      </c>
      <c r="D9" s="16" t="n">
        <v>3183</v>
      </c>
      <c r="E9" s="16" t="n">
        <v>3239</v>
      </c>
      <c r="F9" s="16" t="n">
        <v>2832</v>
      </c>
    </row>
    <row r="10">
      <c r="A10" s="15" t="inlineStr">
        <is>
          <t>Andre driftsomkostninger</t>
        </is>
      </c>
      <c r="B10" s="16" t="n"/>
      <c r="C10" s="16" t="n">
        <v>0</v>
      </c>
      <c r="D10" s="16" t="n">
        <v>938</v>
      </c>
      <c r="E10" s="16" t="n">
        <v>8</v>
      </c>
      <c r="F10" s="16" t="n">
        <v>0</v>
      </c>
    </row>
    <row r="11">
      <c r="A11" s="17" t="inlineStr">
        <is>
          <t>Resultat af primær drift</t>
        </is>
      </c>
      <c r="B11" s="16" t="n">
        <v>-689</v>
      </c>
      <c r="C11" s="16" t="n">
        <v>1658</v>
      </c>
      <c r="D11" s="16" t="n">
        <v>-2600</v>
      </c>
      <c r="E11" s="16" t="n">
        <v>575</v>
      </c>
      <c r="F11" s="16" t="n">
        <v>2663</v>
      </c>
    </row>
    <row r="12">
      <c r="A12" s="15" t="inlineStr">
        <is>
          <t>Indtægter af kapitalandele, dattervirksomheder</t>
        </is>
      </c>
      <c r="B12" s="16" t="n">
        <v>0</v>
      </c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5000</v>
      </c>
      <c r="E13" s="16" t="n">
        <v>0</v>
      </c>
      <c r="F13" s="16" t="n">
        <v>0</v>
      </c>
    </row>
    <row r="14">
      <c r="A14" s="15" t="inlineStr">
        <is>
          <t>Finansielle omkostninger</t>
        </is>
      </c>
      <c r="B14" s="16" t="n">
        <v>1099</v>
      </c>
      <c r="C14" s="16" t="n">
        <v>891</v>
      </c>
      <c r="D14" s="16" t="n">
        <v>724</v>
      </c>
      <c r="E14" s="16" t="n">
        <v>1507</v>
      </c>
      <c r="F14" s="16" t="n">
        <v>776</v>
      </c>
    </row>
    <row r="15">
      <c r="A15" s="17" t="inlineStr">
        <is>
          <t>Finansielle poster, netto</t>
        </is>
      </c>
      <c r="B15" s="16" t="n">
        <v>-1099</v>
      </c>
      <c r="C15" s="16" t="n">
        <v>-891</v>
      </c>
      <c r="D15" s="16" t="n">
        <v>4276</v>
      </c>
      <c r="E15" s="16" t="n">
        <v>-1507</v>
      </c>
      <c r="F15" s="16" t="n">
        <v>-776</v>
      </c>
    </row>
    <row r="16">
      <c r="A16" s="17" t="inlineStr">
        <is>
          <t>Resultat før skat</t>
        </is>
      </c>
      <c r="B16" s="16" t="n">
        <v>-1787</v>
      </c>
      <c r="C16" s="16" t="n">
        <v>693</v>
      </c>
      <c r="D16" s="16" t="n">
        <v>1609</v>
      </c>
      <c r="E16" s="16" t="n">
        <v>-932</v>
      </c>
      <c r="F16" s="16" t="n">
        <v>1887</v>
      </c>
    </row>
    <row r="17">
      <c r="A17" s="15" t="inlineStr">
        <is>
          <t>Skat af årets resultat</t>
        </is>
      </c>
      <c r="B17" s="16" t="n">
        <v>-280</v>
      </c>
      <c r="C17" s="16" t="n">
        <v>236</v>
      </c>
      <c r="D17" s="16" t="n">
        <v>502</v>
      </c>
      <c r="E17" s="16" t="n">
        <v>123</v>
      </c>
      <c r="F17" s="16" t="n">
        <v>0</v>
      </c>
    </row>
    <row r="18">
      <c r="A18" s="17" t="inlineStr">
        <is>
          <t>Årets resultat</t>
        </is>
      </c>
      <c r="B18" s="16" t="n">
        <v>-1507</v>
      </c>
      <c r="C18" s="16" t="n">
        <v>457</v>
      </c>
      <c r="D18" s="16" t="n">
        <v>1107</v>
      </c>
      <c r="E18" s="16" t="n">
        <v>-1055</v>
      </c>
      <c r="F18" s="16" t="n">
        <v>1887</v>
      </c>
    </row>
    <row r="19">
      <c r="A19" s="15" t="inlineStr">
        <is>
          <t>Gns. antal medarbejdere</t>
        </is>
      </c>
      <c r="B19" s="16" t="n"/>
      <c r="C19" s="16" t="n">
        <v>0</v>
      </c>
      <c r="D19" s="16" t="n">
        <v>0</v>
      </c>
      <c r="E19" s="16" t="n">
        <v>0</v>
      </c>
      <c r="F19" s="16" t="n">
        <v>0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Berdino Holding A/S (CVR 84954519)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19320</v>
      </c>
      <c r="C2" s="16" t="n">
        <v>18550</v>
      </c>
      <c r="D2" s="16" t="n">
        <v>17588</v>
      </c>
      <c r="E2" s="16" t="n">
        <v>17840</v>
      </c>
      <c r="F2" s="16" t="n">
        <v>17305</v>
      </c>
    </row>
    <row r="3">
      <c r="A3" s="15" t="inlineStr">
        <is>
          <t>Produktionsanlæg og maskiner</t>
        </is>
      </c>
      <c r="B3" s="16" t="n">
        <v>7984</v>
      </c>
      <c r="C3" s="16" t="n">
        <v>9908</v>
      </c>
      <c r="D3" s="16" t="n">
        <v>9149</v>
      </c>
      <c r="E3" s="16" t="n">
        <v>9387</v>
      </c>
      <c r="F3" s="16" t="n">
        <v>7854</v>
      </c>
    </row>
    <row r="4">
      <c r="A4" s="15" t="inlineStr">
        <is>
          <t>Driftsmateriel og inventar</t>
        </is>
      </c>
      <c r="B4" s="16" t="n">
        <v>1228</v>
      </c>
      <c r="C4" s="16" t="n">
        <v>1086</v>
      </c>
      <c r="D4" s="16" t="n">
        <v>0</v>
      </c>
      <c r="E4" s="16" t="n"/>
      <c r="F4" s="16" t="n"/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28532</v>
      </c>
      <c r="C7" s="16" t="n">
        <v>29544</v>
      </c>
      <c r="D7" s="16" t="n">
        <v>26736</v>
      </c>
      <c r="E7" s="16" t="n">
        <v>27227</v>
      </c>
      <c r="F7" s="16" t="n">
        <v>25160</v>
      </c>
    </row>
    <row r="8">
      <c r="A8" s="15" t="inlineStr">
        <is>
          <t>Kapitalandele, dattervirksomheder</t>
        </is>
      </c>
      <c r="B8" s="16" t="n">
        <v>0</v>
      </c>
      <c r="C8" s="16" t="n">
        <v>0</v>
      </c>
      <c r="D8" s="16" t="n">
        <v>0</v>
      </c>
      <c r="E8" s="16" t="n"/>
      <c r="F8" s="16" t="n"/>
    </row>
    <row r="9">
      <c r="A9" s="15" t="inlineStr">
        <is>
          <t>Deposita</t>
        </is>
      </c>
      <c r="B9" s="16" t="n">
        <v>0</v>
      </c>
      <c r="C9" s="16" t="n">
        <v>0</v>
      </c>
      <c r="D9" s="16" t="n">
        <v>100</v>
      </c>
      <c r="E9" s="16" t="n">
        <v>100</v>
      </c>
      <c r="F9" s="16" t="n">
        <v>100</v>
      </c>
    </row>
    <row r="10">
      <c r="A10" s="17" t="inlineStr">
        <is>
          <t>Finansielle anlægsaktiver</t>
        </is>
      </c>
      <c r="B10" s="16" t="n">
        <v>0</v>
      </c>
      <c r="C10" s="16" t="n">
        <v>0</v>
      </c>
      <c r="D10" s="16" t="n">
        <v>100</v>
      </c>
      <c r="E10" s="16" t="n">
        <v>100</v>
      </c>
      <c r="F10" s="16" t="n">
        <v>100</v>
      </c>
    </row>
    <row r="11">
      <c r="A11" s="17" t="inlineStr">
        <is>
          <t>Anlægsaktiver</t>
        </is>
      </c>
      <c r="B11" s="16" t="n">
        <v>28532</v>
      </c>
      <c r="C11" s="16" t="n">
        <v>29544</v>
      </c>
      <c r="D11" s="16" t="n">
        <v>26836</v>
      </c>
      <c r="E11" s="16" t="n">
        <v>27327</v>
      </c>
      <c r="F11" s="16" t="n">
        <v>25260</v>
      </c>
    </row>
    <row r="12">
      <c r="A12" s="15" t="inlineStr">
        <is>
          <t>Tilgodehavender fra salg og tjenesteydelser</t>
        </is>
      </c>
      <c r="B12" s="16" t="n">
        <v>477</v>
      </c>
      <c r="C12" s="16" t="n">
        <v>5</v>
      </c>
      <c r="D12" s="16" t="n">
        <v>0</v>
      </c>
      <c r="E12" s="16" t="n"/>
      <c r="F12" s="16" t="n"/>
    </row>
    <row r="13">
      <c r="A13" s="15" t="inlineStr">
        <is>
          <t>Tilgodehavender hos tilknyttede virksomheder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Andre tilgodehavender</t>
        </is>
      </c>
      <c r="B14" s="16" t="n">
        <v>40</v>
      </c>
      <c r="C14" s="16" t="n">
        <v>616</v>
      </c>
      <c r="D14" s="16" t="n">
        <v>15</v>
      </c>
      <c r="E14" s="16" t="n">
        <v>15</v>
      </c>
      <c r="F14" s="16" t="n">
        <v>15</v>
      </c>
    </row>
    <row r="15">
      <c r="A15" s="15" t="inlineStr">
        <is>
          <t>Periodeafgrænsningsposter (aktiver)</t>
        </is>
      </c>
      <c r="B15" s="16" t="n">
        <v>181</v>
      </c>
      <c r="C15" s="16" t="n">
        <v>249</v>
      </c>
      <c r="D15" s="16" t="n">
        <v>193</v>
      </c>
      <c r="E15" s="16" t="n">
        <v>261</v>
      </c>
      <c r="F15" s="16" t="n">
        <v>115</v>
      </c>
    </row>
    <row r="16">
      <c r="A16" s="15" t="inlineStr">
        <is>
          <t>Udskudt skatteaktiv</t>
        </is>
      </c>
      <c r="B16" s="16" t="n">
        <v>618</v>
      </c>
      <c r="C16" s="16" t="n">
        <v>478</v>
      </c>
      <c r="D16" s="16" t="n">
        <v>123</v>
      </c>
      <c r="E16" s="16" t="n">
        <v>0</v>
      </c>
      <c r="F16" s="16" t="n"/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Tilgodehavender</t>
        </is>
      </c>
      <c r="B19" s="16" t="n">
        <v>1316</v>
      </c>
      <c r="C19" s="16" t="n">
        <v>1349</v>
      </c>
      <c r="D19" s="16" t="n">
        <v>331</v>
      </c>
      <c r="E19" s="16" t="n">
        <v>276</v>
      </c>
      <c r="F19" s="16" t="n">
        <v>129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156</v>
      </c>
      <c r="C21" s="16" t="n">
        <v>0</v>
      </c>
      <c r="D21" s="16" t="n">
        <v>0</v>
      </c>
      <c r="E21" s="16" t="n">
        <v>0</v>
      </c>
      <c r="F21" s="16" t="n">
        <v>0</v>
      </c>
    </row>
    <row r="22">
      <c r="A22" s="17" t="inlineStr">
        <is>
          <t>Omsætningsaktiver</t>
        </is>
      </c>
      <c r="B22" s="16" t="n">
        <v>1471</v>
      </c>
      <c r="C22" s="16" t="n">
        <v>1349</v>
      </c>
      <c r="D22" s="16" t="n">
        <v>331</v>
      </c>
      <c r="E22" s="16" t="n">
        <v>276</v>
      </c>
      <c r="F22" s="16" t="n">
        <v>130</v>
      </c>
    </row>
    <row r="23">
      <c r="A23" s="17" t="inlineStr">
        <is>
          <t>Aktiver</t>
        </is>
      </c>
      <c r="B23" s="16" t="n">
        <v>30003</v>
      </c>
      <c r="C23" s="16" t="n">
        <v>30893</v>
      </c>
      <c r="D23" s="16" t="n">
        <v>27168</v>
      </c>
      <c r="E23" s="16" t="n">
        <v>27603</v>
      </c>
      <c r="F23" s="16" t="n">
        <v>25389</v>
      </c>
    </row>
    <row r="24">
      <c r="A24" s="15" t="inlineStr">
        <is>
          <t>Selskabskapital</t>
        </is>
      </c>
      <c r="B24" s="16" t="n">
        <v>500</v>
      </c>
      <c r="C24" s="16" t="n">
        <v>500</v>
      </c>
      <c r="D24" s="16" t="n">
        <v>500</v>
      </c>
      <c r="E24" s="16" t="n">
        <v>500</v>
      </c>
      <c r="F24" s="16" t="n">
        <v>500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>
        <v>7203</v>
      </c>
      <c r="C28" s="16" t="n">
        <v>6861</v>
      </c>
      <c r="D28" s="16" t="n">
        <v>5827</v>
      </c>
      <c r="E28" s="16" t="n">
        <v>5516</v>
      </c>
      <c r="F28" s="16" t="n">
        <v>5205</v>
      </c>
    </row>
    <row r="29">
      <c r="A29" s="15" t="inlineStr">
        <is>
          <t>Overført resultat</t>
        </is>
      </c>
      <c r="B29" s="16" t="n">
        <v>-8624</v>
      </c>
      <c r="C29" s="16" t="n">
        <v>-7728</v>
      </c>
      <c r="D29" s="16" t="n">
        <v>-5441</v>
      </c>
      <c r="E29" s="16" t="n">
        <v>-6185</v>
      </c>
      <c r="F29" s="16" t="n">
        <v>-3986</v>
      </c>
    </row>
    <row r="30">
      <c r="A30" s="17" t="inlineStr">
        <is>
          <t>Egenkapital i alt</t>
        </is>
      </c>
      <c r="B30" s="16" t="n">
        <v>-920</v>
      </c>
      <c r="C30" s="16" t="n">
        <v>-367</v>
      </c>
      <c r="D30" s="16" t="n">
        <v>887</v>
      </c>
      <c r="E30" s="16" t="n">
        <v>-169</v>
      </c>
      <c r="F30" s="16" t="n">
        <v>1719</v>
      </c>
    </row>
    <row r="31">
      <c r="A31" s="15" t="inlineStr">
        <is>
          <t>Ansvarlig lånekapital (langfristet)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Langfristede lån</t>
        </is>
      </c>
      <c r="B32" s="16" t="n">
        <v>4204</v>
      </c>
      <c r="C32" s="16" t="n">
        <v>3518</v>
      </c>
      <c r="D32" s="16" t="n">
        <v>2821</v>
      </c>
      <c r="E32" s="16" t="n">
        <v>2076</v>
      </c>
      <c r="F32" s="16" t="n">
        <v>1309</v>
      </c>
    </row>
    <row r="33">
      <c r="A33" s="15" t="inlineStr">
        <is>
          <t>Leasingforpligtelser (langfristet)</t>
        </is>
      </c>
      <c r="B33" s="16" t="n"/>
      <c r="C33" s="16" t="n"/>
      <c r="D33" s="16" t="n"/>
      <c r="E33" s="16" t="n">
        <v>882</v>
      </c>
      <c r="F33" s="16" t="n">
        <v>175</v>
      </c>
    </row>
    <row r="34">
      <c r="A34" s="15" t="inlineStr">
        <is>
          <t>Anden gæld (langfristet)</t>
        </is>
      </c>
      <c r="B34" s="16" t="n">
        <v>18369</v>
      </c>
      <c r="C34" s="16" t="n">
        <v>18849</v>
      </c>
      <c r="D34" s="16" t="n">
        <v>14303</v>
      </c>
      <c r="E34" s="16" t="n"/>
      <c r="F34" s="16" t="n"/>
    </row>
    <row r="35">
      <c r="A35" s="17" t="inlineStr">
        <is>
          <t>Langfristede gældsforpligtelser</t>
        </is>
      </c>
      <c r="B35" s="16" t="n">
        <v>22573</v>
      </c>
      <c r="C35" s="16" t="n">
        <v>22368</v>
      </c>
      <c r="D35" s="16" t="n">
        <v>17273</v>
      </c>
      <c r="E35" s="16" t="n">
        <v>17182</v>
      </c>
      <c r="F35" s="16" t="n">
        <v>17109</v>
      </c>
    </row>
    <row r="36">
      <c r="A36" s="15" t="inlineStr">
        <is>
          <t>Ansvarlig lånekapital (kortfristet)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Kortfristet del af langfristede gældsforpligtelser</t>
        </is>
      </c>
      <c r="B37" s="16" t="n">
        <v>1789</v>
      </c>
      <c r="C37" s="16" t="n">
        <v>1874</v>
      </c>
      <c r="D37" s="16" t="n">
        <v>1958</v>
      </c>
      <c r="E37" s="16" t="n">
        <v>2310</v>
      </c>
      <c r="F37" s="16" t="n">
        <v>1767</v>
      </c>
    </row>
    <row r="38">
      <c r="A38" s="15" t="inlineStr">
        <is>
          <t>Kreditinstitutter</t>
        </is>
      </c>
      <c r="B38" s="16" t="n"/>
      <c r="C38" s="16" t="n">
        <v>600</v>
      </c>
      <c r="D38" s="16" t="n">
        <v>600</v>
      </c>
      <c r="E38" s="16" t="n">
        <v>0</v>
      </c>
      <c r="F38" s="16" t="n"/>
    </row>
    <row r="39">
      <c r="A39" s="15" t="inlineStr">
        <is>
          <t>Leasingforpligtelser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Leverandører af varer og tjenesteydelser</t>
        </is>
      </c>
      <c r="B40" s="16" t="n">
        <v>903</v>
      </c>
      <c r="C40" s="16" t="n">
        <v>721</v>
      </c>
      <c r="D40" s="16" t="n">
        <v>1419</v>
      </c>
      <c r="E40" s="16" t="n">
        <v>1510</v>
      </c>
      <c r="F40" s="16" t="n">
        <v>1967</v>
      </c>
    </row>
    <row r="41">
      <c r="A41" s="15" t="inlineStr">
        <is>
          <t>Gæld til tilknyttede virksomheder</t>
        </is>
      </c>
      <c r="B41" s="16" t="n">
        <v>844</v>
      </c>
      <c r="C41" s="16" t="n">
        <v>3415</v>
      </c>
      <c r="D41" s="16" t="n">
        <v>2527</v>
      </c>
      <c r="E41" s="16" t="n">
        <v>3497</v>
      </c>
      <c r="F41" s="16" t="n">
        <v>253</v>
      </c>
    </row>
    <row r="42">
      <c r="A42" s="15" t="inlineStr">
        <is>
          <t>Gæld til selskabsdeltagere og ledelse</t>
        </is>
      </c>
      <c r="B42" s="16" t="n">
        <v>0</v>
      </c>
      <c r="C42" s="16" t="n">
        <v>646</v>
      </c>
      <c r="D42" s="16" t="n">
        <v>252</v>
      </c>
      <c r="E42" s="16" t="n">
        <v>373</v>
      </c>
      <c r="F42" s="16" t="n">
        <v>1209</v>
      </c>
    </row>
    <row r="43">
      <c r="A43" s="15" t="inlineStr">
        <is>
          <t>Selskabsskat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Gæld til tilknyttede virksomheder vedr. 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Anden gæld (kortfristet)</t>
        </is>
      </c>
      <c r="B45" s="16" t="n">
        <v>3755</v>
      </c>
      <c r="C45" s="16" t="n">
        <v>526</v>
      </c>
      <c r="D45" s="16" t="n">
        <v>1142</v>
      </c>
      <c r="E45" s="16" t="n">
        <v>2901</v>
      </c>
      <c r="F45" s="16" t="n">
        <v>1366</v>
      </c>
    </row>
    <row r="46">
      <c r="A46" s="15" t="inlineStr">
        <is>
          <t>Periodeafgrænsningsposter (passiver)</t>
        </is>
      </c>
      <c r="B46" s="16" t="n">
        <v>1061</v>
      </c>
      <c r="C46" s="16" t="n">
        <v>1110</v>
      </c>
      <c r="D46" s="16" t="n">
        <v>1110</v>
      </c>
      <c r="E46" s="16" t="n">
        <v>0</v>
      </c>
      <c r="F46" s="16" t="n"/>
    </row>
    <row r="47">
      <c r="A47" s="17" t="inlineStr">
        <is>
          <t>Kortfristede gældsforpligtelser</t>
        </is>
      </c>
      <c r="B47" s="16" t="n">
        <v>8351</v>
      </c>
      <c r="C47" s="16" t="n">
        <v>8892</v>
      </c>
      <c r="D47" s="16" t="n">
        <v>9008</v>
      </c>
      <c r="E47" s="16" t="n">
        <v>10590</v>
      </c>
      <c r="F47" s="16" t="n">
        <v>6562</v>
      </c>
    </row>
    <row r="48">
      <c r="A48" s="17" t="inlineStr">
        <is>
          <t>Gældsforpligtelser</t>
        </is>
      </c>
      <c r="B48" s="16" t="n">
        <v>30924</v>
      </c>
      <c r="C48" s="16" t="n">
        <v>31260</v>
      </c>
      <c r="D48" s="16" t="n">
        <v>26281</v>
      </c>
      <c r="E48" s="16" t="n">
        <v>27772</v>
      </c>
      <c r="F48" s="16" t="n">
        <v>23671</v>
      </c>
    </row>
    <row r="49">
      <c r="A49" s="17" t="inlineStr">
        <is>
          <t>Passiver</t>
        </is>
      </c>
      <c r="B49" s="16" t="n">
        <v>30003</v>
      </c>
      <c r="C49" s="16" t="n">
        <v>30893</v>
      </c>
      <c r="D49" s="16" t="n">
        <v>27168</v>
      </c>
      <c r="E49" s="16" t="n">
        <v>27603</v>
      </c>
      <c r="F49" s="16" t="n">
        <v>25389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Berdino Holding A/S (CVR 84954519) — Regnskabs- og nøgletal (CVR: 84954519)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'res_raw_84954519'!$F$2</f>
        <v/>
      </c>
      <c r="C5" s="24">
        <f>'res_raw_84954519'!$E$2</f>
        <v/>
      </c>
      <c r="D5" s="24">
        <f>'res_raw_84954519'!$D$2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'res_raw_84954519'!$F$3</f>
        <v/>
      </c>
      <c r="C6" s="24">
        <f>'res_raw_84954519'!$E$3</f>
        <v/>
      </c>
      <c r="D6" s="24">
        <f>'res_raw_84954519'!$D$3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-'res_raw_84954519'!$F$4</f>
        <v/>
      </c>
      <c r="C7" s="24">
        <f>-'res_raw_84954519'!$E$4</f>
        <v/>
      </c>
      <c r="D7" s="24">
        <f>-'res_raw_84954519'!$D$4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-'res_raw_84954519'!$F$5</f>
        <v/>
      </c>
      <c r="C8" s="24">
        <f>-'res_raw_84954519'!$E$5</f>
        <v/>
      </c>
      <c r="D8" s="24">
        <f>-'res_raw_84954519'!$D$5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IF(ABS((SUM(B5:B8))-'res_raw_84954519'!$F$6)&lt;=2,SUM(B5:B8),'res_raw_84954519'!$F$6)</f>
        <v/>
      </c>
      <c r="C9" s="27">
        <f>IF(ABS((SUM(C5:C8))-'res_raw_84954519'!$E$6)&lt;=2,SUM(C5:C8),'res_raw_84954519'!$E$6)</f>
        <v/>
      </c>
      <c r="D9" s="27">
        <f>IF(ABS((SUM(D5:D8))-'res_raw_84954519'!$D$6)&lt;=2,SUM(D5:D8),'res_raw_84954519'!$D$6)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-'res_raw_84954519'!$F$7</f>
        <v/>
      </c>
      <c r="C10" s="24">
        <f>-'res_raw_84954519'!$E$7</f>
        <v/>
      </c>
      <c r="D10" s="24">
        <f>-'res_raw_84954519'!$D$7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-'res_raw_84954519'!$F$9</f>
        <v/>
      </c>
      <c r="C11" s="24">
        <f>-'res_raw_84954519'!$E$9</f>
        <v/>
      </c>
      <c r="D11" s="24">
        <f>-'res_raw_84954519'!$D$9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-'res_raw_84954519'!$F$10</f>
        <v/>
      </c>
      <c r="C12" s="24">
        <f>-'res_raw_84954519'!$E$10</f>
        <v/>
      </c>
      <c r="D12" s="24">
        <f>-'res_raw_84954519'!$D$10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IF(ABS((SUM(B9:B12))-'res_raw_84954519'!$F$11)&lt;=2,SUM(B9:B12),'res_raw_84954519'!$F$11)</f>
        <v/>
      </c>
      <c r="C13" s="27">
        <f>IF(ABS((SUM(C9:C12))-'res_raw_84954519'!$E$11)&lt;=2,SUM(C9:C12),'res_raw_84954519'!$E$11)</f>
        <v/>
      </c>
      <c r="D13" s="27">
        <f>IF(ABS((SUM(D9:D12))-'res_raw_84954519'!$D$11)&lt;=2,SUM(D9:D12),'res_raw_84954519'!$D$11)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N('res_raw_84954519'!$F$12)+N('res_raw_84954519'!$F$13)</f>
        <v/>
      </c>
      <c r="C14" s="24">
        <f>N('res_raw_84954519'!$E$12)+N('res_raw_84954519'!$E$13)</f>
        <v/>
      </c>
      <c r="D14" s="24">
        <f>N('res_raw_84954519'!$D$12)+N('res_raw_84954519'!$D$13)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-'res_raw_84954519'!$F$14</f>
        <v/>
      </c>
      <c r="C15" s="24">
        <f>-'res_raw_84954519'!$E$14</f>
        <v/>
      </c>
      <c r="D15" s="24">
        <f>-'res_raw_84954519'!$D$14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IF(ABS((SUM(B13:B15))-'res_raw_84954519'!$F$16)&lt;=2,SUM(B13:B15),'res_raw_84954519'!$F$16)</f>
        <v/>
      </c>
      <c r="C16" s="27">
        <f>IF(ABS((SUM(C13:C15))-'res_raw_84954519'!$E$16)&lt;=2,SUM(C13:C15),'res_raw_84954519'!$E$16)</f>
        <v/>
      </c>
      <c r="D16" s="27">
        <f>IF(ABS((SUM(D13:D15))-'res_raw_84954519'!$D$16)&lt;=2,SUM(D13:D15),'res_raw_84954519'!$D$16)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'balance_raw_84954519'!$F$11</f>
        <v/>
      </c>
      <c r="C19" s="24">
        <f>'balance_raw_84954519'!$E$11</f>
        <v/>
      </c>
      <c r="D19" s="24">
        <f>'balance_raw_84954519'!$D$11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'balance_raw_84954519'!$F$22</f>
        <v/>
      </c>
      <c r="C20" s="24">
        <f>'balance_raw_84954519'!$E$22</f>
        <v/>
      </c>
      <c r="D20" s="24">
        <f>'balance_raw_84954519'!$D$22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'balance_raw_84954519'!$F$30</f>
        <v/>
      </c>
      <c r="C23" s="24">
        <f>'balance_raw_84954519'!$E$30</f>
        <v/>
      </c>
      <c r="D23" s="24">
        <f>'balance_raw_84954519'!$D$30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'balance_raw_84954519'!$F$49-'balance_raw_84954519'!$F$30</f>
        <v/>
      </c>
      <c r="C24" s="24">
        <f>'balance_raw_84954519'!$E$49-'balance_raw_84954519'!$E$30</f>
        <v/>
      </c>
      <c r="D24" s="24">
        <f>'balance_raw_84954519'!$D$49-'balance_raw_84954519'!$D$30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'balance_raw_84954519'!$F$12</f>
        <v/>
      </c>
      <c r="C29" s="24">
        <f>'balance_raw_84954519'!$E$12</f>
        <v/>
      </c>
      <c r="D29" s="24">
        <f>'balance_raw_84954519'!$D$12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'balance_raw_84954519'!$F$47</f>
        <v/>
      </c>
      <c r="C30" s="24">
        <f>'balance_raw_84954519'!$E$47</f>
        <v/>
      </c>
      <c r="D30" s="24">
        <f>'balance_raw_84954519'!$D$47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IF('balance_raw_84954519'!$F$23="","—",IF(ABS(B21-'balance_raw_84954519'!$F$23)&lt;=1,"✓ OK","❌ "&amp;TEXT(B21-'balance_raw_84954519'!$F$23,"+#,##0;-#,##0")&amp;" t.kr."))</f>
        <v/>
      </c>
      <c r="C61" s="29">
        <f>IF('balance_raw_84954519'!$E$23="","—",IF(ABS(C21-'balance_raw_84954519'!$E$23)&lt;=1,"✓ OK","❌ "&amp;TEXT(C21-'balance_raw_84954519'!$E$23,"+#,##0;-#,##0")&amp;" t.kr."))</f>
        <v/>
      </c>
      <c r="D61" s="29">
        <f>IF('balance_raw_84954519'!$D$23="","—",IF(ABS(D21-'balance_raw_84954519'!$D$23)&lt;=1,"✓ OK","❌ "&amp;TEXT(D21-'balance_raw_84954519'!$D$23,"+#,##0;-#,##0")&amp;"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IF('balance_raw_84954519'!$F$49="","—",IF(ABS(B25-'balance_raw_84954519'!$F$49)&lt;=1,"✓ OK","❌ "&amp;TEXT(B25-'balance_raw_84954519'!$F$49,"+#,##0;-#,##0")&amp;" t.kr."))</f>
        <v/>
      </c>
      <c r="C62" s="29">
        <f>IF('balance_raw_84954519'!$E$49="","—",IF(ABS(C25-'balance_raw_84954519'!$E$49)&lt;=1,"✓ OK","❌ "&amp;TEXT(C25-'balance_raw_84954519'!$E$49,"+#,##0;-#,##0")&amp;" t.kr."))</f>
        <v/>
      </c>
      <c r="D62" s="29">
        <f>IF('balance_raw_84954519'!$D$49="","—",IF(ABS(D25-'balance_raw_84954519'!$D$49)&lt;=1,"✓ OK","❌ "&amp;TEXT(D25-'balance_raw_84954519'!$D$49,"+#,##0;-#,##0")&amp;"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IF('res_raw_84954519'!$F$6="","—",IF(ABS(B9-'res_raw_84954519'!$F$6)&lt;=1,"✓ OK","❌ "&amp;TEXT(B9-'res_raw_84954519'!$F$6,"+#,##0;-#,##0")&amp;" t.kr."))</f>
        <v/>
      </c>
      <c r="C64" s="29">
        <f>IF('res_raw_84954519'!$E$6="","—",IF(ABS(C9-'res_raw_84954519'!$E$6)&lt;=1,"✓ OK","❌ "&amp;TEXT(C9-'res_raw_84954519'!$E$6,"+#,##0;-#,##0")&amp;" t.kr."))</f>
        <v/>
      </c>
      <c r="D64" s="29">
        <f>IF('res_raw_84954519'!$D$6="","—",IF(ABS(D9-'res_raw_84954519'!$D$6)&lt;=1,"✓ OK","❌ "&amp;TEXT(D9-'res_raw_84954519'!$D$6,"+#,##0;-#,##0")&amp;"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IF('res_raw_84954519'!$F$11="","—",IF(ABS(B13-'res_raw_84954519'!$F$11)&lt;=1,"✓ OK","❌ "&amp;TEXT(B13-'res_raw_84954519'!$F$11,"+#,##0;-#,##0")&amp;" t.kr."))</f>
        <v/>
      </c>
      <c r="C65" s="29">
        <f>IF('res_raw_84954519'!$E$11="","—",IF(ABS(C13-'res_raw_84954519'!$E$11)&lt;=1,"✓ OK","❌ "&amp;TEXT(C13-'res_raw_84954519'!$E$11,"+#,##0;-#,##0")&amp;" t.kr."))</f>
        <v/>
      </c>
      <c r="D65" s="29">
        <f>IF('res_raw_84954519'!$D$11="","—",IF(ABS(D13-'res_raw_84954519'!$D$11)&lt;=1,"✓ OK","❌ "&amp;TEXT(D13-'res_raw_84954519'!$D$11,"+#,##0;-#,##0")&amp;"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IF('res_raw_84954519'!$F$16="","—",IF(ABS(B16-'res_raw_84954519'!$F$16)&lt;=1,"✓ OK","❌ "&amp;TEXT(B16-'res_raw_84954519'!$F$16,"+#,##0;-#,##0")&amp;" t.kr."))</f>
        <v/>
      </c>
      <c r="C66" s="29">
        <f>IF('res_raw_84954519'!$E$16="","—",IF(ABS(C16-'res_raw_84954519'!$E$16)&lt;=1,"✓ OK","❌ "&amp;TEXT(C16-'res_raw_84954519'!$E$16,"+#,##0;-#,##0")&amp;" t.kr."))</f>
        <v/>
      </c>
      <c r="D66" s="29">
        <f>IF('res_raw_84954519'!$D$16="","—",IF(ABS(D16-'res_raw_84954519'!$D$16)&lt;=1,"✓ OK","❌ "&amp;TEXT(D16-'res_raw_84954519'!$D$16,"+#,##0;-#,##0")&amp;"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Berdino Holding A/S (CVR 84954519)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/>
      <c r="E3" s="35" t="n">
        <v>74</v>
      </c>
      <c r="F3" s="35" t="n">
        <v>67</v>
      </c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2026-10-02T21:55:16Z</dcterms:created>
  <dcterms:modified xmlns:dcterms="http://purl.org/dc/terms/" xmlns:xsi="http://www.w3.org/2001/XMLSchema-instance" xsi:type="dcterms:W3CDTF">2026-10-02T21:55:17Z</dcterms:modified>
</cp:coreProperties>
</file>