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56994912" sheetId="1" state="visible" r:id="rId1"/>
    <sheet xmlns:r="http://schemas.openxmlformats.org/officeDocument/2006/relationships" name="res_raw_56994912" sheetId="2" state="visible" r:id="rId2"/>
    <sheet xmlns:r="http://schemas.openxmlformats.org/officeDocument/2006/relationships" name="balance_raw_56994912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SAS Danmark A/S (CVR 56994912) — Regnskabsanalyse – Resultatopgørelse &amp; Balance (t.kr.) · Klasse B · Revision · Regnskabsår 1/11–31/10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'res_raw_56994912'!$B$2</f>
        <v/>
      </c>
      <c r="C4" s="5">
        <f>'res_raw_56994912'!$C$2</f>
        <v/>
      </c>
      <c r="D4" s="5">
        <f>'res_raw_56994912'!$D$2</f>
        <v/>
      </c>
      <c r="E4" s="5">
        <f>'res_raw_56994912'!$E$2</f>
        <v/>
      </c>
      <c r="F4" s="5">
        <f>'res_raw_56994912'!$F$2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'res_raw_56994912'!$B$3</f>
        <v/>
      </c>
      <c r="C5" s="8">
        <f>'res_raw_56994912'!$C$3</f>
        <v/>
      </c>
      <c r="D5" s="8">
        <f>'res_raw_56994912'!$D$3</f>
        <v/>
      </c>
      <c r="E5" s="8">
        <f>'res_raw_56994912'!$E$3</f>
        <v/>
      </c>
      <c r="F5" s="8">
        <f>'res_raw_56994912'!$F$3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'res_raw_56994912'!$B$4</f>
        <v/>
      </c>
      <c r="C6" s="5">
        <f>'res_raw_56994912'!$C$4</f>
        <v/>
      </c>
      <c r="D6" s="5">
        <f>'res_raw_56994912'!$D$4</f>
        <v/>
      </c>
      <c r="E6" s="5">
        <f>'res_raw_56994912'!$E$4</f>
        <v/>
      </c>
      <c r="F6" s="5">
        <f>'res_raw_56994912'!$F$4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'res_raw_56994912'!$B$5</f>
        <v/>
      </c>
      <c r="C7" s="8">
        <f>'res_raw_56994912'!$C$5</f>
        <v/>
      </c>
      <c r="D7" s="8">
        <f>'res_raw_56994912'!$D$5</f>
        <v/>
      </c>
      <c r="E7" s="8">
        <f>'res_raw_56994912'!$E$5</f>
        <v/>
      </c>
      <c r="F7" s="8">
        <f>'res_raw_56994912'!$F$5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'res_raw_56994912'!$B$6</f>
        <v/>
      </c>
      <c r="C8" s="11">
        <f>'res_raw_56994912'!$C$6</f>
        <v/>
      </c>
      <c r="D8" s="11">
        <f>'res_raw_56994912'!$D$6</f>
        <v/>
      </c>
      <c r="E8" s="11">
        <f>'res_raw_56994912'!$E$6</f>
        <v/>
      </c>
      <c r="F8" s="11">
        <f>'res_raw_56994912'!$F$6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'res_raw_56994912'!$B$7</f>
        <v/>
      </c>
      <c r="C9" s="8">
        <f>'res_raw_56994912'!$C$7</f>
        <v/>
      </c>
      <c r="D9" s="8">
        <f>'res_raw_56994912'!$D$7</f>
        <v/>
      </c>
      <c r="E9" s="8">
        <f>'res_raw_56994912'!$E$7</f>
        <v/>
      </c>
      <c r="F9" s="8">
        <f>'res_raw_56994912'!$F$7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'res_raw_56994912'!$B$9</f>
        <v/>
      </c>
      <c r="C11" s="8">
        <f>'res_raw_56994912'!$C$9</f>
        <v/>
      </c>
      <c r="D11" s="8">
        <f>'res_raw_56994912'!$D$9</f>
        <v/>
      </c>
      <c r="E11" s="8">
        <f>'res_raw_56994912'!$E$9</f>
        <v/>
      </c>
      <c r="F11" s="8">
        <f>'res_raw_56994912'!$F$9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'res_raw_56994912'!$B$10</f>
        <v/>
      </c>
      <c r="C12" s="5">
        <f>'res_raw_56994912'!$C$10</f>
        <v/>
      </c>
      <c r="D12" s="5">
        <f>'res_raw_56994912'!$D$10</f>
        <v/>
      </c>
      <c r="E12" s="5">
        <f>'res_raw_56994912'!$E$10</f>
        <v/>
      </c>
      <c r="F12" s="5">
        <f>'res_raw_56994912'!$F$10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'res_raw_56994912'!$B$11</f>
        <v/>
      </c>
      <c r="C13" s="11">
        <f>'res_raw_56994912'!$C$11</f>
        <v/>
      </c>
      <c r="D13" s="11">
        <f>'res_raw_56994912'!$D$11</f>
        <v/>
      </c>
      <c r="E13" s="11">
        <f>'res_raw_56994912'!$E$11</f>
        <v/>
      </c>
      <c r="F13" s="11">
        <f>'res_raw_56994912'!$F$11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'res_raw_56994912'!$B$12</f>
        <v/>
      </c>
      <c r="C14" s="5">
        <f>'res_raw_56994912'!$C$12</f>
        <v/>
      </c>
      <c r="D14" s="5">
        <f>'res_raw_56994912'!$D$12</f>
        <v/>
      </c>
      <c r="E14" s="5">
        <f>'res_raw_56994912'!$E$12</f>
        <v/>
      </c>
      <c r="F14" s="5">
        <f>'res_raw_56994912'!$F$12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'res_raw_56994912'!$B$13</f>
        <v/>
      </c>
      <c r="C15" s="8">
        <f>'res_raw_56994912'!$C$13</f>
        <v/>
      </c>
      <c r="D15" s="8">
        <f>'res_raw_56994912'!$D$13</f>
        <v/>
      </c>
      <c r="E15" s="8">
        <f>'res_raw_56994912'!$E$13</f>
        <v/>
      </c>
      <c r="F15" s="8">
        <f>'res_raw_56994912'!$F$13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'res_raw_56994912'!$B$14</f>
        <v/>
      </c>
      <c r="C16" s="5">
        <f>'res_raw_56994912'!$C$14</f>
        <v/>
      </c>
      <c r="D16" s="5">
        <f>'res_raw_56994912'!$D$14</f>
        <v/>
      </c>
      <c r="E16" s="5">
        <f>'res_raw_56994912'!$E$14</f>
        <v/>
      </c>
      <c r="F16" s="5">
        <f>'res_raw_56994912'!$F$14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'res_raw_56994912'!$B$15</f>
        <v/>
      </c>
      <c r="C17" s="11">
        <f>'res_raw_56994912'!$C$15</f>
        <v/>
      </c>
      <c r="D17" s="11">
        <f>'res_raw_56994912'!$D$15</f>
        <v/>
      </c>
      <c r="E17" s="11">
        <f>'res_raw_56994912'!$E$15</f>
        <v/>
      </c>
      <c r="F17" s="11">
        <f>'res_raw_56994912'!$F$15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'res_raw_56994912'!$B$16</f>
        <v/>
      </c>
      <c r="C18" s="11">
        <f>'res_raw_56994912'!$C$16</f>
        <v/>
      </c>
      <c r="D18" s="11">
        <f>'res_raw_56994912'!$D$16</f>
        <v/>
      </c>
      <c r="E18" s="11">
        <f>'res_raw_56994912'!$E$16</f>
        <v/>
      </c>
      <c r="F18" s="11">
        <f>'res_raw_56994912'!$F$16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'res_raw_56994912'!$B$17</f>
        <v/>
      </c>
      <c r="C19" s="8">
        <f>'res_raw_56994912'!$C$17</f>
        <v/>
      </c>
      <c r="D19" s="8">
        <f>'res_raw_56994912'!$D$17</f>
        <v/>
      </c>
      <c r="E19" s="8">
        <f>'res_raw_56994912'!$E$17</f>
        <v/>
      </c>
      <c r="F19" s="8">
        <f>'res_raw_56994912'!$F$17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'res_raw_56994912'!$B$18</f>
        <v/>
      </c>
      <c r="C20" s="11">
        <f>'res_raw_56994912'!$C$18</f>
        <v/>
      </c>
      <c r="D20" s="11">
        <f>'res_raw_56994912'!$D$18</f>
        <v/>
      </c>
      <c r="E20" s="11">
        <f>'res_raw_56994912'!$E$18</f>
        <v/>
      </c>
      <c r="F20" s="11">
        <f>'res_raw_56994912'!$F$18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Kapitalandele, dattervirksomheder</t>
        </is>
      </c>
      <c r="B23" s="8">
        <f>'balance_raw_56994912'!$B$2</f>
        <v/>
      </c>
      <c r="C23" s="8">
        <f>'balance_raw_56994912'!$C$2</f>
        <v/>
      </c>
      <c r="D23" s="8">
        <f>'balance_raw_56994912'!$D$2</f>
        <v/>
      </c>
      <c r="E23" s="8">
        <f>'balance_raw_56994912'!$E$2</f>
        <v/>
      </c>
      <c r="F23" s="8">
        <f>'balance_raw_56994912'!$F$2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Deposita</t>
        </is>
      </c>
      <c r="B24" s="5">
        <f>'balance_raw_56994912'!$B$3</f>
        <v/>
      </c>
      <c r="C24" s="5">
        <f>'balance_raw_56994912'!$C$3</f>
        <v/>
      </c>
      <c r="D24" s="5">
        <f>'balance_raw_56994912'!$D$3</f>
        <v/>
      </c>
      <c r="E24" s="5">
        <f>'balance_raw_56994912'!$E$3</f>
        <v/>
      </c>
      <c r="F24" s="5">
        <f>'balance_raw_56994912'!$F$3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Finansielle anlægsaktiver</t>
        </is>
      </c>
      <c r="B25" s="11">
        <f>'balance_raw_56994912'!$B$4</f>
        <v/>
      </c>
      <c r="C25" s="11">
        <f>'balance_raw_56994912'!$C$4</f>
        <v/>
      </c>
      <c r="D25" s="11">
        <f>'balance_raw_56994912'!$D$4</f>
        <v/>
      </c>
      <c r="E25" s="11">
        <f>'balance_raw_56994912'!$E$4</f>
        <v/>
      </c>
      <c r="F25" s="11">
        <f>'balance_raw_56994912'!$F$4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10" t="inlineStr">
        <is>
          <t>Anlægsaktiver</t>
        </is>
      </c>
      <c r="B26" s="11">
        <f>'balance_raw_56994912'!$B$5</f>
        <v/>
      </c>
      <c r="C26" s="11">
        <f>'balance_raw_56994912'!$C$5</f>
        <v/>
      </c>
      <c r="D26" s="11">
        <f>'balance_raw_56994912'!$D$5</f>
        <v/>
      </c>
      <c r="E26" s="11">
        <f>'balance_raw_56994912'!$E$5</f>
        <v/>
      </c>
      <c r="F26" s="11">
        <f>'balance_raw_56994912'!$F$5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Tilgodehavender fra salg og tjenesteydelser</t>
        </is>
      </c>
      <c r="B27" s="8">
        <f>'balance_raw_56994912'!$B$6</f>
        <v/>
      </c>
      <c r="C27" s="8">
        <f>'balance_raw_56994912'!$C$6</f>
        <v/>
      </c>
      <c r="D27" s="8">
        <f>'balance_raw_56994912'!$D$6</f>
        <v/>
      </c>
      <c r="E27" s="8">
        <f>'balance_raw_56994912'!$E$6</f>
        <v/>
      </c>
      <c r="F27" s="8">
        <f>'balance_raw_56994912'!$F$6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Tilgodehavender hos tilknyttede virksomheder</t>
        </is>
      </c>
      <c r="B28" s="5">
        <f>'balance_raw_56994912'!$B$7</f>
        <v/>
      </c>
      <c r="C28" s="5">
        <f>'balance_raw_56994912'!$C$7</f>
        <v/>
      </c>
      <c r="D28" s="5">
        <f>'balance_raw_56994912'!$D$7</f>
        <v/>
      </c>
      <c r="E28" s="5">
        <f>'balance_raw_56994912'!$E$7</f>
        <v/>
      </c>
      <c r="F28" s="5">
        <f>'balance_raw_56994912'!$F$7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Andre tilgodehavender</t>
        </is>
      </c>
      <c r="B29" s="8">
        <f>'balance_raw_56994912'!$B$8</f>
        <v/>
      </c>
      <c r="C29" s="8">
        <f>'balance_raw_56994912'!$C$8</f>
        <v/>
      </c>
      <c r="D29" s="8">
        <f>'balance_raw_56994912'!$D$8</f>
        <v/>
      </c>
      <c r="E29" s="8">
        <f>'balance_raw_56994912'!$E$8</f>
        <v/>
      </c>
      <c r="F29" s="8">
        <f>'balance_raw_56994912'!$F$8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Periodeafgrænsningsposter (aktiver)</t>
        </is>
      </c>
      <c r="B30" s="5">
        <f>'balance_raw_56994912'!$B$9</f>
        <v/>
      </c>
      <c r="C30" s="5">
        <f>'balance_raw_56994912'!$C$9</f>
        <v/>
      </c>
      <c r="D30" s="5">
        <f>'balance_raw_56994912'!$D$9</f>
        <v/>
      </c>
      <c r="E30" s="5">
        <f>'balance_raw_56994912'!$E$9</f>
        <v/>
      </c>
      <c r="F30" s="5">
        <f>'balance_raw_56994912'!$F$9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Udskudt skatteaktiv</t>
        </is>
      </c>
      <c r="B31" s="8">
        <f>'balance_raw_56994912'!$B$10</f>
        <v/>
      </c>
      <c r="C31" s="8">
        <f>'balance_raw_56994912'!$C$10</f>
        <v/>
      </c>
      <c r="D31" s="8">
        <f>'balance_raw_56994912'!$D$10</f>
        <v/>
      </c>
      <c r="E31" s="8">
        <f>'balance_raw_56994912'!$E$10</f>
        <v/>
      </c>
      <c r="F31" s="8">
        <f>'balance_raw_56994912'!$F$10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Tilgodehavende skat hos tilknyttede virksomheder</t>
        </is>
      </c>
      <c r="B32" s="5">
        <f>'balance_raw_56994912'!$B$11</f>
        <v/>
      </c>
      <c r="C32" s="5">
        <f>'balance_raw_56994912'!$C$11</f>
        <v/>
      </c>
      <c r="D32" s="5">
        <f>'balance_raw_56994912'!$D$11</f>
        <v/>
      </c>
      <c r="E32" s="5">
        <f>'balance_raw_56994912'!$E$11</f>
        <v/>
      </c>
      <c r="F32" s="5">
        <f>'balance_raw_56994912'!$F$11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Kortfristede skattetilgodehavender</t>
        </is>
      </c>
      <c r="B33" s="8">
        <f>'balance_raw_56994912'!$B$12</f>
        <v/>
      </c>
      <c r="C33" s="8">
        <f>'balance_raw_56994912'!$C$12</f>
        <v/>
      </c>
      <c r="D33" s="8">
        <f>'balance_raw_56994912'!$D$12</f>
        <v/>
      </c>
      <c r="E33" s="8">
        <f>'balance_raw_56994912'!$E$12</f>
        <v/>
      </c>
      <c r="F33" s="8">
        <f>'balance_raw_56994912'!$F$12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10" t="inlineStr">
        <is>
          <t>Tilgodehavender</t>
        </is>
      </c>
      <c r="B34" s="11">
        <f>'balance_raw_56994912'!$B$13</f>
        <v/>
      </c>
      <c r="C34" s="11">
        <f>'balance_raw_56994912'!$C$13</f>
        <v/>
      </c>
      <c r="D34" s="11">
        <f>'balance_raw_56994912'!$D$13</f>
        <v/>
      </c>
      <c r="E34" s="11">
        <f>'balance_raw_56994912'!$E$13</f>
        <v/>
      </c>
      <c r="F34" s="11">
        <f>'balance_raw_56994912'!$F$13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Værdipapirer</t>
        </is>
      </c>
      <c r="B35" s="8">
        <f>'balance_raw_56994912'!$B$14</f>
        <v/>
      </c>
      <c r="C35" s="8">
        <f>'balance_raw_56994912'!$C$14</f>
        <v/>
      </c>
      <c r="D35" s="8">
        <f>'balance_raw_56994912'!$D$14</f>
        <v/>
      </c>
      <c r="E35" s="8">
        <f>'balance_raw_56994912'!$E$14</f>
        <v/>
      </c>
      <c r="F35" s="8">
        <f>'balance_raw_56994912'!$F$14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Likvide beholdninger</t>
        </is>
      </c>
      <c r="B36" s="5">
        <f>'balance_raw_56994912'!$B$15</f>
        <v/>
      </c>
      <c r="C36" s="5">
        <f>'balance_raw_56994912'!$C$15</f>
        <v/>
      </c>
      <c r="D36" s="5">
        <f>'balance_raw_56994912'!$D$15</f>
        <v/>
      </c>
      <c r="E36" s="5">
        <f>'balance_raw_56994912'!$E$15</f>
        <v/>
      </c>
      <c r="F36" s="5">
        <f>'balance_raw_56994912'!$F$15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Omsætningsaktiver</t>
        </is>
      </c>
      <c r="B37" s="11">
        <f>'balance_raw_56994912'!$B$16</f>
        <v/>
      </c>
      <c r="C37" s="11">
        <f>'balance_raw_56994912'!$C$16</f>
        <v/>
      </c>
      <c r="D37" s="11">
        <f>'balance_raw_56994912'!$D$16</f>
        <v/>
      </c>
      <c r="E37" s="11">
        <f>'balance_raw_56994912'!$E$16</f>
        <v/>
      </c>
      <c r="F37" s="11">
        <f>'balance_raw_56994912'!$F$16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10" t="inlineStr">
        <is>
          <t>Aktiver</t>
        </is>
      </c>
      <c r="B38" s="11">
        <f>'balance_raw_56994912'!$B$17</f>
        <v/>
      </c>
      <c r="C38" s="11">
        <f>'balance_raw_56994912'!$C$17</f>
        <v/>
      </c>
      <c r="D38" s="11">
        <f>'balance_raw_56994912'!$D$17</f>
        <v/>
      </c>
      <c r="E38" s="11">
        <f>'balance_raw_56994912'!$E$17</f>
        <v/>
      </c>
      <c r="F38" s="11">
        <f>'balance_raw_56994912'!$F$17</f>
        <v/>
      </c>
      <c r="G38" t="inlineStr"/>
      <c r="H38" s="12">
        <f>IFERROR(B38/$B$38*100,"")</f>
        <v/>
      </c>
      <c r="I38" s="12">
        <f>IFERROR(C38/$B$38*100,"")</f>
        <v/>
      </c>
      <c r="J38" s="12">
        <f>IFERROR(D38/$B$38*100,"")</f>
        <v/>
      </c>
      <c r="K38" s="12">
        <f>IFERROR(E38/$B$38*100,"")</f>
        <v/>
      </c>
      <c r="L38" s="12">
        <f>IFERROR(F38/$B$38*100,"")</f>
        <v/>
      </c>
    </row>
    <row r="40" ht="22" customHeight="1">
      <c r="A40" s="3" t="inlineStr">
        <is>
          <t>PASSIVER t.kr.</t>
        </is>
      </c>
      <c r="B40" s="3" t="n">
        <v>2021</v>
      </c>
      <c r="C40" s="3" t="n">
        <v>2022</v>
      </c>
      <c r="D40" s="3" t="n">
        <v>2023</v>
      </c>
      <c r="E40" s="3" t="n">
        <v>2024</v>
      </c>
      <c r="F40" s="3" t="n">
        <v>2025</v>
      </c>
      <c r="G40" t="inlineStr"/>
      <c r="H40" s="3" t="n">
        <v>2021</v>
      </c>
      <c r="I40" s="3" t="n">
        <v>2022</v>
      </c>
      <c r="J40" s="3" t="n">
        <v>2023</v>
      </c>
      <c r="K40" s="3" t="n">
        <v>2024</v>
      </c>
      <c r="L40" s="3" t="n">
        <v>2025</v>
      </c>
    </row>
    <row r="41" ht="16" customHeight="1">
      <c r="A41" s="7" t="inlineStr">
        <is>
          <t>Selskabskapital</t>
        </is>
      </c>
      <c r="B41" s="8">
        <f>'balance_raw_56994912'!$B$18</f>
        <v/>
      </c>
      <c r="C41" s="8">
        <f>'balance_raw_56994912'!$C$18</f>
        <v/>
      </c>
      <c r="D41" s="8">
        <f>'balance_raw_56994912'!$D$18</f>
        <v/>
      </c>
      <c r="E41" s="8">
        <f>'balance_raw_56994912'!$E$18</f>
        <v/>
      </c>
      <c r="F41" s="8">
        <f>'balance_raw_56994912'!$F$18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Reserve for nettoopskrivning (indre værdis metode)</t>
        </is>
      </c>
      <c r="B42" s="5">
        <f>'balance_raw_56994912'!$B$19</f>
        <v/>
      </c>
      <c r="C42" s="5">
        <f>'balance_raw_56994912'!$C$19</f>
        <v/>
      </c>
      <c r="D42" s="5">
        <f>'balance_raw_56994912'!$D$19</f>
        <v/>
      </c>
      <c r="E42" s="5">
        <f>'balance_raw_56994912'!$E$19</f>
        <v/>
      </c>
      <c r="F42" s="5">
        <f>'balance_raw_56994912'!$F$19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Reserve for udviklingsomkostninger</t>
        </is>
      </c>
      <c r="B43" s="8">
        <f>'balance_raw_56994912'!$B$20</f>
        <v/>
      </c>
      <c r="C43" s="8">
        <f>'balance_raw_56994912'!$C$20</f>
        <v/>
      </c>
      <c r="D43" s="8">
        <f>'balance_raw_56994912'!$D$20</f>
        <v/>
      </c>
      <c r="E43" s="8">
        <f>'balance_raw_56994912'!$E$20</f>
        <v/>
      </c>
      <c r="F43" s="8">
        <f>'balance_raw_56994912'!$F$20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Reserve for sikringstransaktioner</t>
        </is>
      </c>
      <c r="B44" s="5">
        <f>'balance_raw_56994912'!$B$21</f>
        <v/>
      </c>
      <c r="C44" s="5">
        <f>'balance_raw_56994912'!$C$21</f>
        <v/>
      </c>
      <c r="D44" s="5">
        <f>'balance_raw_56994912'!$D$21</f>
        <v/>
      </c>
      <c r="E44" s="5">
        <f>'balance_raw_56994912'!$E$21</f>
        <v/>
      </c>
      <c r="F44" s="5">
        <f>'balance_raw_56994912'!$F$21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Andre reserver</t>
        </is>
      </c>
      <c r="B45" s="8">
        <f>'balance_raw_56994912'!$B$22</f>
        <v/>
      </c>
      <c r="C45" s="8">
        <f>'balance_raw_56994912'!$C$22</f>
        <v/>
      </c>
      <c r="D45" s="8">
        <f>'balance_raw_56994912'!$D$22</f>
        <v/>
      </c>
      <c r="E45" s="8">
        <f>'balance_raw_56994912'!$E$22</f>
        <v/>
      </c>
      <c r="F45" s="8">
        <f>'balance_raw_56994912'!$F$22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Overført resultat</t>
        </is>
      </c>
      <c r="B46" s="5">
        <f>'balance_raw_56994912'!$B$23</f>
        <v/>
      </c>
      <c r="C46" s="5">
        <f>'balance_raw_56994912'!$C$23</f>
        <v/>
      </c>
      <c r="D46" s="5">
        <f>'balance_raw_56994912'!$D$23</f>
        <v/>
      </c>
      <c r="E46" s="5">
        <f>'balance_raw_56994912'!$E$23</f>
        <v/>
      </c>
      <c r="F46" s="5">
        <f>'balance_raw_56994912'!$F$23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Egenkapital i alt</t>
        </is>
      </c>
      <c r="B47" s="11">
        <f>'balance_raw_56994912'!$B$24</f>
        <v/>
      </c>
      <c r="C47" s="11">
        <f>'balance_raw_56994912'!$C$24</f>
        <v/>
      </c>
      <c r="D47" s="11">
        <f>'balance_raw_56994912'!$D$24</f>
        <v/>
      </c>
      <c r="E47" s="11">
        <f>'balance_raw_56994912'!$E$24</f>
        <v/>
      </c>
      <c r="F47" s="11">
        <f>'balance_raw_56994912'!$F$24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Hensættelse til udskudt skat</t>
        </is>
      </c>
      <c r="B48" s="5">
        <f>'balance_raw_56994912'!$B$25</f>
        <v/>
      </c>
      <c r="C48" s="5">
        <f>'balance_raw_56994912'!$C$25</f>
        <v/>
      </c>
      <c r="D48" s="5">
        <f>'balance_raw_56994912'!$D$25</f>
        <v/>
      </c>
      <c r="E48" s="5">
        <f>'balance_raw_56994912'!$E$25</f>
        <v/>
      </c>
      <c r="F48" s="5">
        <f>'balance_raw_56994912'!$F$25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Hensatte forpligtelser</t>
        </is>
      </c>
      <c r="B49" s="11">
        <f>'balance_raw_56994912'!$B$26</f>
        <v/>
      </c>
      <c r="C49" s="11">
        <f>'balance_raw_56994912'!$C$26</f>
        <v/>
      </c>
      <c r="D49" s="11">
        <f>'balance_raw_56994912'!$D$26</f>
        <v/>
      </c>
      <c r="E49" s="11">
        <f>'balance_raw_56994912'!$E$26</f>
        <v/>
      </c>
      <c r="F49" s="11">
        <f>'balance_raw_56994912'!$F$26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Ansvarlig lånekapital (kortfristet)</t>
        </is>
      </c>
      <c r="B50" s="5">
        <f>'balance_raw_56994912'!$B$27</f>
        <v/>
      </c>
      <c r="C50" s="5">
        <f>'balance_raw_56994912'!$C$27</f>
        <v/>
      </c>
      <c r="D50" s="5">
        <f>'balance_raw_56994912'!$D$27</f>
        <v/>
      </c>
      <c r="E50" s="5">
        <f>'balance_raw_56994912'!$E$27</f>
        <v/>
      </c>
      <c r="F50" s="5">
        <f>'balance_raw_56994912'!$F$27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Kortfristet del af langfristede gældsforpligtelser</t>
        </is>
      </c>
      <c r="B51" s="8">
        <f>'balance_raw_56994912'!$B$28</f>
        <v/>
      </c>
      <c r="C51" s="8">
        <f>'balance_raw_56994912'!$C$28</f>
        <v/>
      </c>
      <c r="D51" s="8">
        <f>'balance_raw_56994912'!$D$28</f>
        <v/>
      </c>
      <c r="E51" s="8">
        <f>'balance_raw_56994912'!$E$28</f>
        <v/>
      </c>
      <c r="F51" s="8">
        <f>'balance_raw_56994912'!$F$28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Kreditinstitutter</t>
        </is>
      </c>
      <c r="B52" s="5">
        <f>'balance_raw_56994912'!$B$29</f>
        <v/>
      </c>
      <c r="C52" s="5">
        <f>'balance_raw_56994912'!$C$29</f>
        <v/>
      </c>
      <c r="D52" s="5">
        <f>'balance_raw_56994912'!$D$29</f>
        <v/>
      </c>
      <c r="E52" s="5">
        <f>'balance_raw_56994912'!$E$29</f>
        <v/>
      </c>
      <c r="F52" s="5">
        <f>'balance_raw_56994912'!$F$29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Leasingforpligtelser (kortfristet)</t>
        </is>
      </c>
      <c r="B53" s="8">
        <f>'balance_raw_56994912'!$B$30</f>
        <v/>
      </c>
      <c r="C53" s="8">
        <f>'balance_raw_56994912'!$C$30</f>
        <v/>
      </c>
      <c r="D53" s="8">
        <f>'balance_raw_56994912'!$D$30</f>
        <v/>
      </c>
      <c r="E53" s="8">
        <f>'balance_raw_56994912'!$E$30</f>
        <v/>
      </c>
      <c r="F53" s="8">
        <f>'balance_raw_56994912'!$F$30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Leverandører af varer og tjenesteydelser</t>
        </is>
      </c>
      <c r="B54" s="5">
        <f>'balance_raw_56994912'!$B$31</f>
        <v/>
      </c>
      <c r="C54" s="5">
        <f>'balance_raw_56994912'!$C$31</f>
        <v/>
      </c>
      <c r="D54" s="5">
        <f>'balance_raw_56994912'!$D$31</f>
        <v/>
      </c>
      <c r="E54" s="5">
        <f>'balance_raw_56994912'!$E$31</f>
        <v/>
      </c>
      <c r="F54" s="5">
        <f>'balance_raw_56994912'!$F$31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Gæld til tilknyttede virksomheder</t>
        </is>
      </c>
      <c r="B55" s="8">
        <f>'balance_raw_56994912'!$B$32</f>
        <v/>
      </c>
      <c r="C55" s="8">
        <f>'balance_raw_56994912'!$C$32</f>
        <v/>
      </c>
      <c r="D55" s="8">
        <f>'balance_raw_56994912'!$D$32</f>
        <v/>
      </c>
      <c r="E55" s="8">
        <f>'balance_raw_56994912'!$E$32</f>
        <v/>
      </c>
      <c r="F55" s="8">
        <f>'balance_raw_56994912'!$F$32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Gæld til selskabsdeltagere og ledelse</t>
        </is>
      </c>
      <c r="B56" s="5">
        <f>'balance_raw_56994912'!$B$33</f>
        <v/>
      </c>
      <c r="C56" s="5">
        <f>'balance_raw_56994912'!$C$33</f>
        <v/>
      </c>
      <c r="D56" s="5">
        <f>'balance_raw_56994912'!$D$33</f>
        <v/>
      </c>
      <c r="E56" s="5">
        <f>'balance_raw_56994912'!$E$33</f>
        <v/>
      </c>
      <c r="F56" s="5">
        <f>'balance_raw_56994912'!$F$33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Selskabsskat</t>
        </is>
      </c>
      <c r="B57" s="8">
        <f>'balance_raw_56994912'!$B$34</f>
        <v/>
      </c>
      <c r="C57" s="8">
        <f>'balance_raw_56994912'!$C$34</f>
        <v/>
      </c>
      <c r="D57" s="8">
        <f>'balance_raw_56994912'!$D$34</f>
        <v/>
      </c>
      <c r="E57" s="8">
        <f>'balance_raw_56994912'!$E$34</f>
        <v/>
      </c>
      <c r="F57" s="8">
        <f>'balance_raw_56994912'!$F$34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Gæld til tilknyttede virksomheder vedr. selskabsskat</t>
        </is>
      </c>
      <c r="B58" s="5">
        <f>'balance_raw_56994912'!$B$35</f>
        <v/>
      </c>
      <c r="C58" s="5">
        <f>'balance_raw_56994912'!$C$35</f>
        <v/>
      </c>
      <c r="D58" s="5">
        <f>'balance_raw_56994912'!$D$35</f>
        <v/>
      </c>
      <c r="E58" s="5">
        <f>'balance_raw_56994912'!$E$35</f>
        <v/>
      </c>
      <c r="F58" s="5">
        <f>'balance_raw_56994912'!$F$35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Anden gæld (kortfristet)</t>
        </is>
      </c>
      <c r="B59" s="8">
        <f>'balance_raw_56994912'!$B$36</f>
        <v/>
      </c>
      <c r="C59" s="8">
        <f>'balance_raw_56994912'!$C$36</f>
        <v/>
      </c>
      <c r="D59" s="8">
        <f>'balance_raw_56994912'!$D$36</f>
        <v/>
      </c>
      <c r="E59" s="8">
        <f>'balance_raw_56994912'!$E$36</f>
        <v/>
      </c>
      <c r="F59" s="8">
        <f>'balance_raw_56994912'!$F$36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Periodeafgrænsningsposter (passiver)</t>
        </is>
      </c>
      <c r="B60" s="5">
        <f>'balance_raw_56994912'!$B$37</f>
        <v/>
      </c>
      <c r="C60" s="5">
        <f>'balance_raw_56994912'!$C$37</f>
        <v/>
      </c>
      <c r="D60" s="5">
        <f>'balance_raw_56994912'!$D$37</f>
        <v/>
      </c>
      <c r="E60" s="5">
        <f>'balance_raw_56994912'!$E$37</f>
        <v/>
      </c>
      <c r="F60" s="5">
        <f>'balance_raw_56994912'!$F$37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Kortfristede gældsforpligtelser</t>
        </is>
      </c>
      <c r="B61" s="11">
        <f>'balance_raw_56994912'!$B$38</f>
        <v/>
      </c>
      <c r="C61" s="11">
        <f>'balance_raw_56994912'!$C$38</f>
        <v/>
      </c>
      <c r="D61" s="11">
        <f>'balance_raw_56994912'!$D$38</f>
        <v/>
      </c>
      <c r="E61" s="11">
        <f>'balance_raw_56994912'!$E$38</f>
        <v/>
      </c>
      <c r="F61" s="11">
        <f>'balance_raw_56994912'!$F$38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10" t="inlineStr">
        <is>
          <t>Gældsforpligtelser</t>
        </is>
      </c>
      <c r="B62" s="11">
        <f>'balance_raw_56994912'!$B$39</f>
        <v/>
      </c>
      <c r="C62" s="11">
        <f>'balance_raw_56994912'!$C$39</f>
        <v/>
      </c>
      <c r="D62" s="11">
        <f>'balance_raw_56994912'!$D$39</f>
        <v/>
      </c>
      <c r="E62" s="11">
        <f>'balance_raw_56994912'!$E$39</f>
        <v/>
      </c>
      <c r="F62" s="11">
        <f>'balance_raw_56994912'!$F$39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10" t="inlineStr">
        <is>
          <t>Passiver</t>
        </is>
      </c>
      <c r="B63" s="11">
        <f>'balance_raw_56994912'!$B$40</f>
        <v/>
      </c>
      <c r="C63" s="11">
        <f>'balance_raw_56994912'!$C$40</f>
        <v/>
      </c>
      <c r="D63" s="11">
        <f>'balance_raw_56994912'!$D$40</f>
        <v/>
      </c>
      <c r="E63" s="11">
        <f>'balance_raw_56994912'!$E$40</f>
        <v/>
      </c>
      <c r="F63" s="11">
        <f>'balance_raw_56994912'!$F$40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5" ht="22" customHeight="1">
      <c r="A65" s="3" t="inlineStr">
        <is>
          <t>NØGLEOPLYSNINGER</t>
        </is>
      </c>
      <c r="B65" s="3" t="n">
        <v>2021</v>
      </c>
      <c r="C65" s="3" t="n">
        <v>2022</v>
      </c>
      <c r="D65" s="3" t="n">
        <v>2023</v>
      </c>
      <c r="E65" s="3" t="n">
        <v>2024</v>
      </c>
      <c r="F65" s="3" t="n">
        <v>2025</v>
      </c>
    </row>
    <row r="66" ht="16" customHeight="1">
      <c r="A66" s="4" t="inlineStr">
        <is>
          <t>Gns. antal medarbejdere</t>
        </is>
      </c>
      <c r="B66" s="5">
        <f>'res_raw_56994912'!$B$19</f>
        <v/>
      </c>
      <c r="C66" s="5">
        <f>'res_raw_56994912'!$C$19</f>
        <v/>
      </c>
      <c r="D66" s="5">
        <f>'res_raw_56994912'!$D$19</f>
        <v/>
      </c>
      <c r="E66" s="5">
        <f>'res_raw_56994912'!$E$19</f>
        <v/>
      </c>
      <c r="F66" s="5">
        <f>'res_raw_56994912'!$F$19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Investering i materielle anlægsaktiver</t>
        </is>
      </c>
      <c r="B67" s="8">
        <f>'res_raw_56994912'!$B$20</f>
        <v/>
      </c>
      <c r="C67" s="8">
        <f>'res_raw_56994912'!$C$20</f>
        <v/>
      </c>
      <c r="D67" s="8">
        <f>'res_raw_56994912'!$D$20</f>
        <v/>
      </c>
      <c r="E67" s="8">
        <f>'res_raw_56994912'!$E$20</f>
        <v/>
      </c>
      <c r="F67" s="8">
        <f>'res_raw_56994912'!$F$20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9" ht="22" customHeight="1">
      <c r="A69" s="3" t="inlineStr">
        <is>
          <t>NØGLETAL</t>
        </is>
      </c>
      <c r="B69" s="3" t="n">
        <v>2021</v>
      </c>
      <c r="C69" s="3" t="n">
        <v>2022</v>
      </c>
      <c r="D69" s="3" t="n">
        <v>2023</v>
      </c>
      <c r="E69" s="3" t="n">
        <v>2024</v>
      </c>
      <c r="F69" s="3" t="n">
        <v>2025</v>
      </c>
    </row>
    <row r="70" ht="16" customHeight="1">
      <c r="A70" s="4" t="inlineStr">
        <is>
          <t>Afkastningsgrad, %</t>
        </is>
      </c>
      <c r="B70" s="13">
        <f>IFERROR(($B$13+$B$15+$B$14)/$B$38*100,"")</f>
        <v/>
      </c>
      <c r="C70" s="13">
        <f>IFERROR(($C$13+$C$15+$C$14)/$C$38*100,"")</f>
        <v/>
      </c>
      <c r="D70" s="13">
        <f>IFERROR(($D$13+$D$15+$D$14)/$D$38*100,"")</f>
        <v/>
      </c>
      <c r="E70" s="13">
        <f>IFERROR(($E$13+$E$15+$E$14)/$E$38*100,"")</f>
        <v/>
      </c>
      <c r="F70" s="13">
        <f>IFERROR(($F$13+$F$15+$F$14)/$F$38*100,"")</f>
        <v/>
      </c>
    </row>
    <row r="71" ht="16" customHeight="1">
      <c r="A71" s="7" t="inlineStr">
        <is>
          <t>Overskudsgrad (af bruttofortjeneste), %</t>
        </is>
      </c>
      <c r="B71" s="14">
        <f>IFERROR(($B$13+$B$15+$B$14)/$B$8*100,"")</f>
        <v/>
      </c>
      <c r="C71" s="14">
        <f>IFERROR(($C$13+$C$15+$C$14)/$C$8*100,"")</f>
        <v/>
      </c>
      <c r="D71" s="14">
        <f>IFERROR(($D$13+$D$15+$D$14)/$D$8*100,"")</f>
        <v/>
      </c>
      <c r="E71" s="14">
        <f>IFERROR(($E$13+$E$15+$E$14)/$E$8*100,"")</f>
        <v/>
      </c>
      <c r="F71" s="14">
        <f>IFERROR(($F$13+$F$15+$F$14)/$F$8*100,"")</f>
        <v/>
      </c>
    </row>
    <row r="72" ht="16" customHeight="1">
      <c r="A72" s="4" t="inlineStr">
        <is>
          <t>Aktivernes omsætningshastighed (af bruttofortjeneste), gange</t>
        </is>
      </c>
      <c r="B72" s="13">
        <f>IFERROR($B$8/$B$38,"")</f>
        <v/>
      </c>
      <c r="C72" s="13">
        <f>IFERROR($C$8/$C$38,"")</f>
        <v/>
      </c>
      <c r="D72" s="13">
        <f>IFERROR($D$8/$D$38,"")</f>
        <v/>
      </c>
      <c r="E72" s="13">
        <f>IFERROR($E$8/$E$38,"")</f>
        <v/>
      </c>
      <c r="F72" s="13">
        <f>IFERROR($F$8/$F$38,"")</f>
        <v/>
      </c>
    </row>
    <row r="73" ht="16" customHeight="1">
      <c r="A73" s="7" t="inlineStr">
        <is>
          <t>Egenkapitalens forrentning, %</t>
        </is>
      </c>
      <c r="B73" s="14">
        <f>IFERROR($B$18/$B$47*100,"")</f>
        <v/>
      </c>
      <c r="C73" s="14">
        <f>IFERROR($C$18/$C$47*100,"")</f>
        <v/>
      </c>
      <c r="D73" s="14">
        <f>IFERROR($D$18/$D$47*100,"")</f>
        <v/>
      </c>
      <c r="E73" s="14">
        <f>IFERROR($E$18/$E$47*100,"")</f>
        <v/>
      </c>
      <c r="F73" s="14">
        <f>IFERROR($F$18/$F$47*100,"")</f>
        <v/>
      </c>
    </row>
    <row r="74" ht="16" customHeight="1">
      <c r="A74" s="4" t="inlineStr">
        <is>
          <t>Gældsrente, %</t>
        </is>
      </c>
      <c r="B74" s="13">
        <f>IFERROR($B$16/($B$63-$B$47)*100,"")</f>
        <v/>
      </c>
      <c r="C74" s="13">
        <f>IFERROR($C$16/($C$63-$C$47)*100,"")</f>
        <v/>
      </c>
      <c r="D74" s="13">
        <f>IFERROR($D$16/($D$63-$D$47)*100,"")</f>
        <v/>
      </c>
      <c r="E74" s="13">
        <f>IFERROR($E$16/($E$63-$E$47)*100,"")</f>
        <v/>
      </c>
      <c r="F74" s="13">
        <f>IFERROR($F$16/($F$63-$F$47)*100,"")</f>
        <v/>
      </c>
    </row>
    <row r="75" ht="16" customHeight="1">
      <c r="A75" s="7" t="inlineStr">
        <is>
          <t>Soliditetsgrad, %</t>
        </is>
      </c>
      <c r="B75" s="14">
        <f>IFERROR($B$47/$B$38*100,"")</f>
        <v/>
      </c>
      <c r="C75" s="14">
        <f>IFERROR($C$47/$C$38*100,"")</f>
        <v/>
      </c>
      <c r="D75" s="14">
        <f>IFERROR($D$47/$D$38*100,"")</f>
        <v/>
      </c>
      <c r="E75" s="14">
        <f>IFERROR($E$47/$E$38*100,"")</f>
        <v/>
      </c>
      <c r="F75" s="14">
        <f>IFERROR($F$47/$F$38*100,"")</f>
        <v/>
      </c>
    </row>
    <row r="76" ht="16" customHeight="1">
      <c r="A76" s="4" t="inlineStr">
        <is>
          <t>Gearing</t>
        </is>
      </c>
      <c r="B76" s="13">
        <f>IFERROR(($B$63-$B$47)/$B$47,"")</f>
        <v/>
      </c>
      <c r="C76" s="13">
        <f>IFERROR(($C$63-$C$47)/$C$47,"")</f>
        <v/>
      </c>
      <c r="D76" s="13">
        <f>IFERROR(($D$63-$D$47)/$D$47,"")</f>
        <v/>
      </c>
      <c r="E76" s="13">
        <f>IFERROR(($E$63-$E$47)/$E$47,"")</f>
        <v/>
      </c>
      <c r="F76" s="13">
        <f>IFERROR(($F$63-$F$47)/$F$47,"")</f>
        <v/>
      </c>
    </row>
    <row r="77" ht="16" customHeight="1">
      <c r="A77" s="7" t="inlineStr">
        <is>
          <t>Likviditetsgrad, %</t>
        </is>
      </c>
      <c r="B77" s="14">
        <f>IFERROR($B$37/$B$61*100,"")</f>
        <v/>
      </c>
      <c r="C77" s="14">
        <f>IFERROR($C$37/$C$61*100,"")</f>
        <v/>
      </c>
      <c r="D77" s="14">
        <f>IFERROR($D$37/$D$61*100,"")</f>
        <v/>
      </c>
      <c r="E77" s="14">
        <f>IFERROR($E$37/$E$61*100,"")</f>
        <v/>
      </c>
      <c r="F77" s="14">
        <f>IFERROR($F$37/$F$61*100,"")</f>
        <v/>
      </c>
    </row>
    <row r="78" ht="16" customHeight="1">
      <c r="A78" s="4" t="inlineStr">
        <is>
          <t>Rentemarginal, %</t>
        </is>
      </c>
      <c r="B78" s="13">
        <f>IFERROR(B70-B74,"")</f>
        <v/>
      </c>
      <c r="C78" s="13">
        <f>IFERROR(C70-C74,"")</f>
        <v/>
      </c>
      <c r="D78" s="13">
        <f>IFERROR(D70-D74,"")</f>
        <v/>
      </c>
      <c r="E78" s="13">
        <f>IFERROR(E70-E74,"")</f>
        <v/>
      </c>
      <c r="F78" s="13">
        <f>IFERROR(F70-F74,"")</f>
        <v/>
      </c>
    </row>
    <row r="79" ht="16" customHeight="1">
      <c r="A79" s="7" t="inlineStr">
        <is>
          <t>Gældsandel, %</t>
        </is>
      </c>
      <c r="B79" s="14">
        <f>IFERROR(($B$63-$B$47)/$B$38*100,"")</f>
        <v/>
      </c>
      <c r="C79" s="14">
        <f>IFERROR(($C$63-$C$47)/$C$38*100,"")</f>
        <v/>
      </c>
      <c r="D79" s="14">
        <f>IFERROR(($D$63-$D$47)/$D$38*100,"")</f>
        <v/>
      </c>
      <c r="E79" s="14">
        <f>IFERROR(($E$63-$E$47)/$E$38*100,"")</f>
        <v/>
      </c>
      <c r="F79" s="14">
        <f>IFERROR(($F$63-$F$47)/$F$38*100,"")</f>
        <v/>
      </c>
    </row>
    <row r="80" ht="16" customHeight="1">
      <c r="A80" s="4" t="inlineStr">
        <is>
          <t>Kapitalbindingsgrad, %</t>
        </is>
      </c>
      <c r="B80" s="13">
        <f>IFERROR($B$26/($B$47+0)*100,"")</f>
        <v/>
      </c>
      <c r="C80" s="13">
        <f>IFERROR($C$26/($C$47+0)*100,"")</f>
        <v/>
      </c>
      <c r="D80" s="13">
        <f>IFERROR($D$26/($D$47+0)*100,"")</f>
        <v/>
      </c>
      <c r="E80" s="13">
        <f>IFERROR($E$26/($E$47+0)*100,"")</f>
        <v/>
      </c>
      <c r="F80" s="13">
        <f>IFERROR($F$26/($F$47+0)*100,"")</f>
        <v/>
      </c>
    </row>
    <row r="82">
      <c r="A82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SAS Danmark A/S (CVR 56994912)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>
        <v>37</v>
      </c>
      <c r="C5" s="16" t="n">
        <v>37</v>
      </c>
      <c r="D5" s="16" t="n">
        <v>84</v>
      </c>
      <c r="E5" s="16" t="n">
        <v>90</v>
      </c>
      <c r="F5" s="16" t="n">
        <v>190</v>
      </c>
    </row>
    <row r="6">
      <c r="A6" s="17" t="inlineStr">
        <is>
          <t>Bruttoresultat</t>
        </is>
      </c>
      <c r="B6" s="16" t="n">
        <v>-37</v>
      </c>
      <c r="C6" s="16" t="n">
        <v>-37</v>
      </c>
      <c r="D6" s="16" t="n">
        <v>-84</v>
      </c>
      <c r="E6" s="16" t="n">
        <v>-90</v>
      </c>
      <c r="F6" s="16" t="n">
        <v>-190</v>
      </c>
    </row>
    <row r="7">
      <c r="A7" s="15" t="inlineStr">
        <is>
          <t>Personaleomkostninger</t>
        </is>
      </c>
      <c r="B7" s="16" t="n"/>
      <c r="C7" s="16" t="n"/>
      <c r="D7" s="16" t="n"/>
      <c r="E7" s="16" t="n"/>
      <c r="F7" s="16" t="n"/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/>
      <c r="D9" s="16" t="n">
        <v>478470</v>
      </c>
      <c r="E9" s="16" t="n">
        <v>-478470</v>
      </c>
      <c r="F9" s="16" t="n">
        <v>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-37</v>
      </c>
      <c r="C11" s="16" t="n">
        <v>-37</v>
      </c>
      <c r="D11" s="16" t="n">
        <v>-478554</v>
      </c>
      <c r="E11" s="16" t="n">
        <v>478380</v>
      </c>
      <c r="F11" s="16" t="n">
        <v>-190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2</v>
      </c>
      <c r="D13" s="16" t="n">
        <v>8429</v>
      </c>
      <c r="E13" s="16" t="n">
        <v>15000</v>
      </c>
      <c r="F13" s="16" t="n">
        <v>10180</v>
      </c>
    </row>
    <row r="14">
      <c r="A14" s="15" t="inlineStr">
        <is>
          <t>Finansielle omkostninger</t>
        </is>
      </c>
      <c r="B14" s="16" t="n">
        <v>3</v>
      </c>
      <c r="C14" s="16" t="n">
        <v>0</v>
      </c>
      <c r="D14" s="16" t="n"/>
      <c r="E14" s="16" t="n"/>
      <c r="F14" s="16" t="n"/>
    </row>
    <row r="15">
      <c r="A15" s="17" t="inlineStr">
        <is>
          <t>Finansielle poster, netto</t>
        </is>
      </c>
      <c r="B15" s="16" t="n">
        <v>-3</v>
      </c>
      <c r="C15" s="16" t="n">
        <v>2</v>
      </c>
      <c r="D15" s="16" t="n">
        <v>8429</v>
      </c>
      <c r="E15" s="16" t="n">
        <v>15000</v>
      </c>
      <c r="F15" s="16" t="n">
        <v>10180</v>
      </c>
    </row>
    <row r="16">
      <c r="A16" s="17" t="inlineStr">
        <is>
          <t>Resultat før skat</t>
        </is>
      </c>
      <c r="B16" s="16" t="n">
        <v>-40</v>
      </c>
      <c r="C16" s="16" t="n">
        <v>-35</v>
      </c>
      <c r="D16" s="16" t="n">
        <v>-470125</v>
      </c>
      <c r="E16" s="16" t="n">
        <v>493380</v>
      </c>
      <c r="F16" s="16" t="n">
        <v>9990</v>
      </c>
    </row>
    <row r="17">
      <c r="A17" s="15" t="inlineStr">
        <is>
          <t>Skat af årets resultat</t>
        </is>
      </c>
      <c r="B17" s="16" t="n">
        <v>6116</v>
      </c>
      <c r="C17" s="16" t="n">
        <v>-27582</v>
      </c>
      <c r="D17" s="16" t="n">
        <v>-97812</v>
      </c>
      <c r="E17" s="16" t="n">
        <v>169768</v>
      </c>
      <c r="F17" s="16" t="n">
        <v>44307</v>
      </c>
    </row>
    <row r="18">
      <c r="A18" s="17" t="inlineStr">
        <is>
          <t>Årets resultat</t>
        </is>
      </c>
      <c r="B18" s="16" t="n">
        <v>-6156</v>
      </c>
      <c r="C18" s="16" t="n">
        <v>27547</v>
      </c>
      <c r="D18" s="16" t="n">
        <v>-372313</v>
      </c>
      <c r="E18" s="16" t="n">
        <v>323612</v>
      </c>
      <c r="F18" s="16" t="n">
        <v>-34317</v>
      </c>
    </row>
    <row r="19">
      <c r="A19" s="15" t="inlineStr">
        <is>
          <t>Gns. antal medarbejdere</t>
        </is>
      </c>
      <c r="B19" s="16" t="n">
        <v>0</v>
      </c>
      <c r="C19" s="16" t="n">
        <v>0</v>
      </c>
      <c r="D19" s="16" t="n"/>
      <c r="E19" s="16" t="n"/>
      <c r="F19" s="16" t="n"/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SAS Danmark A/S (CVR 56994912)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Kapitalandele, dattervirksomheder</t>
        </is>
      </c>
      <c r="B2" s="16" t="n">
        <v>2734673</v>
      </c>
      <c r="C2" s="16" t="n">
        <v>2734673</v>
      </c>
      <c r="D2" s="16" t="n">
        <v>2256203</v>
      </c>
      <c r="E2" s="16" t="n">
        <v>2734673</v>
      </c>
      <c r="F2" s="16" t="n">
        <v>2734673</v>
      </c>
    </row>
    <row r="3">
      <c r="A3" s="15" t="inlineStr">
        <is>
          <t>Deposita</t>
        </is>
      </c>
      <c r="B3" s="16" t="n"/>
      <c r="C3" s="16" t="n"/>
      <c r="D3" s="16" t="n"/>
      <c r="E3" s="16" t="n"/>
      <c r="F3" s="16" t="n"/>
    </row>
    <row r="4">
      <c r="A4" s="17" t="inlineStr">
        <is>
          <t>Finansielle anlægsaktiver</t>
        </is>
      </c>
      <c r="B4" s="16" t="n">
        <v>2734673</v>
      </c>
      <c r="C4" s="16" t="n">
        <v>2734673</v>
      </c>
      <c r="D4" s="16" t="n">
        <v>2256203</v>
      </c>
      <c r="E4" s="16" t="n">
        <v>2734673</v>
      </c>
      <c r="F4" s="16" t="n">
        <v>2734673</v>
      </c>
    </row>
    <row r="5">
      <c r="A5" s="17" t="inlineStr">
        <is>
          <t>Anlægsaktiver</t>
        </is>
      </c>
      <c r="B5" s="16" t="n">
        <v>2734673</v>
      </c>
      <c r="C5" s="16" t="n">
        <v>2734673</v>
      </c>
      <c r="D5" s="16" t="n">
        <v>2256203</v>
      </c>
      <c r="E5" s="16" t="n">
        <v>2734673</v>
      </c>
      <c r="F5" s="16" t="n">
        <v>2734673</v>
      </c>
    </row>
    <row r="6">
      <c r="A6" s="15" t="inlineStr">
        <is>
          <t>Tilgodehavender fra salg og tjenesteydelser</t>
        </is>
      </c>
      <c r="B6" s="16" t="n"/>
      <c r="C6" s="16" t="n"/>
      <c r="D6" s="16" t="n"/>
      <c r="E6" s="16" t="n"/>
      <c r="F6" s="16" t="n"/>
    </row>
    <row r="7">
      <c r="A7" s="15" t="inlineStr">
        <is>
          <t>Tilgodehavender hos tilknyttede virksomheder</t>
        </is>
      </c>
      <c r="B7" s="16" t="n"/>
      <c r="C7" s="16" t="n"/>
      <c r="D7" s="16" t="n"/>
      <c r="E7" s="16" t="n"/>
      <c r="F7" s="16" t="n"/>
    </row>
    <row r="8">
      <c r="A8" s="15" t="inlineStr">
        <is>
          <t>Andre tilgodehavender</t>
        </is>
      </c>
      <c r="B8" s="16" t="n"/>
      <c r="C8" s="16" t="n">
        <v>346</v>
      </c>
      <c r="D8" s="16" t="n">
        <v>346</v>
      </c>
      <c r="E8" s="16" t="n">
        <v>346</v>
      </c>
      <c r="F8" s="16" t="n">
        <v>0</v>
      </c>
    </row>
    <row r="9">
      <c r="A9" s="15" t="inlineStr">
        <is>
          <t>Periodeafgrænsningsposter (aktiver)</t>
        </is>
      </c>
      <c r="B9" s="16" t="n"/>
      <c r="C9" s="16" t="n"/>
      <c r="D9" s="16" t="n"/>
      <c r="E9" s="16" t="n"/>
      <c r="F9" s="16" t="n"/>
    </row>
    <row r="10">
      <c r="A10" s="15" t="inlineStr">
        <is>
          <t>Udskudt skatteaktiv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Tilgodehavende skat hos tilknyttede virksomheder</t>
        </is>
      </c>
      <c r="B11" s="16" t="n"/>
      <c r="C11" s="16" t="n"/>
      <c r="D11" s="16" t="n"/>
      <c r="E11" s="16" t="n"/>
      <c r="F11" s="16" t="n"/>
    </row>
    <row r="12">
      <c r="A12" s="15" t="inlineStr">
        <is>
          <t>Kortfristede skattetilgodehavender</t>
        </is>
      </c>
      <c r="B12" s="16" t="n">
        <v>36325</v>
      </c>
      <c r="C12" s="16" t="n">
        <v>68442</v>
      </c>
      <c r="D12" s="16" t="n">
        <v>53591</v>
      </c>
      <c r="E12" s="16" t="n">
        <v>27468</v>
      </c>
      <c r="F12" s="16" t="n">
        <v>22936</v>
      </c>
    </row>
    <row r="13">
      <c r="A13" s="17" t="inlineStr">
        <is>
          <t>Tilgodehavender</t>
        </is>
      </c>
      <c r="B13" s="16" t="n">
        <v>282862</v>
      </c>
      <c r="C13" s="16" t="n">
        <v>356755</v>
      </c>
      <c r="D13" s="16" t="n">
        <v>419063</v>
      </c>
      <c r="E13" s="16" t="n">
        <v>437553</v>
      </c>
      <c r="F13" s="16" t="n">
        <v>457286</v>
      </c>
    </row>
    <row r="14">
      <c r="A14" s="15" t="inlineStr">
        <is>
          <t>Værdipapirer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Likvide beholdninger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Omsætningsaktiver</t>
        </is>
      </c>
      <c r="B16" s="16" t="n">
        <v>282862</v>
      </c>
      <c r="C16" s="16" t="n">
        <v>356755</v>
      </c>
      <c r="D16" s="16" t="n">
        <v>419063</v>
      </c>
      <c r="E16" s="16" t="n">
        <v>437553</v>
      </c>
      <c r="F16" s="16" t="n">
        <v>457286</v>
      </c>
    </row>
    <row r="17">
      <c r="A17" s="17" t="inlineStr">
        <is>
          <t>Aktiver</t>
        </is>
      </c>
      <c r="B17" s="16" t="n">
        <v>3017535</v>
      </c>
      <c r="C17" s="16" t="n">
        <v>3091428</v>
      </c>
      <c r="D17" s="16" t="n">
        <v>2675266</v>
      </c>
      <c r="E17" s="16" t="n">
        <v>3172226</v>
      </c>
      <c r="F17" s="16" t="n">
        <v>3191959</v>
      </c>
    </row>
    <row r="18">
      <c r="A18" s="15" t="inlineStr">
        <is>
          <t>Selskabskapital</t>
        </is>
      </c>
      <c r="B18" s="16" t="n">
        <v>470000</v>
      </c>
      <c r="C18" s="16" t="n">
        <v>470000</v>
      </c>
      <c r="D18" s="16" t="n">
        <v>470000</v>
      </c>
      <c r="E18" s="16" t="n">
        <v>470000</v>
      </c>
      <c r="F18" s="16" t="n">
        <v>470000</v>
      </c>
    </row>
    <row r="19">
      <c r="A19" s="15" t="inlineStr">
        <is>
          <t>Reserve for nettoopskrivning (indre værdis metode)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Reserve for udviklingsomkostninger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Reserve for sikringstransaktioner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Andre reserver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Overført resultat</t>
        </is>
      </c>
      <c r="B23" s="16" t="n">
        <v>2457499</v>
      </c>
      <c r="C23" s="16" t="n">
        <v>2485046</v>
      </c>
      <c r="D23" s="16" t="n">
        <v>2112733</v>
      </c>
      <c r="E23" s="16" t="n">
        <v>2436345</v>
      </c>
      <c r="F23" s="16" t="n">
        <v>2402028</v>
      </c>
    </row>
    <row r="24">
      <c r="A24" s="17" t="inlineStr">
        <is>
          <t>Egenkapital i alt</t>
        </is>
      </c>
      <c r="B24" s="16" t="n">
        <v>2927499</v>
      </c>
      <c r="C24" s="16" t="n">
        <v>2955046</v>
      </c>
      <c r="D24" s="16" t="n">
        <v>2582733</v>
      </c>
      <c r="E24" s="16" t="n">
        <v>2906345</v>
      </c>
      <c r="F24" s="16" t="n">
        <v>2872028</v>
      </c>
    </row>
    <row r="25">
      <c r="A25" s="15" t="inlineStr">
        <is>
          <t>Hensættelse til udskudt skat</t>
        </is>
      </c>
      <c r="B25" s="16" t="n">
        <v>83166</v>
      </c>
      <c r="C25" s="16" t="n">
        <v>124906</v>
      </c>
      <c r="D25" s="16" t="n">
        <v>81002</v>
      </c>
      <c r="E25" s="16" t="n">
        <v>265881</v>
      </c>
      <c r="F25" s="16" t="n">
        <v>319852</v>
      </c>
    </row>
    <row r="26">
      <c r="A26" s="17" t="inlineStr">
        <is>
          <t>Hensatte forpligtelser</t>
        </is>
      </c>
      <c r="B26" s="16" t="n">
        <v>83166</v>
      </c>
      <c r="C26" s="16" t="n">
        <v>124906</v>
      </c>
      <c r="D26" s="16" t="n">
        <v>81002</v>
      </c>
      <c r="E26" s="16" t="n">
        <v>265881</v>
      </c>
      <c r="F26" s="16" t="n">
        <v>319852</v>
      </c>
    </row>
    <row r="27">
      <c r="A27" s="15" t="inlineStr">
        <is>
          <t>Ansvarlig lånekapital (kortfristet)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Kortfristet del af langfristede gældsforpligtelser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Kreditinstitutter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Leasingforpligtelser (kortfristet)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Leverandører af varer og tjenesteydelser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Gæld til tilknyttede virksomheder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Gæld til selskabsdeltagere og ledelse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Selskabsskat</t>
        </is>
      </c>
      <c r="B34" s="16" t="n">
        <v>5373</v>
      </c>
      <c r="C34" s="16" t="n">
        <v>9979</v>
      </c>
      <c r="D34" s="16" t="n">
        <v>10034</v>
      </c>
      <c r="E34" s="16" t="n"/>
      <c r="F34" s="16" t="n"/>
    </row>
    <row r="35">
      <c r="A35" s="15" t="inlineStr">
        <is>
          <t>Gæld til tilknyttede virksomheder vedr. selskabsskat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Anden gæld (kortfristet)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Periodeafgrænsningsposter (passiver)</t>
        </is>
      </c>
      <c r="B37" s="16" t="n"/>
      <c r="C37" s="16" t="n"/>
      <c r="D37" s="16" t="n"/>
      <c r="E37" s="16" t="n"/>
      <c r="F37" s="16" t="n"/>
    </row>
    <row r="38">
      <c r="A38" s="17" t="inlineStr">
        <is>
          <t>Kortfristede gældsforpligtelser</t>
        </is>
      </c>
      <c r="B38" s="16" t="n">
        <v>90036</v>
      </c>
      <c r="C38" s="16" t="n">
        <v>136382</v>
      </c>
      <c r="D38" s="16" t="n">
        <v>92533</v>
      </c>
      <c r="E38" s="16" t="n">
        <v>265881</v>
      </c>
      <c r="F38" s="16" t="n">
        <v>319931</v>
      </c>
    </row>
    <row r="39">
      <c r="A39" s="17" t="inlineStr">
        <is>
          <t>Gældsforpligtelser</t>
        </is>
      </c>
      <c r="B39" s="16" t="n">
        <v>90036</v>
      </c>
      <c r="C39" s="16" t="n">
        <v>136382</v>
      </c>
      <c r="D39" s="16" t="n">
        <v>92533</v>
      </c>
      <c r="E39" s="16" t="n">
        <v>265881</v>
      </c>
      <c r="F39" s="16" t="n">
        <v>319931</v>
      </c>
    </row>
    <row r="40">
      <c r="A40" s="17" t="inlineStr">
        <is>
          <t>Passiver</t>
        </is>
      </c>
      <c r="B40" s="16" t="n">
        <v>3017535</v>
      </c>
      <c r="C40" s="16" t="n">
        <v>3091428</v>
      </c>
      <c r="D40" s="16" t="n">
        <v>2675266</v>
      </c>
      <c r="E40" s="16" t="n">
        <v>3172226</v>
      </c>
      <c r="F40" s="16" t="n">
        <v>3191959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SAS Danmark A/S (CVR 56994912) — Regnskabs- og nøgletal (CVR: 56994912)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'res_raw_56994912'!$F$2</f>
        <v/>
      </c>
      <c r="C5" s="24">
        <f>'res_raw_56994912'!$E$2</f>
        <v/>
      </c>
      <c r="D5" s="24">
        <f>'res_raw_56994912'!$D$2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'res_raw_56994912'!$F$3</f>
        <v/>
      </c>
      <c r="C6" s="24">
        <f>'res_raw_56994912'!$E$3</f>
        <v/>
      </c>
      <c r="D6" s="24">
        <f>'res_raw_56994912'!$D$3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-'res_raw_56994912'!$F$4</f>
        <v/>
      </c>
      <c r="C7" s="24">
        <f>-'res_raw_56994912'!$E$4</f>
        <v/>
      </c>
      <c r="D7" s="24">
        <f>-'res_raw_56994912'!$D$4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-'res_raw_56994912'!$F$5</f>
        <v/>
      </c>
      <c r="C8" s="24">
        <f>-'res_raw_56994912'!$E$5</f>
        <v/>
      </c>
      <c r="D8" s="24">
        <f>-'res_raw_56994912'!$D$5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IF(ABS((SUM(B5:B8))-'res_raw_56994912'!$F$6)&lt;=2,SUM(B5:B8),'res_raw_56994912'!$F$6)</f>
        <v/>
      </c>
      <c r="C9" s="27">
        <f>IF(ABS((SUM(C5:C8))-'res_raw_56994912'!$E$6)&lt;=2,SUM(C5:C8),'res_raw_56994912'!$E$6)</f>
        <v/>
      </c>
      <c r="D9" s="27">
        <f>IF(ABS((SUM(D5:D8))-'res_raw_56994912'!$D$6)&lt;=2,SUM(D5:D8),'res_raw_56994912'!$D$6)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-'res_raw_56994912'!$F$7</f>
        <v/>
      </c>
      <c r="C10" s="24">
        <f>-'res_raw_56994912'!$E$7</f>
        <v/>
      </c>
      <c r="D10" s="24">
        <f>-'res_raw_56994912'!$D$7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-'res_raw_56994912'!$F$9</f>
        <v/>
      </c>
      <c r="C11" s="24">
        <f>-'res_raw_56994912'!$E$9</f>
        <v/>
      </c>
      <c r="D11" s="24">
        <f>-'res_raw_56994912'!$D$9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-'res_raw_56994912'!$F$10</f>
        <v/>
      </c>
      <c r="C12" s="24">
        <f>-'res_raw_56994912'!$E$10</f>
        <v/>
      </c>
      <c r="D12" s="24">
        <f>-'res_raw_56994912'!$D$10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IF(ABS((SUM(B9:B12))-'res_raw_56994912'!$F$11)&lt;=2,SUM(B9:B12),'res_raw_56994912'!$F$11)</f>
        <v/>
      </c>
      <c r="C13" s="27">
        <f>IF(ABS((SUM(C9:C12))-'res_raw_56994912'!$E$11)&lt;=2,SUM(C9:C12),'res_raw_56994912'!$E$11)</f>
        <v/>
      </c>
      <c r="D13" s="27">
        <f>IF(ABS((SUM(D9:D12))-'res_raw_56994912'!$D$11)&lt;=2,SUM(D9:D12),'res_raw_56994912'!$D$11)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N('res_raw_56994912'!$F$12)+N('res_raw_56994912'!$F$13)</f>
        <v/>
      </c>
      <c r="C14" s="24">
        <f>N('res_raw_56994912'!$E$12)+N('res_raw_56994912'!$E$13)</f>
        <v/>
      </c>
      <c r="D14" s="24">
        <f>N('res_raw_56994912'!$D$12)+N('res_raw_56994912'!$D$13)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-'res_raw_56994912'!$F$14</f>
        <v/>
      </c>
      <c r="C15" s="24">
        <f>-'res_raw_56994912'!$E$14</f>
        <v/>
      </c>
      <c r="D15" s="24">
        <f>-'res_raw_56994912'!$D$14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IF(ABS((SUM(B13:B15))-'res_raw_56994912'!$F$16)&lt;=2,SUM(B13:B15),'res_raw_56994912'!$F$16)</f>
        <v/>
      </c>
      <c r="C16" s="27">
        <f>IF(ABS((SUM(C13:C15))-'res_raw_56994912'!$E$16)&lt;=2,SUM(C13:C15),'res_raw_56994912'!$E$16)</f>
        <v/>
      </c>
      <c r="D16" s="27">
        <f>IF(ABS((SUM(D13:D15))-'res_raw_56994912'!$D$16)&lt;=2,SUM(D13:D15),'res_raw_56994912'!$D$16)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'balance_raw_56994912'!$F$5</f>
        <v/>
      </c>
      <c r="C19" s="24">
        <f>'balance_raw_56994912'!$E$5</f>
        <v/>
      </c>
      <c r="D19" s="24">
        <f>'balance_raw_56994912'!$D$5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'balance_raw_56994912'!$F$16</f>
        <v/>
      </c>
      <c r="C20" s="24">
        <f>'balance_raw_56994912'!$E$16</f>
        <v/>
      </c>
      <c r="D20" s="24">
        <f>'balance_raw_56994912'!$D$16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'balance_raw_56994912'!$F$24</f>
        <v/>
      </c>
      <c r="C23" s="24">
        <f>'balance_raw_56994912'!$E$24</f>
        <v/>
      </c>
      <c r="D23" s="24">
        <f>'balance_raw_56994912'!$D$24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'balance_raw_56994912'!$F$40-'balance_raw_56994912'!$F$24</f>
        <v/>
      </c>
      <c r="C24" s="24">
        <f>'balance_raw_56994912'!$E$40-'balance_raw_56994912'!$E$24</f>
        <v/>
      </c>
      <c r="D24" s="24">
        <f>'balance_raw_56994912'!$D$40-'balance_raw_56994912'!$D$24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'balance_raw_56994912'!$F$6</f>
        <v/>
      </c>
      <c r="C29" s="24">
        <f>'balance_raw_56994912'!$E$6</f>
        <v/>
      </c>
      <c r="D29" s="24">
        <f>'balance_raw_56994912'!$D$6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'balance_raw_56994912'!$F$38</f>
        <v/>
      </c>
      <c r="C30" s="24">
        <f>'balance_raw_56994912'!$E$38</f>
        <v/>
      </c>
      <c r="D30" s="24">
        <f>'balance_raw_56994912'!$D$38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IF('balance_raw_56994912'!$F$17="","—",IF(ABS(B21-'balance_raw_56994912'!$F$17)&lt;=1,"✓ OK","❌ "&amp;TEXT(B21-'balance_raw_56994912'!$F$17,"+#,##0;-#,##0")&amp;" t.kr."))</f>
        <v/>
      </c>
      <c r="C61" s="29">
        <f>IF('balance_raw_56994912'!$E$17="","—",IF(ABS(C21-'balance_raw_56994912'!$E$17)&lt;=1,"✓ OK","❌ "&amp;TEXT(C21-'balance_raw_56994912'!$E$17,"+#,##0;-#,##0")&amp;" t.kr."))</f>
        <v/>
      </c>
      <c r="D61" s="29">
        <f>IF('balance_raw_56994912'!$D$17="","—",IF(ABS(D21-'balance_raw_56994912'!$D$17)&lt;=1,"✓ OK","❌ "&amp;TEXT(D21-'balance_raw_56994912'!$D$17,"+#,##0;-#,##0")&amp;"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IF('balance_raw_56994912'!$F$40="","—",IF(ABS(B25-'balance_raw_56994912'!$F$40)&lt;=1,"✓ OK","❌ "&amp;TEXT(B25-'balance_raw_56994912'!$F$40,"+#,##0;-#,##0")&amp;" t.kr."))</f>
        <v/>
      </c>
      <c r="C62" s="29">
        <f>IF('balance_raw_56994912'!$E$40="","—",IF(ABS(C25-'balance_raw_56994912'!$E$40)&lt;=1,"✓ OK","❌ "&amp;TEXT(C25-'balance_raw_56994912'!$E$40,"+#,##0;-#,##0")&amp;" t.kr."))</f>
        <v/>
      </c>
      <c r="D62" s="29">
        <f>IF('balance_raw_56994912'!$D$40="","—",IF(ABS(D25-'balance_raw_56994912'!$D$40)&lt;=1,"✓ OK","❌ "&amp;TEXT(D25-'balance_raw_56994912'!$D$40,"+#,##0;-#,##0")&amp;"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IF('res_raw_56994912'!$F$6="","—",IF(ABS(B9-'res_raw_56994912'!$F$6)&lt;=1,"✓ OK","❌ "&amp;TEXT(B9-'res_raw_56994912'!$F$6,"+#,##0;-#,##0")&amp;" t.kr."))</f>
        <v/>
      </c>
      <c r="C64" s="29">
        <f>IF('res_raw_56994912'!$E$6="","—",IF(ABS(C9-'res_raw_56994912'!$E$6)&lt;=1,"✓ OK","❌ "&amp;TEXT(C9-'res_raw_56994912'!$E$6,"+#,##0;-#,##0")&amp;" t.kr."))</f>
        <v/>
      </c>
      <c r="D64" s="29">
        <f>IF('res_raw_56994912'!$D$6="","—",IF(ABS(D9-'res_raw_56994912'!$D$6)&lt;=1,"✓ OK","❌ "&amp;TEXT(D9-'res_raw_56994912'!$D$6,"+#,##0;-#,##0")&amp;"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IF('res_raw_56994912'!$F$11="","—",IF(ABS(B13-'res_raw_56994912'!$F$11)&lt;=1,"✓ OK","❌ "&amp;TEXT(B13-'res_raw_56994912'!$F$11,"+#,##0;-#,##0")&amp;" t.kr."))</f>
        <v/>
      </c>
      <c r="C65" s="29">
        <f>IF('res_raw_56994912'!$E$11="","—",IF(ABS(C13-'res_raw_56994912'!$E$11)&lt;=1,"✓ OK","❌ "&amp;TEXT(C13-'res_raw_56994912'!$E$11,"+#,##0;-#,##0")&amp;" t.kr."))</f>
        <v/>
      </c>
      <c r="D65" s="29">
        <f>IF('res_raw_56994912'!$D$11="","—",IF(ABS(D13-'res_raw_56994912'!$D$11)&lt;=1,"✓ OK","❌ "&amp;TEXT(D13-'res_raw_56994912'!$D$11,"+#,##0;-#,##0")&amp;"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IF('res_raw_56994912'!$F$16="","—",IF(ABS(B16-'res_raw_56994912'!$F$16)&lt;=1,"✓ OK","❌ "&amp;TEXT(B16-'res_raw_56994912'!$F$16,"+#,##0;-#,##0")&amp;" t.kr."))</f>
        <v/>
      </c>
      <c r="C66" s="29">
        <f>IF('res_raw_56994912'!$E$16="","—",IF(ABS(C16-'res_raw_56994912'!$E$16)&lt;=1,"✓ OK","❌ "&amp;TEXT(C16-'res_raw_56994912'!$E$16,"+#,##0;-#,##0")&amp;" t.kr."))</f>
        <v/>
      </c>
      <c r="D66" s="29">
        <f>IF('res_raw_56994912'!$D$16="","—",IF(ABS(D16-'res_raw_56994912'!$D$16)&lt;=1,"✓ OK","❌ "&amp;TEXT(D16-'res_raw_56994912'!$D$16,"+#,##0;-#,##0")&amp;"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SAS Danmark A/S (CVR 56994912)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fsa:ShorttermPayablesToAssociates</t>
        </is>
      </c>
      <c r="C3" s="34" t="inlineStr">
        <is>
          <t>fsa:ShorttermPayablesToAssociates</t>
        </is>
      </c>
      <c r="D3" s="35" t="n">
        <v>1497</v>
      </c>
      <c r="E3" s="35" t="n">
        <v>1497</v>
      </c>
      <c r="F3" s="35" t="n">
        <v>1497</v>
      </c>
      <c r="G3" s="35" t="n">
        <v>0</v>
      </c>
      <c r="H3" s="35" t="n">
        <v>79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2026-10-02T21:58:10Z</dcterms:created>
  <dcterms:modified xmlns:dcterms="http://purl.org/dc/terms/" xmlns:xsi="http://www.w3.org/2001/XMLSchema-instance" xsi:type="dcterms:W3CDTF">2026-10-02T21:58:10Z</dcterms:modified>
</cp:coreProperties>
</file>