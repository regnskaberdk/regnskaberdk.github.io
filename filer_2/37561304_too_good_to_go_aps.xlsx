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7561304" sheetId="1" state="visible" r:id="rId1"/>
    <sheet xmlns:r="http://schemas.openxmlformats.org/officeDocument/2006/relationships" name="res_raw_37561304" sheetId="2" state="visible" r:id="rId2"/>
    <sheet xmlns:r="http://schemas.openxmlformats.org/officeDocument/2006/relationships" name="balance_raw_3756130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Too Good To Go ApS (CVR 37561304)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'res_raw_37561304'!$B$2</f>
        <v/>
      </c>
      <c r="C4" s="5">
        <f>'res_raw_37561304'!$C$2</f>
        <v/>
      </c>
      <c r="D4" s="5">
        <f>'res_raw_37561304'!$D$2</f>
        <v/>
      </c>
      <c r="E4" s="5">
        <f>'res_raw_37561304'!$E$2</f>
        <v/>
      </c>
      <c r="F4" s="5">
        <f>'res_raw_37561304'!$F$2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'res_raw_37561304'!$B$3</f>
        <v/>
      </c>
      <c r="C5" s="8">
        <f>'res_raw_37561304'!$C$3</f>
        <v/>
      </c>
      <c r="D5" s="8">
        <f>'res_raw_37561304'!$D$3</f>
        <v/>
      </c>
      <c r="E5" s="8">
        <f>'res_raw_37561304'!$E$3</f>
        <v/>
      </c>
      <c r="F5" s="8">
        <f>'res_raw_37561304'!$F$3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'res_raw_37561304'!$B$4</f>
        <v/>
      </c>
      <c r="C6" s="5">
        <f>'res_raw_37561304'!$C$4</f>
        <v/>
      </c>
      <c r="D6" s="5">
        <f>'res_raw_37561304'!$D$4</f>
        <v/>
      </c>
      <c r="E6" s="5">
        <f>'res_raw_37561304'!$E$4</f>
        <v/>
      </c>
      <c r="F6" s="5">
        <f>'res_raw_37561304'!$F$4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'res_raw_37561304'!$B$5</f>
        <v/>
      </c>
      <c r="C7" s="8">
        <f>'res_raw_37561304'!$C$5</f>
        <v/>
      </c>
      <c r="D7" s="8">
        <f>'res_raw_37561304'!$D$5</f>
        <v/>
      </c>
      <c r="E7" s="8">
        <f>'res_raw_37561304'!$E$5</f>
        <v/>
      </c>
      <c r="F7" s="8">
        <f>'res_raw_37561304'!$F$5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'res_raw_37561304'!$B$6</f>
        <v/>
      </c>
      <c r="C8" s="11">
        <f>'res_raw_37561304'!$C$6</f>
        <v/>
      </c>
      <c r="D8" s="11">
        <f>'res_raw_37561304'!$D$6</f>
        <v/>
      </c>
      <c r="E8" s="11">
        <f>'res_raw_37561304'!$E$6</f>
        <v/>
      </c>
      <c r="F8" s="11">
        <f>'res_raw_37561304'!$F$6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'res_raw_37561304'!$B$7</f>
        <v/>
      </c>
      <c r="C9" s="8">
        <f>'res_raw_37561304'!$C$7</f>
        <v/>
      </c>
      <c r="D9" s="8">
        <f>'res_raw_37561304'!$D$7</f>
        <v/>
      </c>
      <c r="E9" s="8">
        <f>'res_raw_37561304'!$E$7</f>
        <v/>
      </c>
      <c r="F9" s="8">
        <f>'res_raw_37561304'!$F$7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'res_raw_37561304'!$B$9</f>
        <v/>
      </c>
      <c r="C11" s="8">
        <f>'res_raw_37561304'!$C$9</f>
        <v/>
      </c>
      <c r="D11" s="8">
        <f>'res_raw_37561304'!$D$9</f>
        <v/>
      </c>
      <c r="E11" s="8">
        <f>'res_raw_37561304'!$E$9</f>
        <v/>
      </c>
      <c r="F11" s="8">
        <f>'res_raw_37561304'!$F$9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'res_raw_37561304'!$B$10</f>
        <v/>
      </c>
      <c r="C12" s="5">
        <f>'res_raw_37561304'!$C$10</f>
        <v/>
      </c>
      <c r="D12" s="5">
        <f>'res_raw_37561304'!$D$10</f>
        <v/>
      </c>
      <c r="E12" s="5">
        <f>'res_raw_37561304'!$E$10</f>
        <v/>
      </c>
      <c r="F12" s="5">
        <f>'res_raw_37561304'!$F$10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'res_raw_37561304'!$B$11</f>
        <v/>
      </c>
      <c r="C13" s="11">
        <f>'res_raw_37561304'!$C$11</f>
        <v/>
      </c>
      <c r="D13" s="11">
        <f>'res_raw_37561304'!$D$11</f>
        <v/>
      </c>
      <c r="E13" s="11">
        <f>'res_raw_37561304'!$E$11</f>
        <v/>
      </c>
      <c r="F13" s="11">
        <f>'res_raw_37561304'!$F$11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'res_raw_37561304'!$B$12</f>
        <v/>
      </c>
      <c r="C14" s="5">
        <f>'res_raw_37561304'!$C$12</f>
        <v/>
      </c>
      <c r="D14" s="5">
        <f>'res_raw_37561304'!$D$12</f>
        <v/>
      </c>
      <c r="E14" s="5">
        <f>'res_raw_37561304'!$E$12</f>
        <v/>
      </c>
      <c r="F14" s="5">
        <f>'res_raw_37561304'!$F$12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'res_raw_37561304'!$B$13</f>
        <v/>
      </c>
      <c r="C15" s="8">
        <f>'res_raw_37561304'!$C$13</f>
        <v/>
      </c>
      <c r="D15" s="8">
        <f>'res_raw_37561304'!$D$13</f>
        <v/>
      </c>
      <c r="E15" s="8">
        <f>'res_raw_37561304'!$E$13</f>
        <v/>
      </c>
      <c r="F15" s="8">
        <f>'res_raw_37561304'!$F$13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'res_raw_37561304'!$B$14</f>
        <v/>
      </c>
      <c r="C16" s="5">
        <f>'res_raw_37561304'!$C$14</f>
        <v/>
      </c>
      <c r="D16" s="5">
        <f>'res_raw_37561304'!$D$14</f>
        <v/>
      </c>
      <c r="E16" s="5">
        <f>'res_raw_37561304'!$E$14</f>
        <v/>
      </c>
      <c r="F16" s="5">
        <f>'res_raw_37561304'!$F$14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'res_raw_37561304'!$B$15</f>
        <v/>
      </c>
      <c r="C17" s="11">
        <f>'res_raw_37561304'!$C$15</f>
        <v/>
      </c>
      <c r="D17" s="11">
        <f>'res_raw_37561304'!$D$15</f>
        <v/>
      </c>
      <c r="E17" s="11">
        <f>'res_raw_37561304'!$E$15</f>
        <v/>
      </c>
      <c r="F17" s="11">
        <f>'res_raw_37561304'!$F$15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'res_raw_37561304'!$B$16</f>
        <v/>
      </c>
      <c r="C18" s="11">
        <f>'res_raw_37561304'!$C$16</f>
        <v/>
      </c>
      <c r="D18" s="11">
        <f>'res_raw_37561304'!$D$16</f>
        <v/>
      </c>
      <c r="E18" s="11">
        <f>'res_raw_37561304'!$E$16</f>
        <v/>
      </c>
      <c r="F18" s="11">
        <f>'res_raw_37561304'!$F$16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'res_raw_37561304'!$B$17</f>
        <v/>
      </c>
      <c r="C19" s="8">
        <f>'res_raw_37561304'!$C$17</f>
        <v/>
      </c>
      <c r="D19" s="8">
        <f>'res_raw_37561304'!$D$17</f>
        <v/>
      </c>
      <c r="E19" s="8">
        <f>'res_raw_37561304'!$E$17</f>
        <v/>
      </c>
      <c r="F19" s="8">
        <f>'res_raw_37561304'!$F$17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'res_raw_37561304'!$B$18</f>
        <v/>
      </c>
      <c r="C20" s="11">
        <f>'res_raw_37561304'!$C$18</f>
        <v/>
      </c>
      <c r="D20" s="11">
        <f>'res_raw_37561304'!$D$18</f>
        <v/>
      </c>
      <c r="E20" s="11">
        <f>'res_raw_37561304'!$E$18</f>
        <v/>
      </c>
      <c r="F20" s="11">
        <f>'res_raw_37561304'!$F$18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'balance_raw_37561304'!$B$2</f>
        <v/>
      </c>
      <c r="C23" s="8">
        <f>'balance_raw_37561304'!$C$2</f>
        <v/>
      </c>
      <c r="D23" s="8">
        <f>'balance_raw_37561304'!$D$2</f>
        <v/>
      </c>
      <c r="E23" s="8">
        <f>'balance_raw_37561304'!$E$2</f>
        <v/>
      </c>
      <c r="F23" s="8">
        <f>'balance_raw_37561304'!$F$2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'balance_raw_37561304'!$B$3</f>
        <v/>
      </c>
      <c r="C24" s="5">
        <f>'balance_raw_37561304'!$C$3</f>
        <v/>
      </c>
      <c r="D24" s="5">
        <f>'balance_raw_37561304'!$D$3</f>
        <v/>
      </c>
      <c r="E24" s="5">
        <f>'balance_raw_37561304'!$E$3</f>
        <v/>
      </c>
      <c r="F24" s="5">
        <f>'balance_raw_37561304'!$F$3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'balance_raw_37561304'!$B$4</f>
        <v/>
      </c>
      <c r="C25" s="8">
        <f>'balance_raw_37561304'!$C$4</f>
        <v/>
      </c>
      <c r="D25" s="8">
        <f>'balance_raw_37561304'!$D$4</f>
        <v/>
      </c>
      <c r="E25" s="8">
        <f>'balance_raw_37561304'!$E$4</f>
        <v/>
      </c>
      <c r="F25" s="8">
        <f>'balance_raw_37561304'!$F$4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'balance_raw_37561304'!$B$5</f>
        <v/>
      </c>
      <c r="C26" s="11">
        <f>'balance_raw_37561304'!$C$5</f>
        <v/>
      </c>
      <c r="D26" s="11">
        <f>'balance_raw_37561304'!$D$5</f>
        <v/>
      </c>
      <c r="E26" s="11">
        <f>'balance_raw_37561304'!$E$5</f>
        <v/>
      </c>
      <c r="F26" s="11">
        <f>'balance_raw_37561304'!$F$5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'balance_raw_37561304'!$B$6</f>
        <v/>
      </c>
      <c r="C27" s="8">
        <f>'balance_raw_37561304'!$C$6</f>
        <v/>
      </c>
      <c r="D27" s="8">
        <f>'balance_raw_37561304'!$D$6</f>
        <v/>
      </c>
      <c r="E27" s="8">
        <f>'balance_raw_37561304'!$E$6</f>
        <v/>
      </c>
      <c r="F27" s="8">
        <f>'balance_raw_37561304'!$F$6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'balance_raw_37561304'!$B$7</f>
        <v/>
      </c>
      <c r="C28" s="5">
        <f>'balance_raw_37561304'!$C$7</f>
        <v/>
      </c>
      <c r="D28" s="5">
        <f>'balance_raw_37561304'!$D$7</f>
        <v/>
      </c>
      <c r="E28" s="5">
        <f>'balance_raw_37561304'!$E$7</f>
        <v/>
      </c>
      <c r="F28" s="5">
        <f>'balance_raw_37561304'!$F$7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'balance_raw_37561304'!$B$8</f>
        <v/>
      </c>
      <c r="C29" s="8">
        <f>'balance_raw_37561304'!$C$8</f>
        <v/>
      </c>
      <c r="D29" s="8">
        <f>'balance_raw_37561304'!$D$8</f>
        <v/>
      </c>
      <c r="E29" s="8">
        <f>'balance_raw_37561304'!$E$8</f>
        <v/>
      </c>
      <c r="F29" s="8">
        <f>'balance_raw_37561304'!$F$8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'balance_raw_37561304'!$B$9</f>
        <v/>
      </c>
      <c r="C30" s="5">
        <f>'balance_raw_37561304'!$C$9</f>
        <v/>
      </c>
      <c r="D30" s="5">
        <f>'balance_raw_37561304'!$D$9</f>
        <v/>
      </c>
      <c r="E30" s="5">
        <f>'balance_raw_37561304'!$E$9</f>
        <v/>
      </c>
      <c r="F30" s="5">
        <f>'balance_raw_37561304'!$F$9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'balance_raw_37561304'!$B$10</f>
        <v/>
      </c>
      <c r="C31" s="8">
        <f>'balance_raw_37561304'!$C$10</f>
        <v/>
      </c>
      <c r="D31" s="8">
        <f>'balance_raw_37561304'!$D$10</f>
        <v/>
      </c>
      <c r="E31" s="8">
        <f>'balance_raw_37561304'!$E$10</f>
        <v/>
      </c>
      <c r="F31" s="8">
        <f>'balance_raw_37561304'!$F$10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'balance_raw_37561304'!$B$11</f>
        <v/>
      </c>
      <c r="C32" s="11">
        <f>'balance_raw_37561304'!$C$11</f>
        <v/>
      </c>
      <c r="D32" s="11">
        <f>'balance_raw_37561304'!$D$11</f>
        <v/>
      </c>
      <c r="E32" s="11">
        <f>'balance_raw_37561304'!$E$11</f>
        <v/>
      </c>
      <c r="F32" s="11">
        <f>'balance_raw_37561304'!$F$11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'balance_raw_37561304'!$B$12</f>
        <v/>
      </c>
      <c r="C33" s="8">
        <f>'balance_raw_37561304'!$C$12</f>
        <v/>
      </c>
      <c r="D33" s="8">
        <f>'balance_raw_37561304'!$D$12</f>
        <v/>
      </c>
      <c r="E33" s="8">
        <f>'balance_raw_37561304'!$E$12</f>
        <v/>
      </c>
      <c r="F33" s="8">
        <f>'balance_raw_37561304'!$F$12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'balance_raw_37561304'!$B$13</f>
        <v/>
      </c>
      <c r="C34" s="5">
        <f>'balance_raw_37561304'!$C$13</f>
        <v/>
      </c>
      <c r="D34" s="5">
        <f>'balance_raw_37561304'!$D$13</f>
        <v/>
      </c>
      <c r="E34" s="5">
        <f>'balance_raw_37561304'!$E$13</f>
        <v/>
      </c>
      <c r="F34" s="5">
        <f>'balance_raw_37561304'!$F$13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'balance_raw_37561304'!$B$14</f>
        <v/>
      </c>
      <c r="C35" s="11">
        <f>'balance_raw_37561304'!$C$14</f>
        <v/>
      </c>
      <c r="D35" s="11">
        <f>'balance_raw_37561304'!$D$14</f>
        <v/>
      </c>
      <c r="E35" s="11">
        <f>'balance_raw_37561304'!$E$14</f>
        <v/>
      </c>
      <c r="F35" s="11">
        <f>'balance_raw_37561304'!$F$14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'balance_raw_37561304'!$B$15</f>
        <v/>
      </c>
      <c r="C36" s="11">
        <f>'balance_raw_37561304'!$C$15</f>
        <v/>
      </c>
      <c r="D36" s="11">
        <f>'balance_raw_37561304'!$D$15</f>
        <v/>
      </c>
      <c r="E36" s="11">
        <f>'balance_raw_37561304'!$E$15</f>
        <v/>
      </c>
      <c r="F36" s="11">
        <f>'balance_raw_37561304'!$F$15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'balance_raw_37561304'!$B$16</f>
        <v/>
      </c>
      <c r="C37" s="8">
        <f>'balance_raw_37561304'!$C$16</f>
        <v/>
      </c>
      <c r="D37" s="8">
        <f>'balance_raw_37561304'!$D$16</f>
        <v/>
      </c>
      <c r="E37" s="8">
        <f>'balance_raw_37561304'!$E$16</f>
        <v/>
      </c>
      <c r="F37" s="8">
        <f>'balance_raw_37561304'!$F$16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'balance_raw_37561304'!$B$17</f>
        <v/>
      </c>
      <c r="C38" s="5">
        <f>'balance_raw_37561304'!$C$17</f>
        <v/>
      </c>
      <c r="D38" s="5">
        <f>'balance_raw_37561304'!$D$17</f>
        <v/>
      </c>
      <c r="E38" s="5">
        <f>'balance_raw_37561304'!$E$17</f>
        <v/>
      </c>
      <c r="F38" s="5">
        <f>'balance_raw_37561304'!$F$17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'balance_raw_37561304'!$B$18</f>
        <v/>
      </c>
      <c r="C39" s="8">
        <f>'balance_raw_37561304'!$C$18</f>
        <v/>
      </c>
      <c r="D39" s="8">
        <f>'balance_raw_37561304'!$D$18</f>
        <v/>
      </c>
      <c r="E39" s="8">
        <f>'balance_raw_37561304'!$E$18</f>
        <v/>
      </c>
      <c r="F39" s="8">
        <f>'balance_raw_37561304'!$F$18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'balance_raw_37561304'!$B$19</f>
        <v/>
      </c>
      <c r="C40" s="11">
        <f>'balance_raw_37561304'!$C$19</f>
        <v/>
      </c>
      <c r="D40" s="11">
        <f>'balance_raw_37561304'!$D$19</f>
        <v/>
      </c>
      <c r="E40" s="11">
        <f>'balance_raw_37561304'!$E$19</f>
        <v/>
      </c>
      <c r="F40" s="11">
        <f>'balance_raw_37561304'!$F$19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'balance_raw_37561304'!$B$20</f>
        <v/>
      </c>
      <c r="C41" s="8">
        <f>'balance_raw_37561304'!$C$20</f>
        <v/>
      </c>
      <c r="D41" s="8">
        <f>'balance_raw_37561304'!$D$20</f>
        <v/>
      </c>
      <c r="E41" s="8">
        <f>'balance_raw_37561304'!$E$20</f>
        <v/>
      </c>
      <c r="F41" s="8">
        <f>'balance_raw_37561304'!$F$20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'balance_raw_37561304'!$B$21</f>
        <v/>
      </c>
      <c r="C42" s="5">
        <f>'balance_raw_37561304'!$C$21</f>
        <v/>
      </c>
      <c r="D42" s="5">
        <f>'balance_raw_37561304'!$D$21</f>
        <v/>
      </c>
      <c r="E42" s="5">
        <f>'balance_raw_37561304'!$E$21</f>
        <v/>
      </c>
      <c r="F42" s="5">
        <f>'balance_raw_37561304'!$F$21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'balance_raw_37561304'!$B$22</f>
        <v/>
      </c>
      <c r="C43" s="8">
        <f>'balance_raw_37561304'!$C$22</f>
        <v/>
      </c>
      <c r="D43" s="8">
        <f>'balance_raw_37561304'!$D$22</f>
        <v/>
      </c>
      <c r="E43" s="8">
        <f>'balance_raw_37561304'!$E$22</f>
        <v/>
      </c>
      <c r="F43" s="8">
        <f>'balance_raw_37561304'!$F$22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'balance_raw_37561304'!$B$23</f>
        <v/>
      </c>
      <c r="C44" s="5">
        <f>'balance_raw_37561304'!$C$23</f>
        <v/>
      </c>
      <c r="D44" s="5">
        <f>'balance_raw_37561304'!$D$23</f>
        <v/>
      </c>
      <c r="E44" s="5">
        <f>'balance_raw_37561304'!$E$23</f>
        <v/>
      </c>
      <c r="F44" s="5">
        <f>'balance_raw_37561304'!$F$23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'balance_raw_37561304'!$B$24</f>
        <v/>
      </c>
      <c r="C45" s="8">
        <f>'balance_raw_37561304'!$C$24</f>
        <v/>
      </c>
      <c r="D45" s="8">
        <f>'balance_raw_37561304'!$D$24</f>
        <v/>
      </c>
      <c r="E45" s="8">
        <f>'balance_raw_37561304'!$E$24</f>
        <v/>
      </c>
      <c r="F45" s="8">
        <f>'balance_raw_37561304'!$F$24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'balance_raw_37561304'!$B$25</f>
        <v/>
      </c>
      <c r="C46" s="5">
        <f>'balance_raw_37561304'!$C$25</f>
        <v/>
      </c>
      <c r="D46" s="5">
        <f>'balance_raw_37561304'!$D$25</f>
        <v/>
      </c>
      <c r="E46" s="5">
        <f>'balance_raw_37561304'!$E$25</f>
        <v/>
      </c>
      <c r="F46" s="5">
        <f>'balance_raw_37561304'!$F$25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'balance_raw_37561304'!$B$26</f>
        <v/>
      </c>
      <c r="C47" s="8">
        <f>'balance_raw_37561304'!$C$26</f>
        <v/>
      </c>
      <c r="D47" s="8">
        <f>'balance_raw_37561304'!$D$26</f>
        <v/>
      </c>
      <c r="E47" s="8">
        <f>'balance_raw_37561304'!$E$26</f>
        <v/>
      </c>
      <c r="F47" s="8">
        <f>'balance_raw_37561304'!$F$26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'balance_raw_37561304'!$B$27</f>
        <v/>
      </c>
      <c r="C48" s="11">
        <f>'balance_raw_37561304'!$C$27</f>
        <v/>
      </c>
      <c r="D48" s="11">
        <f>'balance_raw_37561304'!$D$27</f>
        <v/>
      </c>
      <c r="E48" s="11">
        <f>'balance_raw_37561304'!$E$27</f>
        <v/>
      </c>
      <c r="F48" s="11">
        <f>'balance_raw_37561304'!$F$27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'balance_raw_37561304'!$B$28</f>
        <v/>
      </c>
      <c r="C49" s="8">
        <f>'balance_raw_37561304'!$C$28</f>
        <v/>
      </c>
      <c r="D49" s="8">
        <f>'balance_raw_37561304'!$D$28</f>
        <v/>
      </c>
      <c r="E49" s="8">
        <f>'balance_raw_37561304'!$E$28</f>
        <v/>
      </c>
      <c r="F49" s="8">
        <f>'balance_raw_37561304'!$F$28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'balance_raw_37561304'!$B$29</f>
        <v/>
      </c>
      <c r="C50" s="5">
        <f>'balance_raw_37561304'!$C$29</f>
        <v/>
      </c>
      <c r="D50" s="5">
        <f>'balance_raw_37561304'!$D$29</f>
        <v/>
      </c>
      <c r="E50" s="5">
        <f>'balance_raw_37561304'!$E$29</f>
        <v/>
      </c>
      <c r="F50" s="5">
        <f>'balance_raw_37561304'!$F$29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'balance_raw_37561304'!$B$30</f>
        <v/>
      </c>
      <c r="C51" s="11">
        <f>'balance_raw_37561304'!$C$30</f>
        <v/>
      </c>
      <c r="D51" s="11">
        <f>'balance_raw_37561304'!$D$30</f>
        <v/>
      </c>
      <c r="E51" s="11">
        <f>'balance_raw_37561304'!$E$30</f>
        <v/>
      </c>
      <c r="F51" s="11">
        <f>'balance_raw_37561304'!$F$30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'balance_raw_37561304'!$B$31</f>
        <v/>
      </c>
      <c r="C52" s="11">
        <f>'balance_raw_37561304'!$C$31</f>
        <v/>
      </c>
      <c r="D52" s="11">
        <f>'balance_raw_37561304'!$D$31</f>
        <v/>
      </c>
      <c r="E52" s="11">
        <f>'balance_raw_37561304'!$E$31</f>
        <v/>
      </c>
      <c r="F52" s="11">
        <f>'balance_raw_37561304'!$F$31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'balance_raw_37561304'!$B$32</f>
        <v/>
      </c>
      <c r="C55" s="8">
        <f>'balance_raw_37561304'!$C$32</f>
        <v/>
      </c>
      <c r="D55" s="8">
        <f>'balance_raw_37561304'!$D$32</f>
        <v/>
      </c>
      <c r="E55" s="8">
        <f>'balance_raw_37561304'!$E$32</f>
        <v/>
      </c>
      <c r="F55" s="8">
        <f>'balance_raw_37561304'!$F$32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'balance_raw_37561304'!$B$33</f>
        <v/>
      </c>
      <c r="C56" s="5">
        <f>'balance_raw_37561304'!$C$33</f>
        <v/>
      </c>
      <c r="D56" s="5">
        <f>'balance_raw_37561304'!$D$33</f>
        <v/>
      </c>
      <c r="E56" s="5">
        <f>'balance_raw_37561304'!$E$33</f>
        <v/>
      </c>
      <c r="F56" s="5">
        <f>'balance_raw_37561304'!$F$33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'balance_raw_37561304'!$B$34</f>
        <v/>
      </c>
      <c r="C57" s="8">
        <f>'balance_raw_37561304'!$C$34</f>
        <v/>
      </c>
      <c r="D57" s="8">
        <f>'balance_raw_37561304'!$D$34</f>
        <v/>
      </c>
      <c r="E57" s="8">
        <f>'balance_raw_37561304'!$E$34</f>
        <v/>
      </c>
      <c r="F57" s="8">
        <f>'balance_raw_37561304'!$F$34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'balance_raw_37561304'!$B$35</f>
        <v/>
      </c>
      <c r="C58" s="5">
        <f>'balance_raw_37561304'!$C$35</f>
        <v/>
      </c>
      <c r="D58" s="5">
        <f>'balance_raw_37561304'!$D$35</f>
        <v/>
      </c>
      <c r="E58" s="5">
        <f>'balance_raw_37561304'!$E$35</f>
        <v/>
      </c>
      <c r="F58" s="5">
        <f>'balance_raw_37561304'!$F$35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'balance_raw_37561304'!$B$36</f>
        <v/>
      </c>
      <c r="C59" s="8">
        <f>'balance_raw_37561304'!$C$36</f>
        <v/>
      </c>
      <c r="D59" s="8">
        <f>'balance_raw_37561304'!$D$36</f>
        <v/>
      </c>
      <c r="E59" s="8">
        <f>'balance_raw_37561304'!$E$36</f>
        <v/>
      </c>
      <c r="F59" s="8">
        <f>'balance_raw_37561304'!$F$36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'balance_raw_37561304'!$B$37</f>
        <v/>
      </c>
      <c r="C60" s="5">
        <f>'balance_raw_37561304'!$C$37</f>
        <v/>
      </c>
      <c r="D60" s="5">
        <f>'balance_raw_37561304'!$D$37</f>
        <v/>
      </c>
      <c r="E60" s="5">
        <f>'balance_raw_37561304'!$E$37</f>
        <v/>
      </c>
      <c r="F60" s="5">
        <f>'balance_raw_37561304'!$F$37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'balance_raw_37561304'!$B$38</f>
        <v/>
      </c>
      <c r="C61" s="11">
        <f>'balance_raw_37561304'!$C$38</f>
        <v/>
      </c>
      <c r="D61" s="11">
        <f>'balance_raw_37561304'!$D$38</f>
        <v/>
      </c>
      <c r="E61" s="11">
        <f>'balance_raw_37561304'!$E$38</f>
        <v/>
      </c>
      <c r="F61" s="11">
        <f>'balance_raw_37561304'!$F$38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'balance_raw_37561304'!$B$39</f>
        <v/>
      </c>
      <c r="C62" s="5">
        <f>'balance_raw_37561304'!$C$39</f>
        <v/>
      </c>
      <c r="D62" s="5">
        <f>'balance_raw_37561304'!$D$39</f>
        <v/>
      </c>
      <c r="E62" s="5">
        <f>'balance_raw_37561304'!$E$39</f>
        <v/>
      </c>
      <c r="F62" s="5">
        <f>'balance_raw_37561304'!$F$39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'balance_raw_37561304'!$B$40</f>
        <v/>
      </c>
      <c r="C63" s="8">
        <f>'balance_raw_37561304'!$C$40</f>
        <v/>
      </c>
      <c r="D63" s="8">
        <f>'balance_raw_37561304'!$D$40</f>
        <v/>
      </c>
      <c r="E63" s="8">
        <f>'balance_raw_37561304'!$E$40</f>
        <v/>
      </c>
      <c r="F63" s="8">
        <f>'balance_raw_37561304'!$F$40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'balance_raw_37561304'!$B$41</f>
        <v/>
      </c>
      <c r="C64" s="5">
        <f>'balance_raw_37561304'!$C$41</f>
        <v/>
      </c>
      <c r="D64" s="5">
        <f>'balance_raw_37561304'!$D$41</f>
        <v/>
      </c>
      <c r="E64" s="5">
        <f>'balance_raw_37561304'!$E$41</f>
        <v/>
      </c>
      <c r="F64" s="5">
        <f>'balance_raw_37561304'!$F$41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'balance_raw_37561304'!$B$42</f>
        <v/>
      </c>
      <c r="C65" s="8">
        <f>'balance_raw_37561304'!$C$42</f>
        <v/>
      </c>
      <c r="D65" s="8">
        <f>'balance_raw_37561304'!$D$42</f>
        <v/>
      </c>
      <c r="E65" s="8">
        <f>'balance_raw_37561304'!$E$42</f>
        <v/>
      </c>
      <c r="F65" s="8">
        <f>'balance_raw_37561304'!$F$42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'balance_raw_37561304'!$B$43</f>
        <v/>
      </c>
      <c r="C66" s="5">
        <f>'balance_raw_37561304'!$C$43</f>
        <v/>
      </c>
      <c r="D66" s="5">
        <f>'balance_raw_37561304'!$D$43</f>
        <v/>
      </c>
      <c r="E66" s="5">
        <f>'balance_raw_37561304'!$E$43</f>
        <v/>
      </c>
      <c r="F66" s="5">
        <f>'balance_raw_37561304'!$F$43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'balance_raw_37561304'!$B$44</f>
        <v/>
      </c>
      <c r="C67" s="8">
        <f>'balance_raw_37561304'!$C$44</f>
        <v/>
      </c>
      <c r="D67" s="8">
        <f>'balance_raw_37561304'!$D$44</f>
        <v/>
      </c>
      <c r="E67" s="8">
        <f>'balance_raw_37561304'!$E$44</f>
        <v/>
      </c>
      <c r="F67" s="8">
        <f>'balance_raw_37561304'!$F$44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'balance_raw_37561304'!$B$45</f>
        <v/>
      </c>
      <c r="C68" s="5">
        <f>'balance_raw_37561304'!$C$45</f>
        <v/>
      </c>
      <c r="D68" s="5">
        <f>'balance_raw_37561304'!$D$45</f>
        <v/>
      </c>
      <c r="E68" s="5">
        <f>'balance_raw_37561304'!$E$45</f>
        <v/>
      </c>
      <c r="F68" s="5">
        <f>'balance_raw_37561304'!$F$45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'balance_raw_37561304'!$B$46</f>
        <v/>
      </c>
      <c r="C69" s="8">
        <f>'balance_raw_37561304'!$C$46</f>
        <v/>
      </c>
      <c r="D69" s="8">
        <f>'balance_raw_37561304'!$D$46</f>
        <v/>
      </c>
      <c r="E69" s="8">
        <f>'balance_raw_37561304'!$E$46</f>
        <v/>
      </c>
      <c r="F69" s="8">
        <f>'balance_raw_37561304'!$F$46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'balance_raw_37561304'!$B$47</f>
        <v/>
      </c>
      <c r="C70" s="5">
        <f>'balance_raw_37561304'!$C$47</f>
        <v/>
      </c>
      <c r="D70" s="5">
        <f>'balance_raw_37561304'!$D$47</f>
        <v/>
      </c>
      <c r="E70" s="5">
        <f>'balance_raw_37561304'!$E$47</f>
        <v/>
      </c>
      <c r="F70" s="5">
        <f>'balance_raw_37561304'!$F$47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'balance_raw_37561304'!$B$48</f>
        <v/>
      </c>
      <c r="C71" s="8">
        <f>'balance_raw_37561304'!$C$48</f>
        <v/>
      </c>
      <c r="D71" s="8">
        <f>'balance_raw_37561304'!$D$48</f>
        <v/>
      </c>
      <c r="E71" s="8">
        <f>'balance_raw_37561304'!$E$48</f>
        <v/>
      </c>
      <c r="F71" s="8">
        <f>'balance_raw_37561304'!$F$48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'balance_raw_37561304'!$B$49</f>
        <v/>
      </c>
      <c r="C72" s="5">
        <f>'balance_raw_37561304'!$C$49</f>
        <v/>
      </c>
      <c r="D72" s="5">
        <f>'balance_raw_37561304'!$D$49</f>
        <v/>
      </c>
      <c r="E72" s="5">
        <f>'balance_raw_37561304'!$E$49</f>
        <v/>
      </c>
      <c r="F72" s="5">
        <f>'balance_raw_37561304'!$F$49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'balance_raw_37561304'!$B$50</f>
        <v/>
      </c>
      <c r="C73" s="11">
        <f>'balance_raw_37561304'!$C$50</f>
        <v/>
      </c>
      <c r="D73" s="11">
        <f>'balance_raw_37561304'!$D$50</f>
        <v/>
      </c>
      <c r="E73" s="11">
        <f>'balance_raw_37561304'!$E$50</f>
        <v/>
      </c>
      <c r="F73" s="11">
        <f>'balance_raw_37561304'!$F$50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'balance_raw_37561304'!$B$51</f>
        <v/>
      </c>
      <c r="C74" s="11">
        <f>'balance_raw_37561304'!$C$51</f>
        <v/>
      </c>
      <c r="D74" s="11">
        <f>'balance_raw_37561304'!$D$51</f>
        <v/>
      </c>
      <c r="E74" s="11">
        <f>'balance_raw_37561304'!$E$51</f>
        <v/>
      </c>
      <c r="F74" s="11">
        <f>'balance_raw_37561304'!$F$51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'balance_raw_37561304'!$B$52</f>
        <v/>
      </c>
      <c r="C75" s="11">
        <f>'balance_raw_37561304'!$C$52</f>
        <v/>
      </c>
      <c r="D75" s="11">
        <f>'balance_raw_37561304'!$D$52</f>
        <v/>
      </c>
      <c r="E75" s="11">
        <f>'balance_raw_37561304'!$E$52</f>
        <v/>
      </c>
      <c r="F75" s="11">
        <f>'balance_raw_37561304'!$F$52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'res_raw_37561304'!$B$19</f>
        <v/>
      </c>
      <c r="C78" s="5">
        <f>'res_raw_37561304'!$C$19</f>
        <v/>
      </c>
      <c r="D78" s="5">
        <f>'res_raw_37561304'!$D$19</f>
        <v/>
      </c>
      <c r="E78" s="5">
        <f>'res_raw_37561304'!$E$19</f>
        <v/>
      </c>
      <c r="F78" s="5">
        <f>'res_raw_37561304'!$F$19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'res_raw_37561304'!$B$20</f>
        <v/>
      </c>
      <c r="C79" s="8">
        <f>'res_raw_37561304'!$C$20</f>
        <v/>
      </c>
      <c r="D79" s="8">
        <f>'res_raw_37561304'!$D$20</f>
        <v/>
      </c>
      <c r="E79" s="8">
        <f>'res_raw_37561304'!$E$20</f>
        <v/>
      </c>
      <c r="F79" s="8">
        <f>'res_raw_37561304'!$F$20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IFERROR(($B$13+$B$15+$B$14)/$B$52*100,"")</f>
        <v/>
      </c>
      <c r="C82" s="13">
        <f>IFERROR(($C$13+$C$15+$C$14)/$C$52*100,"")</f>
        <v/>
      </c>
      <c r="D82" s="13">
        <f>IFERROR(($D$13+$D$15+$D$14)/$D$52*100,"")</f>
        <v/>
      </c>
      <c r="E82" s="13">
        <f>IFERROR(($E$13+$E$15+$E$14)/$E$52*100,"")</f>
        <v/>
      </c>
      <c r="F82" s="13">
        <f>IFERROR(($F$13+$F$15+$F$14)/$F$52*100,"")</f>
        <v/>
      </c>
    </row>
    <row r="83" ht="16" customHeight="1">
      <c r="A83" s="7" t="inlineStr">
        <is>
          <t>Overskudsgrad, %</t>
        </is>
      </c>
      <c r="B83" s="14">
        <f>IFERROR(($B$13+$B$15+$B$14)/$B$4*100,"")</f>
        <v/>
      </c>
      <c r="C83" s="14">
        <f>IFERROR(($C$13+$C$15+$C$14)/$C$4*100,"")</f>
        <v/>
      </c>
      <c r="D83" s="14">
        <f>IFERROR(($D$13+$D$15+$D$14)/$D$4*100,"")</f>
        <v/>
      </c>
      <c r="E83" s="14">
        <f>IFERROR(($E$13+$E$15+$E$14)/$E$4*100,"")</f>
        <v/>
      </c>
      <c r="F83" s="14">
        <f>IFERROR(($F$13+$F$15+$F$14)/$F$4*100,"")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IFERROR($B$4/$B$52,"")</f>
        <v/>
      </c>
      <c r="C84" s="13">
        <f>IFERROR($C$4/$C$52,"")</f>
        <v/>
      </c>
      <c r="D84" s="13">
        <f>IFERROR($D$4/$D$52,"")</f>
        <v/>
      </c>
      <c r="E84" s="13">
        <f>IFERROR($E$4/$E$52,"")</f>
        <v/>
      </c>
      <c r="F84" s="13">
        <f>IFERROR($F$4/$F$52,"")</f>
        <v/>
      </c>
    </row>
    <row r="85" ht="16" customHeight="1">
      <c r="A85" s="7" t="inlineStr">
        <is>
          <t>Egenkapitalens forrentning, %</t>
        </is>
      </c>
      <c r="B85" s="14">
        <f>IFERROR($B$18/$B$61*100,"")</f>
        <v/>
      </c>
      <c r="C85" s="14">
        <f>IFERROR($C$18/$C$61*100,"")</f>
        <v/>
      </c>
      <c r="D85" s="14">
        <f>IFERROR($D$18/$D$61*100,"")</f>
        <v/>
      </c>
      <c r="E85" s="14">
        <f>IFERROR($E$18/$E$61*100,"")</f>
        <v/>
      </c>
      <c r="F85" s="14">
        <f>IFERROR($F$18/$F$61*100,"")</f>
        <v/>
      </c>
    </row>
    <row r="86" ht="16" customHeight="1">
      <c r="A86" s="4" t="inlineStr">
        <is>
          <t>Gældsrente, %</t>
        </is>
      </c>
      <c r="B86" s="13">
        <f>IFERROR($B$16/($B$75-$B$61)*100,"")</f>
        <v/>
      </c>
      <c r="C86" s="13">
        <f>IFERROR($C$16/($C$75-$C$61)*100,"")</f>
        <v/>
      </c>
      <c r="D86" s="13">
        <f>IFERROR($D$16/($D$75-$D$61)*100,"")</f>
        <v/>
      </c>
      <c r="E86" s="13">
        <f>IFERROR($E$16/($E$75-$E$61)*100,"")</f>
        <v/>
      </c>
      <c r="F86" s="13">
        <f>IFERROR($F$16/($F$75-$F$61)*100,"")</f>
        <v/>
      </c>
    </row>
    <row r="87" ht="16" customHeight="1">
      <c r="A87" s="7" t="inlineStr">
        <is>
          <t>Soliditetsgrad, %</t>
        </is>
      </c>
      <c r="B87" s="14">
        <f>IFERROR($B$61/$B$52*100,"")</f>
        <v/>
      </c>
      <c r="C87" s="14">
        <f>IFERROR($C$61/$C$52*100,"")</f>
        <v/>
      </c>
      <c r="D87" s="14">
        <f>IFERROR($D$61/$D$52*100,"")</f>
        <v/>
      </c>
      <c r="E87" s="14">
        <f>IFERROR($E$61/$E$52*100,"")</f>
        <v/>
      </c>
      <c r="F87" s="14">
        <f>IFERROR($F$61/$F$52*100,"")</f>
        <v/>
      </c>
    </row>
    <row r="88" ht="16" customHeight="1">
      <c r="A88" s="4" t="inlineStr">
        <is>
          <t>Gearing</t>
        </is>
      </c>
      <c r="B88" s="13">
        <f>IFERROR(($B$75-$B$61)/$B$61,"")</f>
        <v/>
      </c>
      <c r="C88" s="13">
        <f>IFERROR(($C$75-$C$61)/$C$61,"")</f>
        <v/>
      </c>
      <c r="D88" s="13">
        <f>IFERROR(($D$75-$D$61)/$D$61,"")</f>
        <v/>
      </c>
      <c r="E88" s="13">
        <f>IFERROR(($E$75-$E$61)/$E$61,"")</f>
        <v/>
      </c>
      <c r="F88" s="13">
        <f>IFERROR(($F$75-$F$61)/$F$61,"")</f>
        <v/>
      </c>
    </row>
    <row r="89" ht="16" customHeight="1">
      <c r="A89" s="7" t="inlineStr">
        <is>
          <t>Likviditetsgrad, %</t>
        </is>
      </c>
      <c r="B89" s="14">
        <f>IFERROR($B$51/$B$73*100,"")</f>
        <v/>
      </c>
      <c r="C89" s="14">
        <f>IFERROR($C$51/$C$73*100,"")</f>
        <v/>
      </c>
      <c r="D89" s="14">
        <f>IFERROR($D$51/$D$73*100,"")</f>
        <v/>
      </c>
      <c r="E89" s="14">
        <f>IFERROR($E$51/$E$73*100,"")</f>
        <v/>
      </c>
      <c r="F89" s="14">
        <f>IFERROR($F$51/$F$73*100,"")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IFERROR(($B$75-$B$61)/$B$52*100,"")</f>
        <v/>
      </c>
      <c r="C91" s="14">
        <f>IFERROR(($C$75-$C$61)/$C$52*100,"")</f>
        <v/>
      </c>
      <c r="D91" s="14">
        <f>IFERROR(($D$75-$D$61)/$D$52*100,"")</f>
        <v/>
      </c>
      <c r="E91" s="14">
        <f>IFERROR(($E$75-$E$61)/$E$52*100,"")</f>
        <v/>
      </c>
      <c r="F91" s="14">
        <f>IFERROR(($F$75-$F$61)/$F$52*100,"")</f>
        <v/>
      </c>
    </row>
    <row r="92" ht="16" customHeight="1">
      <c r="A92" s="4" t="inlineStr">
        <is>
          <t>Kapitalbindingsgrad, %</t>
        </is>
      </c>
      <c r="B92" s="13">
        <f>IFERROR($B$36/($B$61+0)*100,"")</f>
        <v/>
      </c>
      <c r="C92" s="13">
        <f>IFERROR($C$36/($C$61+0)*100,"")</f>
        <v/>
      </c>
      <c r="D92" s="13">
        <f>IFERROR($D$36/($D$61+0)*100,"")</f>
        <v/>
      </c>
      <c r="E92" s="13">
        <f>IFERROR($E$36/($E$61+0)*100,"")</f>
        <v/>
      </c>
      <c r="F92" s="13">
        <f>IFERROR($F$36/($F$61+0)*100,"")</f>
        <v/>
      </c>
    </row>
    <row r="94">
      <c r="A94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Too Good To Go ApS (CVR 37561304)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449043</v>
      </c>
      <c r="C2" s="16" t="n">
        <v>496193</v>
      </c>
      <c r="D2" s="16" t="n">
        <v>544985</v>
      </c>
      <c r="E2" s="16" t="n">
        <v>725446</v>
      </c>
      <c r="F2" s="16" t="n">
        <v>839709</v>
      </c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>
        <v>2914</v>
      </c>
      <c r="C4" s="16" t="n">
        <v>4501</v>
      </c>
      <c r="D4" s="16" t="n">
        <v>17449</v>
      </c>
      <c r="E4" s="16" t="n">
        <v>16267</v>
      </c>
      <c r="F4" s="16" t="n">
        <v>16114</v>
      </c>
    </row>
    <row r="5">
      <c r="A5" s="15" t="inlineStr">
        <is>
          <t>Andre eksterne omkostninger</t>
        </is>
      </c>
      <c r="B5" s="16" t="n">
        <v>686327</v>
      </c>
      <c r="C5" s="16" t="n">
        <v>550314</v>
      </c>
      <c r="D5" s="16" t="n">
        <v>386460</v>
      </c>
      <c r="E5" s="16" t="n">
        <v>525009</v>
      </c>
      <c r="F5" s="16" t="n">
        <v>612790</v>
      </c>
    </row>
    <row r="6">
      <c r="A6" s="17" t="inlineStr">
        <is>
          <t>Bruttoresultat</t>
        </is>
      </c>
      <c r="B6" s="16" t="n">
        <v>-229021</v>
      </c>
      <c r="C6" s="16" t="n">
        <v>-40436</v>
      </c>
      <c r="D6" s="16" t="n">
        <v>171316</v>
      </c>
      <c r="E6" s="16" t="n">
        <v>231702</v>
      </c>
      <c r="F6" s="16" t="n">
        <v>256001</v>
      </c>
    </row>
    <row r="7">
      <c r="A7" s="15" t="inlineStr">
        <is>
          <t>Personaleomkostninger</t>
        </is>
      </c>
      <c r="B7" s="16" t="n">
        <v>111597</v>
      </c>
      <c r="C7" s="16" t="n">
        <v>152831</v>
      </c>
      <c r="D7" s="16" t="n">
        <v>149152</v>
      </c>
      <c r="E7" s="16" t="n">
        <v>213981</v>
      </c>
      <c r="F7" s="16" t="n">
        <v>268271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12380</v>
      </c>
      <c r="C9" s="16" t="n">
        <v>13213</v>
      </c>
      <c r="D9" s="16" t="n">
        <v>17197</v>
      </c>
      <c r="E9" s="16" t="n">
        <v>18048</v>
      </c>
      <c r="F9" s="16" t="n">
        <v>36362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-352998</v>
      </c>
      <c r="C11" s="16" t="n">
        <v>-206480</v>
      </c>
      <c r="D11" s="16" t="n">
        <v>4967</v>
      </c>
      <c r="E11" s="16" t="n">
        <v>-327</v>
      </c>
      <c r="F11" s="16" t="n">
        <v>-48632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4099</v>
      </c>
      <c r="C13" s="16" t="n">
        <v>3653</v>
      </c>
      <c r="D13" s="16" t="n">
        <v>11579</v>
      </c>
      <c r="E13" s="16" t="n">
        <v>10726</v>
      </c>
      <c r="F13" s="16" t="n">
        <v>12361</v>
      </c>
    </row>
    <row r="14">
      <c r="A14" s="15" t="inlineStr">
        <is>
          <t>Finansielle omkostninger</t>
        </is>
      </c>
      <c r="B14" s="16" t="n">
        <v>354</v>
      </c>
      <c r="C14" s="16" t="n">
        <v>6707</v>
      </c>
      <c r="D14" s="16" t="n">
        <v>775</v>
      </c>
      <c r="E14" s="16" t="n">
        <v>778</v>
      </c>
      <c r="F14" s="16" t="n">
        <v>245</v>
      </c>
    </row>
    <row r="15">
      <c r="A15" s="17" t="inlineStr">
        <is>
          <t>Finansielle poster, netto</t>
        </is>
      </c>
      <c r="B15" s="16" t="n">
        <v>3745</v>
      </c>
      <c r="C15" s="16" t="n">
        <v>-3054</v>
      </c>
      <c r="D15" s="16" t="n">
        <v>10804</v>
      </c>
      <c r="E15" s="16" t="n">
        <v>9948</v>
      </c>
      <c r="F15" s="16" t="n">
        <v>12116</v>
      </c>
    </row>
    <row r="16">
      <c r="A16" s="17" t="inlineStr">
        <is>
          <t>Resultat før skat</t>
        </is>
      </c>
      <c r="B16" s="16" t="n">
        <v>-349253</v>
      </c>
      <c r="C16" s="16" t="n">
        <v>-209534</v>
      </c>
      <c r="D16" s="16" t="n">
        <v>15771</v>
      </c>
      <c r="E16" s="16" t="n">
        <v>9621</v>
      </c>
      <c r="F16" s="16" t="n">
        <v>-36516</v>
      </c>
    </row>
    <row r="17">
      <c r="A17" s="15" t="inlineStr">
        <is>
          <t>Skat af årets resultat</t>
        </is>
      </c>
      <c r="B17" s="16" t="n">
        <v>-1912</v>
      </c>
      <c r="C17" s="16" t="n">
        <v>-35320</v>
      </c>
      <c r="D17" s="16" t="n">
        <v>55</v>
      </c>
      <c r="E17" s="16" t="n">
        <v>-11</v>
      </c>
      <c r="F17" s="16" t="n">
        <v>-144</v>
      </c>
    </row>
    <row r="18">
      <c r="A18" s="17" t="inlineStr">
        <is>
          <t>Årets resultat</t>
        </is>
      </c>
      <c r="B18" s="16" t="n">
        <v>-347341</v>
      </c>
      <c r="C18" s="16" t="n">
        <v>-174214</v>
      </c>
      <c r="D18" s="16" t="n">
        <v>15716</v>
      </c>
      <c r="E18" s="16" t="n">
        <v>9632</v>
      </c>
      <c r="F18" s="16" t="n">
        <v>-36372</v>
      </c>
    </row>
    <row r="19">
      <c r="A19" s="15" t="inlineStr">
        <is>
          <t>Gns. antal medarbejdere</t>
        </is>
      </c>
      <c r="B19" s="16" t="n">
        <v>186</v>
      </c>
      <c r="C19" s="16" t="n">
        <v>216</v>
      </c>
      <c r="D19" s="16" t="n">
        <v>196</v>
      </c>
      <c r="E19" s="16" t="n">
        <v>262</v>
      </c>
      <c r="F19" s="16" t="n">
        <v>302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Too Good To Go ApS (CVR 37561304)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16681</v>
      </c>
      <c r="C2" s="16" t="n">
        <v>16629</v>
      </c>
      <c r="D2" s="16" t="n">
        <v>20022</v>
      </c>
      <c r="E2" s="16" t="n">
        <v>57706</v>
      </c>
      <c r="F2" s="16" t="n">
        <v>67628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19660</v>
      </c>
      <c r="C5" s="16" t="n">
        <v>41262</v>
      </c>
      <c r="D5" s="16" t="n">
        <v>52080</v>
      </c>
      <c r="E5" s="16" t="n">
        <v>83586</v>
      </c>
      <c r="F5" s="16" t="n">
        <v>120172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1143</v>
      </c>
      <c r="C8" s="16" t="n">
        <v>1332</v>
      </c>
      <c r="D8" s="16" t="n">
        <v>910</v>
      </c>
      <c r="E8" s="16" t="n">
        <v>339</v>
      </c>
      <c r="F8" s="16" t="n">
        <v>388</v>
      </c>
    </row>
    <row r="9">
      <c r="A9" s="15" t="inlineStr">
        <is>
          <t>Indretning af lejede lokaler</t>
        </is>
      </c>
      <c r="B9" s="16" t="n">
        <v>693</v>
      </c>
      <c r="C9" s="16" t="n">
        <v>570</v>
      </c>
      <c r="D9" s="16" t="n">
        <v>444</v>
      </c>
      <c r="E9" s="16" t="n">
        <v>656</v>
      </c>
      <c r="F9" s="16" t="n">
        <v>398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1836</v>
      </c>
      <c r="C11" s="16" t="n">
        <v>1902</v>
      </c>
      <c r="D11" s="16" t="n">
        <v>1354</v>
      </c>
      <c r="E11" s="16" t="n">
        <v>995</v>
      </c>
      <c r="F11" s="16" t="n">
        <v>786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2492</v>
      </c>
      <c r="C13" s="16" t="n">
        <v>3113</v>
      </c>
      <c r="D13" s="16" t="n">
        <v>4447</v>
      </c>
      <c r="E13" s="16" t="n">
        <v>5293</v>
      </c>
      <c r="F13" s="16" t="n">
        <v>5465</v>
      </c>
    </row>
    <row r="14">
      <c r="A14" s="17" t="inlineStr">
        <is>
          <t>Finansielle anlægsaktiver</t>
        </is>
      </c>
      <c r="B14" s="16" t="n">
        <v>2492</v>
      </c>
      <c r="C14" s="16" t="n">
        <v>38913</v>
      </c>
      <c r="D14" s="16" t="n">
        <v>40247</v>
      </c>
      <c r="E14" s="16" t="n">
        <v>41104</v>
      </c>
      <c r="F14" s="16" t="n">
        <v>41276</v>
      </c>
    </row>
    <row r="15">
      <c r="A15" s="17" t="inlineStr">
        <is>
          <t>Anlægsaktiver</t>
        </is>
      </c>
      <c r="B15" s="16" t="n">
        <v>23988</v>
      </c>
      <c r="C15" s="16" t="n">
        <v>82077</v>
      </c>
      <c r="D15" s="16" t="n">
        <v>93681</v>
      </c>
      <c r="E15" s="16" t="n">
        <v>125685</v>
      </c>
      <c r="F15" s="16" t="n">
        <v>162234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744</v>
      </c>
      <c r="C18" s="16" t="n">
        <v>935</v>
      </c>
      <c r="D18" s="16" t="n">
        <v>2051</v>
      </c>
      <c r="E18" s="16" t="n">
        <v>2928</v>
      </c>
      <c r="F18" s="16" t="n">
        <v>2788</v>
      </c>
    </row>
    <row r="19">
      <c r="A19" s="17" t="inlineStr">
        <is>
          <t>Varebeholdninger</t>
        </is>
      </c>
      <c r="B19" s="16" t="n">
        <v>744</v>
      </c>
      <c r="C19" s="16" t="n">
        <v>935</v>
      </c>
      <c r="D19" s="16" t="n">
        <v>2051</v>
      </c>
      <c r="E19" s="16" t="n">
        <v>2928</v>
      </c>
      <c r="F19" s="16" t="n">
        <v>2788</v>
      </c>
    </row>
    <row r="20">
      <c r="A20" s="15" t="inlineStr">
        <is>
          <t>Tilgodehavender fra salg og tjenesteydelser</t>
        </is>
      </c>
      <c r="B20" s="16" t="n">
        <v>12386</v>
      </c>
      <c r="C20" s="16" t="n">
        <v>1033</v>
      </c>
      <c r="D20" s="16" t="n">
        <v>1371</v>
      </c>
      <c r="E20" s="16" t="n">
        <v>6980</v>
      </c>
      <c r="F20" s="16" t="n">
        <v>7176</v>
      </c>
    </row>
    <row r="21">
      <c r="A21" s="15" t="inlineStr">
        <is>
          <t>Tilgodehavender hos tilknyttede virksomheder</t>
        </is>
      </c>
      <c r="B21" s="16" t="n">
        <v>127307</v>
      </c>
      <c r="C21" s="16" t="n">
        <v>16802</v>
      </c>
      <c r="D21" s="16" t="n">
        <v>0</v>
      </c>
      <c r="E21" s="16" t="n"/>
      <c r="F21" s="16" t="n">
        <v>51894</v>
      </c>
    </row>
    <row r="22">
      <c r="A22" s="15" t="inlineStr">
        <is>
          <t>Andre tilgodehavender</t>
        </is>
      </c>
      <c r="B22" s="16" t="n">
        <v>4260</v>
      </c>
      <c r="C22" s="16" t="n">
        <v>140</v>
      </c>
      <c r="D22" s="16" t="n">
        <v>0</v>
      </c>
      <c r="E22" s="16" t="n">
        <v>78</v>
      </c>
      <c r="F22" s="16" t="n">
        <v>3977</v>
      </c>
    </row>
    <row r="23">
      <c r="A23" s="15" t="inlineStr">
        <is>
          <t>Periodeafgrænsningsposter (aktiver)</t>
        </is>
      </c>
      <c r="B23" s="16" t="n">
        <v>6630</v>
      </c>
      <c r="C23" s="16" t="n">
        <v>8983</v>
      </c>
      <c r="D23" s="16" t="n">
        <v>10592</v>
      </c>
      <c r="E23" s="16" t="n">
        <v>18668</v>
      </c>
      <c r="F23" s="16" t="n">
        <v>16274</v>
      </c>
    </row>
    <row r="24">
      <c r="A24" s="15" t="inlineStr">
        <is>
          <t>Udskudt skatteaktiv</t>
        </is>
      </c>
      <c r="B24" s="16" t="n">
        <v>0</v>
      </c>
      <c r="C24" s="16" t="n">
        <v>35800</v>
      </c>
      <c r="D24" s="16" t="n">
        <v>35800</v>
      </c>
      <c r="E24" s="16" t="n">
        <v>35811</v>
      </c>
      <c r="F24" s="16" t="n">
        <v>35811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2252</v>
      </c>
      <c r="C26" s="16" t="n">
        <v>0</v>
      </c>
      <c r="D26" s="16" t="n"/>
      <c r="E26" s="16" t="n"/>
      <c r="F26" s="16" t="n"/>
    </row>
    <row r="27">
      <c r="A27" s="17" t="inlineStr">
        <is>
          <t>Tilgodehavender</t>
        </is>
      </c>
      <c r="B27" s="16" t="n">
        <v>152835</v>
      </c>
      <c r="C27" s="16" t="n">
        <v>26958</v>
      </c>
      <c r="D27" s="16" t="n">
        <v>11963</v>
      </c>
      <c r="E27" s="16" t="n">
        <v>25726</v>
      </c>
      <c r="F27" s="16" t="n">
        <v>79321</v>
      </c>
    </row>
    <row r="28">
      <c r="A28" s="15" t="inlineStr">
        <is>
          <t>Værdipapirer</t>
        </is>
      </c>
      <c r="B28" s="16" t="n"/>
      <c r="C28" s="16" t="n"/>
      <c r="D28" s="16" t="n">
        <v>185241</v>
      </c>
      <c r="E28" s="16" t="n">
        <v>184539</v>
      </c>
      <c r="F28" s="16" t="n">
        <v>185072</v>
      </c>
    </row>
    <row r="29">
      <c r="A29" s="15" t="inlineStr">
        <is>
          <t>Likvide beholdninger</t>
        </is>
      </c>
      <c r="B29" s="16" t="n">
        <v>104425</v>
      </c>
      <c r="C29" s="16" t="n">
        <v>168530</v>
      </c>
      <c r="D29" s="16" t="n">
        <v>223870</v>
      </c>
      <c r="E29" s="16" t="n">
        <v>249813</v>
      </c>
      <c r="F29" s="16" t="n">
        <v>206534</v>
      </c>
    </row>
    <row r="30">
      <c r="A30" s="17" t="inlineStr">
        <is>
          <t>Omsætningsaktiver</t>
        </is>
      </c>
      <c r="B30" s="16" t="n">
        <v>258004</v>
      </c>
      <c r="C30" s="16" t="n">
        <v>196423</v>
      </c>
      <c r="D30" s="16" t="n">
        <v>423125</v>
      </c>
      <c r="E30" s="16" t="n">
        <v>463006</v>
      </c>
      <c r="F30" s="16" t="n">
        <v>473715</v>
      </c>
    </row>
    <row r="31">
      <c r="A31" s="17" t="inlineStr">
        <is>
          <t>Aktiver</t>
        </is>
      </c>
      <c r="B31" s="16" t="n">
        <v>281992</v>
      </c>
      <c r="C31" s="16" t="n">
        <v>278500</v>
      </c>
      <c r="D31" s="16" t="n">
        <v>516806</v>
      </c>
      <c r="E31" s="16" t="n">
        <v>588691</v>
      </c>
      <c r="F31" s="16" t="n">
        <v>635949</v>
      </c>
    </row>
    <row r="32">
      <c r="A32" s="15" t="inlineStr">
        <is>
          <t>Selskabskapital</t>
        </is>
      </c>
      <c r="B32" s="16" t="n">
        <v>51</v>
      </c>
      <c r="C32" s="16" t="n">
        <v>51</v>
      </c>
      <c r="D32" s="16" t="n">
        <v>51</v>
      </c>
      <c r="E32" s="16" t="n">
        <v>51</v>
      </c>
      <c r="F32" s="16" t="n">
        <v>51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14785</v>
      </c>
      <c r="C34" s="16" t="n">
        <v>19905</v>
      </c>
      <c r="D34" s="16" t="n">
        <v>29734</v>
      </c>
      <c r="E34" s="16" t="n">
        <v>55877</v>
      </c>
      <c r="F34" s="16" t="n">
        <v>82002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16572</v>
      </c>
      <c r="C37" s="16" t="n">
        <v>14232</v>
      </c>
      <c r="D37" s="16" t="n">
        <v>16765</v>
      </c>
      <c r="E37" s="16" t="n">
        <v>254</v>
      </c>
      <c r="F37" s="16" t="n">
        <v>-62243</v>
      </c>
    </row>
    <row r="38">
      <c r="A38" s="17" t="inlineStr">
        <is>
          <t>Egenkapital i alt</t>
        </is>
      </c>
      <c r="B38" s="16" t="n">
        <v>31408</v>
      </c>
      <c r="C38" s="16" t="n">
        <v>34188</v>
      </c>
      <c r="D38" s="16" t="n">
        <v>46550</v>
      </c>
      <c r="E38" s="16" t="n">
        <v>56182</v>
      </c>
      <c r="F38" s="16" t="n">
        <v>19810</v>
      </c>
    </row>
    <row r="39">
      <c r="A39" s="15" t="inlineStr">
        <is>
          <t>Ansvarlig lånekapital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Kortfristet del af langfristede gældsforpligtelser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Kreditinstitutter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Leverandører af varer og tjenesteydelser</t>
        </is>
      </c>
      <c r="B43" s="16" t="n">
        <v>204085</v>
      </c>
      <c r="C43" s="16" t="n">
        <v>21494</v>
      </c>
      <c r="D43" s="16" t="n">
        <v>18531</v>
      </c>
      <c r="E43" s="16" t="n">
        <v>33618</v>
      </c>
      <c r="F43" s="16" t="n">
        <v>16964</v>
      </c>
    </row>
    <row r="44">
      <c r="A44" s="15" t="inlineStr">
        <is>
          <t>Gæld til tilknyttede virksomheder</t>
        </is>
      </c>
      <c r="B44" s="16" t="n">
        <v>30023</v>
      </c>
      <c r="C44" s="16" t="n">
        <v>202237</v>
      </c>
      <c r="D44" s="16" t="n">
        <v>424470</v>
      </c>
      <c r="E44" s="16" t="n">
        <v>482573</v>
      </c>
      <c r="F44" s="16" t="n">
        <v>561898</v>
      </c>
    </row>
    <row r="45">
      <c r="A45" s="15" t="inlineStr">
        <is>
          <t>Gæld til selskabsdeltagere og ledelse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Selskabsskat</t>
        </is>
      </c>
      <c r="B46" s="16" t="n">
        <v>0</v>
      </c>
      <c r="C46" s="16" t="n">
        <v>195</v>
      </c>
      <c r="D46" s="16" t="n">
        <v>104</v>
      </c>
      <c r="E46" s="16" t="n">
        <v>31</v>
      </c>
      <c r="F46" s="16" t="n">
        <v>0</v>
      </c>
    </row>
    <row r="47">
      <c r="A47" s="15" t="inlineStr">
        <is>
          <t>Gæld til tilknyttede virksomheder vedr. 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Anden gæld (kortfristet)</t>
        </is>
      </c>
      <c r="B48" s="16" t="n">
        <v>16476</v>
      </c>
      <c r="C48" s="16" t="n">
        <v>20386</v>
      </c>
      <c r="D48" s="16" t="n">
        <v>27151</v>
      </c>
      <c r="E48" s="16" t="n">
        <v>16287</v>
      </c>
      <c r="F48" s="16" t="n">
        <v>37277</v>
      </c>
    </row>
    <row r="49">
      <c r="A49" s="15" t="inlineStr">
        <is>
          <t>Periodeafgrænsningsposter (passiver)</t>
        </is>
      </c>
      <c r="B49" s="16" t="n"/>
      <c r="C49" s="16" t="n"/>
      <c r="D49" s="16" t="n"/>
      <c r="E49" s="16" t="n"/>
      <c r="F49" s="16" t="n"/>
    </row>
    <row r="50">
      <c r="A50" s="17" t="inlineStr">
        <is>
          <t>Kortfristede gældsforpligtelser</t>
        </is>
      </c>
      <c r="B50" s="16" t="n">
        <v>250584</v>
      </c>
      <c r="C50" s="16" t="n">
        <v>244312</v>
      </c>
      <c r="D50" s="16" t="n">
        <v>470256</v>
      </c>
      <c r="E50" s="16" t="n">
        <v>532509</v>
      </c>
      <c r="F50" s="16" t="n">
        <v>616139</v>
      </c>
    </row>
    <row r="51">
      <c r="A51" s="17" t="inlineStr">
        <is>
          <t>Gældsforpligtelser</t>
        </is>
      </c>
      <c r="B51" s="16" t="n">
        <v>250584</v>
      </c>
      <c r="C51" s="16" t="n">
        <v>244312</v>
      </c>
      <c r="D51" s="16" t="n">
        <v>470256</v>
      </c>
      <c r="E51" s="16" t="n">
        <v>532509</v>
      </c>
      <c r="F51" s="16" t="n">
        <v>616139</v>
      </c>
    </row>
    <row r="52">
      <c r="A52" s="17" t="inlineStr">
        <is>
          <t>Passiver</t>
        </is>
      </c>
      <c r="B52" s="16" t="n">
        <v>281992</v>
      </c>
      <c r="C52" s="16" t="n">
        <v>278500</v>
      </c>
      <c r="D52" s="16" t="n">
        <v>516806</v>
      </c>
      <c r="E52" s="16" t="n">
        <v>588691</v>
      </c>
      <c r="F52" s="16" t="n">
        <v>635949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Too Good To Go ApS (CVR 37561304) — Regnskabs- og nøgletal (CVR: 37561304)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'res_raw_37561304'!$F$2</f>
        <v/>
      </c>
      <c r="C5" s="24">
        <f>'res_raw_37561304'!$E$2</f>
        <v/>
      </c>
      <c r="D5" s="24">
        <f>'res_raw_37561304'!$D$2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'res_raw_37561304'!$F$3</f>
        <v/>
      </c>
      <c r="C6" s="24">
        <f>'res_raw_37561304'!$E$3</f>
        <v/>
      </c>
      <c r="D6" s="24">
        <f>'res_raw_37561304'!$D$3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-'res_raw_37561304'!$F$4</f>
        <v/>
      </c>
      <c r="C7" s="24">
        <f>-'res_raw_37561304'!$E$4</f>
        <v/>
      </c>
      <c r="D7" s="24">
        <f>-'res_raw_37561304'!$D$4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-'res_raw_37561304'!$F$5</f>
        <v/>
      </c>
      <c r="C8" s="24">
        <f>-'res_raw_37561304'!$E$5</f>
        <v/>
      </c>
      <c r="D8" s="24">
        <f>-'res_raw_37561304'!$D$5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IF(ABS((SUM(B5:B8))-'res_raw_37561304'!$F$6)&lt;=2,SUM(B5:B8),'res_raw_37561304'!$F$6)</f>
        <v/>
      </c>
      <c r="C9" s="27">
        <f>IF(ABS((SUM(C5:C8))-'res_raw_37561304'!$E$6)&lt;=2,SUM(C5:C8),'res_raw_37561304'!$E$6)</f>
        <v/>
      </c>
      <c r="D9" s="27">
        <f>IF(ABS((SUM(D5:D8))-'res_raw_37561304'!$D$6)&lt;=2,SUM(D5:D8),'res_raw_37561304'!$D$6)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-'res_raw_37561304'!$F$7</f>
        <v/>
      </c>
      <c r="C10" s="24">
        <f>-'res_raw_37561304'!$E$7</f>
        <v/>
      </c>
      <c r="D10" s="24">
        <f>-'res_raw_37561304'!$D$7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-'res_raw_37561304'!$F$9</f>
        <v/>
      </c>
      <c r="C11" s="24">
        <f>-'res_raw_37561304'!$E$9</f>
        <v/>
      </c>
      <c r="D11" s="24">
        <f>-'res_raw_37561304'!$D$9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-'res_raw_37561304'!$F$10</f>
        <v/>
      </c>
      <c r="C12" s="24">
        <f>-'res_raw_37561304'!$E$10</f>
        <v/>
      </c>
      <c r="D12" s="24">
        <f>-'res_raw_37561304'!$D$10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IF(ABS((SUM(B9:B12))-'res_raw_37561304'!$F$11)&lt;=2,SUM(B9:B12),'res_raw_37561304'!$F$11)</f>
        <v/>
      </c>
      <c r="C13" s="27">
        <f>IF(ABS((SUM(C9:C12))-'res_raw_37561304'!$E$11)&lt;=2,SUM(C9:C12),'res_raw_37561304'!$E$11)</f>
        <v/>
      </c>
      <c r="D13" s="27">
        <f>IF(ABS((SUM(D9:D12))-'res_raw_37561304'!$D$11)&lt;=2,SUM(D9:D12),'res_raw_37561304'!$D$11)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N('res_raw_37561304'!$F$12)+N('res_raw_37561304'!$F$13)</f>
        <v/>
      </c>
      <c r="C14" s="24">
        <f>N('res_raw_37561304'!$E$12)+N('res_raw_37561304'!$E$13)</f>
        <v/>
      </c>
      <c r="D14" s="24">
        <f>N('res_raw_37561304'!$D$12)+N('res_raw_37561304'!$D$13)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-'res_raw_37561304'!$F$14</f>
        <v/>
      </c>
      <c r="C15" s="24">
        <f>-'res_raw_37561304'!$E$14</f>
        <v/>
      </c>
      <c r="D15" s="24">
        <f>-'res_raw_37561304'!$D$14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IF(ABS((SUM(B13:B15))-'res_raw_37561304'!$F$16)&lt;=2,SUM(B13:B15),'res_raw_37561304'!$F$16)</f>
        <v/>
      </c>
      <c r="C16" s="27">
        <f>IF(ABS((SUM(C13:C15))-'res_raw_37561304'!$E$16)&lt;=2,SUM(C13:C15),'res_raw_37561304'!$E$16)</f>
        <v/>
      </c>
      <c r="D16" s="27">
        <f>IF(ABS((SUM(D13:D15))-'res_raw_37561304'!$D$16)&lt;=2,SUM(D13:D15),'res_raw_37561304'!$D$16)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'balance_raw_37561304'!$F$15</f>
        <v/>
      </c>
      <c r="C19" s="24">
        <f>'balance_raw_37561304'!$E$15</f>
        <v/>
      </c>
      <c r="D19" s="24">
        <f>'balance_raw_37561304'!$D$15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'balance_raw_37561304'!$F$30</f>
        <v/>
      </c>
      <c r="C20" s="24">
        <f>'balance_raw_37561304'!$E$30</f>
        <v/>
      </c>
      <c r="D20" s="24">
        <f>'balance_raw_37561304'!$D$30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'balance_raw_37561304'!$F$38</f>
        <v/>
      </c>
      <c r="C23" s="24">
        <f>'balance_raw_37561304'!$E$38</f>
        <v/>
      </c>
      <c r="D23" s="24">
        <f>'balance_raw_37561304'!$D$38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'balance_raw_37561304'!$F$52-'balance_raw_37561304'!$F$38</f>
        <v/>
      </c>
      <c r="C24" s="24">
        <f>'balance_raw_37561304'!$E$52-'balance_raw_37561304'!$E$38</f>
        <v/>
      </c>
      <c r="D24" s="24">
        <f>'balance_raw_37561304'!$D$52-'balance_raw_37561304'!$D$38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'balance_raw_37561304'!$F$19</f>
        <v/>
      </c>
      <c r="C28" s="24">
        <f>'balance_raw_37561304'!$E$19</f>
        <v/>
      </c>
      <c r="D28" s="24">
        <f>'balance_raw_37561304'!$D$19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'balance_raw_37561304'!$F$20</f>
        <v/>
      </c>
      <c r="C29" s="24">
        <f>'balance_raw_37561304'!$E$20</f>
        <v/>
      </c>
      <c r="D29" s="24">
        <f>'balance_raw_37561304'!$D$20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'balance_raw_37561304'!$F$50</f>
        <v/>
      </c>
      <c r="C30" s="24">
        <f>'balance_raw_37561304'!$E$50</f>
        <v/>
      </c>
      <c r="D30" s="24">
        <f>'balance_raw_37561304'!$D$50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IF('balance_raw_37561304'!$F$31="","—",IF(ABS(B21-'balance_raw_37561304'!$F$31)&lt;=1,"✓ OK","❌ "&amp;TEXT(B21-'balance_raw_37561304'!$F$31,"+#,##0;-#,##0")&amp;" t.kr."))</f>
        <v/>
      </c>
      <c r="C61" s="29">
        <f>IF('balance_raw_37561304'!$E$31="","—",IF(ABS(C21-'balance_raw_37561304'!$E$31)&lt;=1,"✓ OK","❌ "&amp;TEXT(C21-'balance_raw_37561304'!$E$31,"+#,##0;-#,##0")&amp;" t.kr."))</f>
        <v/>
      </c>
      <c r="D61" s="29">
        <f>IF('balance_raw_37561304'!$D$31="","—",IF(ABS(D21-'balance_raw_37561304'!$D$31)&lt;=1,"✓ OK","❌ "&amp;TEXT(D21-'balance_raw_37561304'!$D$31,"+#,##0;-#,##0")&amp;"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IF('balance_raw_37561304'!$F$52="","—",IF(ABS(B25-'balance_raw_37561304'!$F$52)&lt;=1,"✓ OK","❌ "&amp;TEXT(B25-'balance_raw_37561304'!$F$52,"+#,##0;-#,##0")&amp;" t.kr."))</f>
        <v/>
      </c>
      <c r="C62" s="29">
        <f>IF('balance_raw_37561304'!$E$52="","—",IF(ABS(C25-'balance_raw_37561304'!$E$52)&lt;=1,"✓ OK","❌ "&amp;TEXT(C25-'balance_raw_37561304'!$E$52,"+#,##0;-#,##0")&amp;" t.kr."))</f>
        <v/>
      </c>
      <c r="D62" s="29">
        <f>IF('balance_raw_37561304'!$D$52="","—",IF(ABS(D25-'balance_raw_37561304'!$D$52)&lt;=1,"✓ OK","❌ "&amp;TEXT(D25-'balance_raw_37561304'!$D$52,"+#,##0;-#,##0")&amp;"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IF('res_raw_37561304'!$F$6="","—",IF(ABS(B9-'res_raw_37561304'!$F$6)&lt;=1,"✓ OK","❌ "&amp;TEXT(B9-'res_raw_37561304'!$F$6,"+#,##0;-#,##0")&amp;" t.kr."))</f>
        <v/>
      </c>
      <c r="C64" s="29">
        <f>IF('res_raw_37561304'!$E$6="","—",IF(ABS(C9-'res_raw_37561304'!$E$6)&lt;=1,"✓ OK","❌ "&amp;TEXT(C9-'res_raw_37561304'!$E$6,"+#,##0;-#,##0")&amp;" t.kr."))</f>
        <v/>
      </c>
      <c r="D64" s="29">
        <f>IF('res_raw_37561304'!$D$6="","—",IF(ABS(D9-'res_raw_37561304'!$D$6)&lt;=1,"✓ OK","❌ "&amp;TEXT(D9-'res_raw_37561304'!$D$6,"+#,##0;-#,##0")&amp;"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IF('res_raw_37561304'!$F$11="","—",IF(ABS(B13-'res_raw_37561304'!$F$11)&lt;=1,"✓ OK","❌ "&amp;TEXT(B13-'res_raw_37561304'!$F$11,"+#,##0;-#,##0")&amp;" t.kr."))</f>
        <v/>
      </c>
      <c r="C65" s="29">
        <f>IF('res_raw_37561304'!$E$11="","—",IF(ABS(C13-'res_raw_37561304'!$E$11)&lt;=1,"✓ OK","❌ "&amp;TEXT(C13-'res_raw_37561304'!$E$11,"+#,##0;-#,##0")&amp;" t.kr."))</f>
        <v/>
      </c>
      <c r="D65" s="29">
        <f>IF('res_raw_37561304'!$D$11="","—",IF(ABS(D13-'res_raw_37561304'!$D$11)&lt;=1,"✓ OK","❌ "&amp;TEXT(D13-'res_raw_37561304'!$D$11,"+#,##0;-#,##0")&amp;"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IF('res_raw_37561304'!$F$16="","—",IF(ABS(B16-'res_raw_37561304'!$F$16)&lt;=1,"✓ OK","❌ "&amp;TEXT(B16-'res_raw_37561304'!$F$16,"+#,##0;-#,##0")&amp;" t.kr."))</f>
        <v/>
      </c>
      <c r="C66" s="29">
        <f>IF('res_raw_37561304'!$E$16="","—",IF(ABS(C16-'res_raw_37561304'!$E$16)&lt;=1,"✓ OK","❌ "&amp;TEXT(C16-'res_raw_37561304'!$E$16,"+#,##0;-#,##0")&amp;" t.kr."))</f>
        <v/>
      </c>
      <c r="D66" s="29">
        <f>IF('res_raw_37561304'!$D$16="","—",IF(ABS(D16-'res_raw_37561304'!$D$16)&lt;=1,"✓ OK","❌ "&amp;TEXT(D16-'res_raw_37561304'!$D$16,"+#,##0;-#,##0")&amp;"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Too Good To Go ApS (CVR 37561304)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fsa:ContributionFromGroup</t>
        </is>
      </c>
      <c r="C3" s="34" t="inlineStr">
        <is>
          <t>fsa:ContributionFromGroup</t>
        </is>
      </c>
      <c r="D3" s="35" t="n"/>
      <c r="E3" s="35" t="n">
        <v>176994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fsa:IncreaseDecreaseOfEquityThroughChangesInAccountingPolicies</t>
        </is>
      </c>
      <c r="C4" s="37" t="inlineStr">
        <is>
          <t>fsa:IncreaseDecreaseOfEquityThroughChangesInAccountingPolicies</t>
        </is>
      </c>
      <c r="D4" s="38" t="n"/>
      <c r="E4" s="38" t="n"/>
      <c r="F4" s="38" t="n">
        <v>-3355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fsa:WorkPerformedByEntityAndCapitalised</t>
        </is>
      </c>
      <c r="C5" s="34" t="inlineStr">
        <is>
          <t>fsa:WorkPerformedByEntityAndCapitalised</t>
        </is>
      </c>
      <c r="D5" s="35" t="n">
        <v>-11177</v>
      </c>
      <c r="E5" s="35" t="n">
        <v>-18186</v>
      </c>
      <c r="F5" s="35" t="n">
        <v>-30240</v>
      </c>
      <c r="G5" s="35" t="n">
        <v>-47532</v>
      </c>
      <c r="H5" s="35" t="n">
        <v>-45196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2026-10-02T21:15:04Z</dcterms:created>
  <dcterms:modified xmlns:dcterms="http://purl.org/dc/terms/" xmlns:xsi="http://www.w3.org/2001/XMLSchema-instance" xsi:type="dcterms:W3CDTF">2026-10-02T21:15:04Z</dcterms:modified>
</cp:coreProperties>
</file>