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t.EUR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Salgs- og distributionsomkostninger</t>
        </is>
      </c>
      <c r="B5" s="17" t="n">
        <v>367000</v>
      </c>
      <c r="C5" s="17" t="n">
        <v>462000</v>
      </c>
      <c r="D5" s="17" t="n">
        <v>452000</v>
      </c>
      <c r="E5" s="17" t="n">
        <v>535000</v>
      </c>
      <c r="F5" s="17" t="n">
        <v>545000</v>
      </c>
    </row>
    <row r="6">
      <c r="A6" s="16" t="inlineStr">
        <is>
          <t>Administrationsomkostninger</t>
        </is>
      </c>
      <c r="B6" s="17" t="n">
        <v>368000</v>
      </c>
      <c r="C6" s="17" t="n">
        <v>351000</v>
      </c>
      <c r="D6" s="17" t="n">
        <v>424000</v>
      </c>
      <c r="E6" s="17" t="n">
        <v>403000</v>
      </c>
      <c r="F6" s="17" t="n">
        <v>461000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322000</v>
      </c>
      <c r="C9" s="17" t="n">
        <v>-1596000</v>
      </c>
      <c r="D9" s="17" t="n">
        <v>292000</v>
      </c>
      <c r="E9" s="17" t="n">
        <v>794000</v>
      </c>
      <c r="F9" s="17" t="n">
        <v>1015000</v>
      </c>
    </row>
    <row r="10">
      <c r="A10" s="16" t="inlineStr">
        <is>
          <t>Indtægter af kapitalandele, dattervirksomheder</t>
        </is>
      </c>
      <c r="B10" s="17" t="n">
        <v>36000</v>
      </c>
      <c r="C10" s="17" t="n">
        <v>10000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21000</v>
      </c>
      <c r="C11" s="17" t="n">
        <v>52000</v>
      </c>
      <c r="D11" s="17" t="n">
        <v>210000</v>
      </c>
      <c r="E11" s="17" t="n"/>
      <c r="F11" s="17" t="n"/>
    </row>
    <row r="12">
      <c r="A12" s="16" t="inlineStr">
        <is>
          <t>Finansielle omkostninger</t>
        </is>
      </c>
      <c r="B12" s="17" t="n">
        <v>122000</v>
      </c>
      <c r="C12" s="17" t="n">
        <v>162000</v>
      </c>
      <c r="D12" s="17" t="n">
        <v>374000</v>
      </c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257000</v>
      </c>
      <c r="C14" s="17" t="n">
        <v>-1696000</v>
      </c>
      <c r="D14" s="17" t="n">
        <v>102000</v>
      </c>
      <c r="E14" s="17" t="n">
        <v>705000</v>
      </c>
      <c r="F14" s="17" t="n">
        <v>1039000</v>
      </c>
    </row>
    <row r="15">
      <c r="A15" s="16" t="inlineStr">
        <is>
          <t>Skat af årets resultat</t>
        </is>
      </c>
      <c r="B15" s="17" t="n">
        <v>81000</v>
      </c>
      <c r="C15" s="17" t="n">
        <v>-124000</v>
      </c>
      <c r="D15" s="17" t="n">
        <v>24000</v>
      </c>
      <c r="E15" s="17" t="n">
        <v>211000</v>
      </c>
      <c r="F15" s="17" t="n">
        <v>259000</v>
      </c>
    </row>
    <row r="16">
      <c r="A16" s="15" t="inlineStr">
        <is>
          <t>Årets resultat</t>
        </is>
      </c>
      <c r="B16" s="17" t="n">
        <v>176000</v>
      </c>
      <c r="C16" s="17" t="n">
        <v>-1572000</v>
      </c>
      <c r="D16" s="17" t="n">
        <v>78000</v>
      </c>
      <c r="E16" s="17" t="n">
        <v>494000</v>
      </c>
      <c r="F16" s="17" t="n">
        <v>780000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476000</v>
      </c>
      <c r="C18" s="17" t="n">
        <v>371000</v>
      </c>
      <c r="D18" s="17" t="n">
        <v>456000</v>
      </c>
      <c r="E18" s="17" t="n">
        <v>670000</v>
      </c>
      <c r="F18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t.EUR"))</f>
        <v/>
      </c>
      <c r="C60" s="29">
        <f>IF('balance_raw'!$E$20="","—",IF(ABS(C20-'balance_raw'!$E$20)&lt;=1,"✓ OK","❌ "&amp;TEXT(C20-'balance_raw'!$E$20,"+#,##0;-#,##0")&amp;" t.EUR"))</f>
        <v/>
      </c>
      <c r="D60" s="29">
        <f>IF('balance_raw'!$D$20="","—",IF(ABS(D20-'balance_raw'!$D$20)&lt;=1,"✓ OK","❌ "&amp;TEXT(D20-'balance_raw'!$D$20,"+#,##0;-#,##0")&amp;"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t.EUR"))</f>
        <v/>
      </c>
      <c r="C61" s="29">
        <f>IF('balance_raw'!$E$48="","—",IF(ABS(C24-'balance_raw'!$E$48)&lt;=1,"✓ OK","❌ "&amp;TEXT(C24-'balance_raw'!$E$48,"+#,##0;-#,##0")&amp;" t.EUR"))</f>
        <v/>
      </c>
      <c r="D61" s="29">
        <f>IF('balance_raw'!$D$48="","—",IF(ABS(D24-'balance_raw'!$D$48)&lt;=1,"✓ OK","❌ "&amp;TEXT(D24-'balance_raw'!$D$48,"+#,##0;-#,##0")&amp;"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vestas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ifrs-full:CurrentFinancialAssets</t>
        </is>
      </c>
      <c r="C3" s="34" t="inlineStr">
        <is>
          <t>ifrs-full:CurrentFinancialAssets</t>
        </is>
      </c>
      <c r="D3" s="35" t="n">
        <v>116000</v>
      </c>
      <c r="E3" s="35" t="n">
        <v>0</v>
      </c>
      <c r="F3" s="35" t="n">
        <v>3000</v>
      </c>
      <c r="G3" s="35" t="n">
        <v>160000</v>
      </c>
      <c r="H3" s="35" t="n">
        <v>164000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>
        <v>60000</v>
      </c>
      <c r="E4" s="38" t="n">
        <v>13000</v>
      </c>
      <c r="F4" s="38" t="n">
        <v>12000</v>
      </c>
      <c r="G4" s="38" t="n">
        <v>5000</v>
      </c>
      <c r="H4" s="38" t="n">
        <v>19000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ifrs-full:ReclassificationAdjustmentsOnExchangeDifferencesOnTranslationBeforeTax</t>
        </is>
      </c>
      <c r="C6" s="37" t="inlineStr">
        <is>
          <t>ifrs-full:ReclassificationAdjustmentsOnExchangeDifferencesOnTranslationBeforeTax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ifrs-full:ResearchAndDevelopmentExpense</t>
        </is>
      </c>
      <c r="C7" s="34" t="inlineStr">
        <is>
          <t>ifrs-full:ResearchAndDevelopmentExpense</t>
        </is>
      </c>
      <c r="D7" s="35" t="n">
        <v>364000</v>
      </c>
      <c r="E7" s="35" t="n">
        <v>457000</v>
      </c>
      <c r="F7" s="35" t="n">
        <v>371000</v>
      </c>
      <c r="G7" s="35" t="n">
        <v>380000</v>
      </c>
      <c r="H7" s="35" t="n">
        <v>424000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2026-09-15T19:49:03Z</dcterms:created>
  <dcterms:modified xmlns:dcterms="http://purl.org/dc/terms/" xmlns:xsi="http://www.w3.org/2001/XMLSchema-instance" xsi:type="dcterms:W3CDTF">2026-09-15T19:49:04Z</dcterms:modified>
</cp:coreProperties>
</file>