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vestas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t.EUR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t.EUR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15587000</v>
      </c>
      <c r="C2" s="17" t="n">
        <v>14486000</v>
      </c>
      <c r="D2" s="17" t="n">
        <v>15382000</v>
      </c>
      <c r="E2" s="17" t="n">
        <v>17295000</v>
      </c>
      <c r="F2" s="17" t="n">
        <v>18822000</v>
      </c>
    </row>
    <row r="3">
      <c r="A3" s="16" t="inlineStr">
        <is>
          <t>Produktionsomkostninger</t>
        </is>
      </c>
      <c r="B3" s="17" t="n">
        <v>14027000</v>
      </c>
      <c r="C3" s="17" t="n">
        <v>14368000</v>
      </c>
      <c r="D3" s="17" t="n">
        <v>14099000</v>
      </c>
      <c r="E3" s="17" t="n">
        <v>15238000</v>
      </c>
      <c r="F3" s="17" t="n">
        <v>16325000</v>
      </c>
    </row>
    <row r="4">
      <c r="A4" s="15" t="inlineStr">
        <is>
          <t>Bruttoresultat</t>
        </is>
      </c>
      <c r="B4" s="17" t="n">
        <v>1560000</v>
      </c>
      <c r="C4" s="17" t="n">
        <v>118000</v>
      </c>
      <c r="D4" s="17" t="n">
        <v>1283000</v>
      </c>
      <c r="E4" s="17" t="n">
        <v>2057000</v>
      </c>
      <c r="F4" s="17" t="n">
        <v>2497000</v>
      </c>
    </row>
    <row r="5">
      <c r="A5" s="16" t="inlineStr">
        <is>
          <t>Salgs- og distributionsomkostninger</t>
        </is>
      </c>
      <c r="B5" s="17" t="n">
        <v>367000</v>
      </c>
      <c r="C5" s="17" t="n">
        <v>462000</v>
      </c>
      <c r="D5" s="17" t="n">
        <v>452000</v>
      </c>
      <c r="E5" s="17" t="n">
        <v>535000</v>
      </c>
      <c r="F5" s="17" t="n">
        <v>545000</v>
      </c>
    </row>
    <row r="6">
      <c r="A6" s="16" t="inlineStr">
        <is>
          <t>Administrationsomkostninger</t>
        </is>
      </c>
      <c r="B6" s="17" t="n">
        <v>368000</v>
      </c>
      <c r="C6" s="17" t="n">
        <v>351000</v>
      </c>
      <c r="D6" s="17" t="n">
        <v>424000</v>
      </c>
      <c r="E6" s="17" t="n">
        <v>403000</v>
      </c>
      <c r="F6" s="17" t="n">
        <v>461000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322000</v>
      </c>
      <c r="C9" s="17" t="n">
        <v>-1596000</v>
      </c>
      <c r="D9" s="17" t="n">
        <v>292000</v>
      </c>
      <c r="E9" s="17" t="n">
        <v>794000</v>
      </c>
      <c r="F9" s="17" t="n">
        <v>1015000</v>
      </c>
    </row>
    <row r="10">
      <c r="A10" s="16" t="inlineStr">
        <is>
          <t>Indtægter af kapitalandele, dattervirksomheder</t>
        </is>
      </c>
      <c r="B10" s="17" t="n">
        <v>36000</v>
      </c>
      <c r="C10" s="17" t="n">
        <v>10000</v>
      </c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21000</v>
      </c>
      <c r="C11" s="17" t="n">
        <v>52000</v>
      </c>
      <c r="D11" s="17" t="n">
        <v>210000</v>
      </c>
      <c r="E11" s="17" t="n"/>
      <c r="F11" s="17" t="n"/>
    </row>
    <row r="12">
      <c r="A12" s="16" t="inlineStr">
        <is>
          <t>Finansielle omkostninger</t>
        </is>
      </c>
      <c r="B12" s="17" t="n">
        <v>122000</v>
      </c>
      <c r="C12" s="17" t="n">
        <v>162000</v>
      </c>
      <c r="D12" s="17" t="n">
        <v>374000</v>
      </c>
      <c r="E12" s="17" t="n"/>
      <c r="F12" s="17" t="n"/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257000</v>
      </c>
      <c r="C14" s="17" t="n">
        <v>-1696000</v>
      </c>
      <c r="D14" s="17" t="n">
        <v>102000</v>
      </c>
      <c r="E14" s="17" t="n">
        <v>705000</v>
      </c>
      <c r="F14" s="17" t="n">
        <v>1039000</v>
      </c>
    </row>
    <row r="15">
      <c r="A15" s="16" t="inlineStr">
        <is>
          <t>Skat af årets resultat</t>
        </is>
      </c>
      <c r="B15" s="17" t="n">
        <v>81000</v>
      </c>
      <c r="C15" s="17" t="n">
        <v>-124000</v>
      </c>
      <c r="D15" s="17" t="n">
        <v>24000</v>
      </c>
      <c r="E15" s="17" t="n">
        <v>211000</v>
      </c>
      <c r="F15" s="17" t="n">
        <v>259000</v>
      </c>
    </row>
    <row r="16">
      <c r="A16" s="15" t="inlineStr">
        <is>
          <t>Årets resultat</t>
        </is>
      </c>
      <c r="B16" s="17" t="n">
        <v>176000</v>
      </c>
      <c r="C16" s="17" t="n">
        <v>-1572000</v>
      </c>
      <c r="D16" s="17" t="n">
        <v>78000</v>
      </c>
      <c r="E16" s="17" t="n">
        <v>494000</v>
      </c>
      <c r="F16" s="17" t="n">
        <v>780000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476000</v>
      </c>
      <c r="C18" s="17" t="n">
        <v>371000</v>
      </c>
      <c r="D18" s="17" t="n">
        <v>456000</v>
      </c>
      <c r="E18" s="17" t="n">
        <v>670000</v>
      </c>
      <c r="F18" s="17" t="n">
        <v>821000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3130000</v>
      </c>
      <c r="C2" s="17" t="n">
        <v>3065000</v>
      </c>
      <c r="D2" s="17" t="n">
        <v>3203000</v>
      </c>
      <c r="E2" s="17" t="n">
        <v>3385000</v>
      </c>
      <c r="F2" s="17" t="n">
        <v>3436000</v>
      </c>
    </row>
    <row r="3">
      <c r="A3" s="15" t="inlineStr">
        <is>
          <t>Materielle anlægsaktiver</t>
        </is>
      </c>
      <c r="B3" s="17" t="n">
        <v>2091000</v>
      </c>
      <c r="C3" s="17" t="n">
        <v>1752000</v>
      </c>
      <c r="D3" s="17" t="n">
        <v>1911000</v>
      </c>
      <c r="E3" s="17" t="n">
        <v>2353000</v>
      </c>
      <c r="F3" s="17" t="n">
        <v>2792000</v>
      </c>
    </row>
    <row r="4">
      <c r="A4" s="16" t="inlineStr">
        <is>
          <t>Kapitalandele, dattervirksomheder</t>
        </is>
      </c>
      <c r="B4" s="17" t="n">
        <v>609000</v>
      </c>
      <c r="C4" s="17" t="n">
        <v>646000</v>
      </c>
      <c r="D4" s="17" t="n">
        <v>593000</v>
      </c>
      <c r="E4" s="17" t="n">
        <v>577000</v>
      </c>
      <c r="F4" s="17" t="n">
        <v>568000</v>
      </c>
    </row>
    <row r="5">
      <c r="A5" s="16" t="inlineStr">
        <is>
          <t>Deposita</t>
        </is>
      </c>
      <c r="B5" s="17" t="n">
        <v>81000</v>
      </c>
      <c r="C5" s="17" t="n">
        <v>88000</v>
      </c>
      <c r="D5" s="17" t="n">
        <v>99000</v>
      </c>
      <c r="E5" s="17" t="n">
        <v>161000</v>
      </c>
      <c r="F5" s="17" t="n">
        <v>171000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6848000</v>
      </c>
      <c r="C7" s="17" t="n">
        <v>6462000</v>
      </c>
      <c r="D7" s="17" t="n">
        <v>7593000</v>
      </c>
      <c r="E7" s="17" t="n">
        <v>8555000</v>
      </c>
      <c r="F7" s="17" t="n">
        <v>8896000</v>
      </c>
    </row>
    <row r="8">
      <c r="A8" s="15" t="inlineStr">
        <is>
          <t>Varebeholdninger</t>
        </is>
      </c>
      <c r="B8" s="17" t="n">
        <v>5673000</v>
      </c>
      <c r="C8" s="17" t="n">
        <v>6373000</v>
      </c>
      <c r="D8" s="17" t="n">
        <v>6530000</v>
      </c>
      <c r="E8" s="17" t="n">
        <v>6008000</v>
      </c>
      <c r="F8" s="17" t="n">
        <v>5721000</v>
      </c>
    </row>
    <row r="9">
      <c r="A9" s="16" t="inlineStr">
        <is>
          <t>Tilgodehavender fra salg og tjenesteydelser</t>
        </is>
      </c>
      <c r="B9" s="17" t="n">
        <v>1531000</v>
      </c>
      <c r="C9" s="17" t="n">
        <v>1280000</v>
      </c>
      <c r="D9" s="17" t="n">
        <v>1305000</v>
      </c>
      <c r="E9" s="17" t="n">
        <v>1719000</v>
      </c>
      <c r="F9" s="17" t="n">
        <v>1476000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1227000</v>
      </c>
      <c r="C12" s="17" t="n">
        <v>1399000</v>
      </c>
      <c r="D12" s="17" t="n">
        <v>1777000</v>
      </c>
      <c r="E12" s="17" t="n">
        <v>2127000</v>
      </c>
      <c r="F12" s="17" t="n">
        <v>2747000</v>
      </c>
    </row>
    <row r="13">
      <c r="A13" s="16" t="inlineStr">
        <is>
          <t>Udskudt skatteaktiv</t>
        </is>
      </c>
      <c r="B13" s="17" t="n">
        <v>374000</v>
      </c>
      <c r="C13" s="17" t="n">
        <v>497000</v>
      </c>
      <c r="D13" s="17" t="n">
        <v>795000</v>
      </c>
      <c r="E13" s="17" t="n">
        <v>722000</v>
      </c>
      <c r="F13" s="17" t="n">
        <v>883000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102000</v>
      </c>
      <c r="C15" s="17" t="n">
        <v>51000</v>
      </c>
      <c r="D15" s="17" t="n">
        <v>209000</v>
      </c>
      <c r="E15" s="17" t="n">
        <v>214000</v>
      </c>
      <c r="F15" s="17" t="n">
        <v>231000</v>
      </c>
    </row>
    <row r="16">
      <c r="A16" s="15" t="inlineStr">
        <is>
          <t>Tilgodehavender</t>
        </is>
      </c>
      <c r="B16" s="17" t="n">
        <v>1105000</v>
      </c>
      <c r="C16" s="17" t="n">
        <v>1221000</v>
      </c>
      <c r="D16" s="17" t="n">
        <v>1274000</v>
      </c>
      <c r="E16" s="17" t="n">
        <v>1518000</v>
      </c>
      <c r="F16" s="17" t="n">
        <v>1547000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2420000</v>
      </c>
      <c r="C18" s="17" t="n">
        <v>2378000</v>
      </c>
      <c r="D18" s="17" t="n">
        <v>3318000</v>
      </c>
      <c r="E18" s="17" t="n">
        <v>3817000</v>
      </c>
      <c r="F18" s="17" t="n">
        <v>4384000</v>
      </c>
    </row>
    <row r="19">
      <c r="A19" s="15" t="inlineStr">
        <is>
          <t>Omsætningsaktiver</t>
        </is>
      </c>
      <c r="B19" s="17" t="n">
        <v>12864000</v>
      </c>
      <c r="C19" s="17" t="n">
        <v>13628000</v>
      </c>
      <c r="D19" s="17" t="n">
        <v>14921000</v>
      </c>
      <c r="E19" s="17" t="n">
        <v>16089000</v>
      </c>
      <c r="F19" s="17" t="n">
        <v>16836000</v>
      </c>
    </row>
    <row r="20">
      <c r="A20" s="15" t="inlineStr">
        <is>
          <t>Aktiver</t>
        </is>
      </c>
      <c r="B20" s="17" t="n">
        <v>19712000</v>
      </c>
      <c r="C20" s="17" t="n">
        <v>20090000</v>
      </c>
      <c r="D20" s="17" t="n">
        <v>22514000</v>
      </c>
      <c r="E20" s="17" t="n">
        <v>24644000</v>
      </c>
      <c r="F20" s="17" t="n">
        <v>25732000</v>
      </c>
    </row>
    <row r="21">
      <c r="A21" s="16" t="inlineStr">
        <is>
          <t>Selskabskapital</t>
        </is>
      </c>
      <c r="B21" s="17" t="n">
        <v>27000</v>
      </c>
      <c r="C21" s="17" t="n">
        <v>27000</v>
      </c>
      <c r="D21" s="17" t="n">
        <v>27000</v>
      </c>
      <c r="E21" s="17" t="n">
        <v>27000</v>
      </c>
      <c r="F21" s="17" t="n">
        <v>27000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22000</v>
      </c>
      <c r="C25" s="17" t="n">
        <v>15000</v>
      </c>
      <c r="D25" s="17" t="n">
        <v>-102000</v>
      </c>
      <c r="E25" s="17" t="n">
        <v>-78000</v>
      </c>
      <c r="F25" s="17" t="n">
        <v>-215000</v>
      </c>
    </row>
    <row r="26">
      <c r="A26" s="16" t="inlineStr">
        <is>
          <t>Overført resultat</t>
        </is>
      </c>
      <c r="B26" s="17" t="n">
        <v>4699000</v>
      </c>
      <c r="C26" s="17" t="n">
        <v>3002000</v>
      </c>
      <c r="D26" s="17" t="n">
        <v>3102000</v>
      </c>
      <c r="E26" s="17" t="n">
        <v>3580000</v>
      </c>
      <c r="F26" s="17" t="n">
        <v>4055000</v>
      </c>
    </row>
    <row r="27">
      <c r="A27" s="15" t="inlineStr">
        <is>
          <t>Egenkapital i alt</t>
        </is>
      </c>
      <c r="B27" s="17" t="n">
        <v>4748000</v>
      </c>
      <c r="C27" s="17" t="n">
        <v>3044000</v>
      </c>
      <c r="D27" s="17" t="n">
        <v>3027000</v>
      </c>
      <c r="E27" s="17" t="n">
        <v>3529000</v>
      </c>
      <c r="F27" s="17" t="n">
        <v>3867000</v>
      </c>
    </row>
    <row r="28">
      <c r="A28" s="16" t="inlineStr">
        <is>
          <t>Hensættelse til udskudt skat</t>
        </is>
      </c>
      <c r="B28" s="17" t="n">
        <v>362000</v>
      </c>
      <c r="C28" s="17" t="n">
        <v>158000</v>
      </c>
      <c r="D28" s="17" t="n">
        <v>164000</v>
      </c>
      <c r="E28" s="17" t="n">
        <v>179000</v>
      </c>
      <c r="F28" s="17" t="n">
        <v>225000</v>
      </c>
    </row>
    <row r="29">
      <c r="A29" s="15" t="inlineStr">
        <is>
          <t>Hensatte forpligtelser</t>
        </is>
      </c>
      <c r="B29" s="17" t="n">
        <v>686000</v>
      </c>
      <c r="C29" s="17" t="n">
        <v>944000</v>
      </c>
      <c r="D29" s="17" t="n">
        <v>1225000</v>
      </c>
      <c r="E29" s="17" t="n">
        <v>1263000</v>
      </c>
      <c r="F29" s="17" t="n">
        <v>1292000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145000</v>
      </c>
      <c r="C33" s="17" t="n">
        <v>59000</v>
      </c>
      <c r="D33" s="17" t="n">
        <v>204000</v>
      </c>
      <c r="E33" s="17" t="n">
        <v>279000</v>
      </c>
      <c r="F33" s="17" t="n">
        <v>196000</v>
      </c>
    </row>
    <row r="34">
      <c r="A34" s="15" t="inlineStr">
        <is>
          <t>Langfristede gældsforpligtelser</t>
        </is>
      </c>
      <c r="B34" s="17" t="n">
        <v>732000</v>
      </c>
      <c r="C34" s="17" t="n">
        <v>2179000</v>
      </c>
      <c r="D34" s="17" t="n">
        <v>3224000</v>
      </c>
      <c r="E34" s="17" t="n">
        <v>3071000</v>
      </c>
      <c r="F34" s="17" t="n">
        <v>2592000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704000</v>
      </c>
      <c r="C37" s="17" t="n">
        <v>248000</v>
      </c>
      <c r="D37" s="17" t="n">
        <v>163000</v>
      </c>
      <c r="E37" s="17" t="n">
        <v>200000</v>
      </c>
      <c r="F37" s="17" t="n">
        <v>782000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4286000</v>
      </c>
      <c r="C39" s="17" t="n">
        <v>4089000</v>
      </c>
      <c r="D39" s="17" t="n">
        <v>3738000</v>
      </c>
      <c r="E39" s="17" t="n">
        <v>4129000</v>
      </c>
      <c r="F39" s="17" t="n">
        <v>4766000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809000</v>
      </c>
      <c r="C44" s="17" t="n">
        <v>1349000</v>
      </c>
      <c r="D44" s="17" t="n">
        <v>1165000</v>
      </c>
      <c r="E44" s="17" t="n">
        <v>1069000</v>
      </c>
      <c r="F44" s="17" t="n">
        <v>1148000</v>
      </c>
    </row>
    <row r="45">
      <c r="A45" s="16" t="inlineStr">
        <is>
          <t>Periodeafgrænsningsposter (passiver)</t>
        </is>
      </c>
      <c r="B45" s="17" t="n">
        <v>6180000</v>
      </c>
      <c r="C45" s="17" t="n">
        <v>6937000</v>
      </c>
      <c r="D45" s="17" t="n">
        <v>7995000</v>
      </c>
      <c r="E45" s="17" t="n">
        <v>8997000</v>
      </c>
      <c r="F45" s="17" t="n">
        <v>9270000</v>
      </c>
    </row>
    <row r="46">
      <c r="A46" s="15" t="inlineStr">
        <is>
          <t>Kortfristede gældsforpligtelser</t>
        </is>
      </c>
      <c r="B46" s="17" t="n">
        <v>12700000</v>
      </c>
      <c r="C46" s="17" t="n">
        <v>13513000</v>
      </c>
      <c r="D46" s="17" t="n">
        <v>14020000</v>
      </c>
      <c r="E46" s="17" t="n">
        <v>15480000</v>
      </c>
      <c r="F46" s="17" t="n">
        <v>16847000</v>
      </c>
    </row>
    <row r="47">
      <c r="A47" s="15" t="inlineStr">
        <is>
          <t>Gældsforpligtelser</t>
        </is>
      </c>
      <c r="B47" s="17" t="n">
        <v>14951000</v>
      </c>
      <c r="C47" s="17" t="n">
        <v>17030000</v>
      </c>
      <c r="D47" s="17" t="n">
        <v>19472000</v>
      </c>
      <c r="E47" s="17" t="n">
        <v>21102000</v>
      </c>
      <c r="F47" s="17" t="n">
        <v>21851000</v>
      </c>
    </row>
    <row r="48">
      <c r="A48" s="15" t="inlineStr">
        <is>
          <t>Passiver</t>
        </is>
      </c>
      <c r="B48" s="17" t="n">
        <v>19712000</v>
      </c>
      <c r="C48" s="17" t="n">
        <v>20090000</v>
      </c>
      <c r="D48" s="17" t="n">
        <v>22514000</v>
      </c>
      <c r="E48" s="17" t="n">
        <v>24644000</v>
      </c>
      <c r="F48" s="17" t="n">
        <v>25732000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996000</v>
      </c>
      <c r="C2" s="17" t="n">
        <v>-195000</v>
      </c>
      <c r="D2" s="17" t="n">
        <v>1027000</v>
      </c>
      <c r="E2" s="17" t="n">
        <v>2332000</v>
      </c>
      <c r="F2" s="17" t="n">
        <v>2286000</v>
      </c>
    </row>
    <row r="3">
      <c r="A3" s="16" t="inlineStr">
        <is>
          <t>Pengestrømme fra investeringsaktivitet</t>
        </is>
      </c>
      <c r="B3" s="17" t="n">
        <v>-939000</v>
      </c>
      <c r="C3" s="17" t="n">
        <v>-679000</v>
      </c>
      <c r="D3" s="17" t="n">
        <v>-782000</v>
      </c>
      <c r="E3" s="17" t="n">
        <v>-1341000</v>
      </c>
      <c r="F3" s="17" t="n">
        <v>-1164000</v>
      </c>
    </row>
    <row r="4">
      <c r="A4" s="16" t="inlineStr">
        <is>
          <t>Pengestrømme fra finansieringsaktivitet</t>
        </is>
      </c>
      <c r="B4" s="17" t="n">
        <v>-715000</v>
      </c>
      <c r="C4" s="17" t="n">
        <v>846000</v>
      </c>
      <c r="D4" s="17" t="n">
        <v>743000</v>
      </c>
      <c r="E4" s="17" t="n">
        <v>-478000</v>
      </c>
      <c r="F4" s="17" t="n">
        <v>-544000</v>
      </c>
    </row>
    <row r="5">
      <c r="A5" s="16" t="inlineStr">
        <is>
          <t>Årets pengestrøm</t>
        </is>
      </c>
      <c r="B5" s="17" t="n"/>
      <c r="C5" s="17" t="n">
        <v>-28000</v>
      </c>
      <c r="D5" s="17" t="n">
        <v>988000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vestas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IF(COUNT('res_raw'!$F$2,'res_raw'!$F$3)=0,'res_raw'!$F$4,SUM(B5:B6))</f>
        <v/>
      </c>
      <c r="C7" s="27">
        <f>IF(COUNT('res_raw'!$E$2,'res_raw'!$E$3)=0,'res_raw'!$E$4,SUM(C5:C6))</f>
        <v/>
      </c>
      <c r="D7" s="27">
        <f>IF(COUNT('res_raw'!$D$2,'res_raw'!$D$3)=0,'res_raw'!$D$4,SUM(D5:D6))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t.EUR"))</f>
        <v/>
      </c>
      <c r="C60" s="29">
        <f>IF('balance_raw'!$E$20="","—",IF(ABS(C20-'balance_raw'!$E$20)&lt;=1,"✓ OK","❌ "&amp;TEXT(C20-'balance_raw'!$E$20,"+#,##0;-#,##0")&amp;" t.EUR"))</f>
        <v/>
      </c>
      <c r="D60" s="29">
        <f>IF('balance_raw'!$D$20="","—",IF(ABS(D20-'balance_raw'!$D$20)&lt;=1,"✓ OK","❌ "&amp;TEXT(D20-'balance_raw'!$D$20,"+#,##0;-#,##0")&amp;"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t.EUR"))</f>
        <v/>
      </c>
      <c r="C61" s="29">
        <f>IF('balance_raw'!$E$48="","—",IF(ABS(C24-'balance_raw'!$E$48)&lt;=1,"✓ OK","❌ "&amp;TEXT(C24-'balance_raw'!$E$48,"+#,##0;-#,##0")&amp;" t.EUR"))</f>
        <v/>
      </c>
      <c r="D61" s="29">
        <f>IF('balance_raw'!$D$48="","—",IF(ABS(D24-'balance_raw'!$D$48)&lt;=1,"✓ OK","❌ "&amp;TEXT(D24-'balance_raw'!$D$48,"+#,##0;-#,##0")&amp;"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t.EUR"))</f>
        <v/>
      </c>
      <c r="C63" s="29">
        <f>IF('res_raw'!$E$4="","—",IF(ABS(C7-'res_raw'!$E$4)&lt;=1,"✓ OK","❌ "&amp;TEXT(C7-'res_raw'!$E$4,"+#,##0;-#,##0")&amp;" t.EUR"))</f>
        <v/>
      </c>
      <c r="D63" s="29">
        <f>IF('res_raw'!$D$4="","—",IF(ABS(D7-'res_raw'!$D$4)&lt;=1,"✓ OK","❌ "&amp;TEXT(D7-'res_raw'!$D$4,"+#,##0;-#,##0")&amp;"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t.EUR"))</f>
        <v/>
      </c>
      <c r="C64" s="29">
        <f>IF('res_raw'!$E$9="","—",IF(ABS(C12-'res_raw'!$E$9)&lt;=1,"✓ OK","❌ "&amp;TEXT(C12-'res_raw'!$E$9,"+#,##0;-#,##0")&amp;" t.EUR"))</f>
        <v/>
      </c>
      <c r="D64" s="29">
        <f>IF('res_raw'!$D$9="","—",IF(ABS(D12-'res_raw'!$D$9)&lt;=1,"✓ OK","❌ "&amp;TEXT(D12-'res_raw'!$D$9,"+#,##0;-#,##0")&amp;"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t.EUR"))</f>
        <v/>
      </c>
      <c r="C65" s="29">
        <f>IF('res_raw'!$E$14="","—",IF(ABS(C15-'res_raw'!$E$14)&lt;=1,"✓ OK","❌ "&amp;TEXT(C15-'res_raw'!$E$14,"+#,##0;-#,##0")&amp;" t.EUR"))</f>
        <v/>
      </c>
      <c r="D65" s="29">
        <f>IF('res_raw'!$D$14="","—",IF(ABS(D15-'res_raw'!$D$14)&lt;=1,"✓ OK","❌ "&amp;TEXT(D15-'res_raw'!$D$14,"+#,##0;-#,##0")&amp;"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vestas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ifrs-full:CurrentFinancialAssets</t>
        </is>
      </c>
      <c r="C3" s="34" t="inlineStr">
        <is>
          <t>ifrs-full:CurrentFinancialAssets</t>
        </is>
      </c>
      <c r="D3" s="35" t="n">
        <v>116000</v>
      </c>
      <c r="E3" s="35" t="n">
        <v>0</v>
      </c>
      <c r="F3" s="35" t="n">
        <v>3000</v>
      </c>
      <c r="G3" s="35" t="n">
        <v>160000</v>
      </c>
      <c r="H3" s="35" t="n">
        <v>164000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ifrs-full:DividendsReceivedFromInvestmentsAccountedForUsingEquityMethodClassifiedAsInvestingActivities</t>
        </is>
      </c>
      <c r="C4" s="37" t="inlineStr">
        <is>
          <t>ifrs-full:DividendsReceivedFromInvestmentsAccountedForUsingEquityMethodClassifiedAsInvestingActivities</t>
        </is>
      </c>
      <c r="D4" s="38" t="n">
        <v>60000</v>
      </c>
      <c r="E4" s="38" t="n">
        <v>13000</v>
      </c>
      <c r="F4" s="38" t="n">
        <v>12000</v>
      </c>
      <c r="G4" s="38" t="n">
        <v>5000</v>
      </c>
      <c r="H4" s="38" t="n">
        <v>19000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ifrs-full:ReclassificationAdjustmentsOnExchangeDifferencesOnTranslationBeforeTax</t>
        </is>
      </c>
      <c r="C6" s="37" t="inlineStr">
        <is>
          <t>ifrs-full:ReclassificationAdjustmentsOnExchangeDifferencesOnTranslationBeforeTax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ifrs-full:ResearchAndDevelopmentExpense</t>
        </is>
      </c>
      <c r="C7" s="34" t="inlineStr">
        <is>
          <t>ifrs-full:ResearchAndDevelopmentExpense</t>
        </is>
      </c>
      <c r="D7" s="35" t="n">
        <v>364000</v>
      </c>
      <c r="E7" s="35" t="n">
        <v>457000</v>
      </c>
      <c r="F7" s="35" t="n">
        <v>371000</v>
      </c>
      <c r="G7" s="35" t="n">
        <v>380000</v>
      </c>
      <c r="H7" s="35" t="n">
        <v>424000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2026-09-27T21:19:55Z</dcterms:created>
  <dcterms:modified xmlns:dcterms="http://purl.org/dc/terms/" xmlns:xsi="http://www.w3.org/2001/XMLSchema-instance" xsi:type="dcterms:W3CDTF">2026-09-27T21:19:56Z</dcterms:modified>
</cp:coreProperties>
</file>